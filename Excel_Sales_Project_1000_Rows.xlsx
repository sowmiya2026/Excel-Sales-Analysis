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projects\"/>
    </mc:Choice>
  </mc:AlternateContent>
  <xr:revisionPtr revIDLastSave="0" documentId="13_ncr:1_{ED3F7BC8-AAB7-4FEB-9856-9A3D69245CD1}" xr6:coauthVersionLast="47" xr6:coauthVersionMax="47" xr10:uidLastSave="{00000000-0000-0000-0000-000000000000}"/>
  <bookViews>
    <workbookView xWindow="-110" yWindow="-110" windowWidth="19420" windowHeight="10300" tabRatio="500" activeTab="3" xr2:uid="{00000000-000D-0000-FFFF-FFFF00000000}"/>
  </bookViews>
  <sheets>
    <sheet name="Data" sheetId="2" r:id="rId1"/>
    <sheet name="Analysis" sheetId="3" r:id="rId2"/>
    <sheet name="Report Summary" sheetId="11" r:id="rId3"/>
    <sheet name="work data" sheetId="4" r:id="rId4"/>
    <sheet name="pivot table" sheetId="6" r:id="rId5"/>
    <sheet name="PIVOT TABLE 1" sheetId="10" r:id="rId6"/>
  </sheets>
  <definedNames>
    <definedName name="_xlnm._FilterDatabase" localSheetId="0" hidden="1">Data!$A$1:$Q$1001</definedName>
  </definedNames>
  <calcPr calcId="191029"/>
  <pivotCaches>
    <pivotCache cacheId="1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1" l="1"/>
  <c r="B11" i="11"/>
  <c r="B10" i="11"/>
  <c r="B9" i="11"/>
  <c r="B8" i="11"/>
  <c r="B7" i="11"/>
  <c r="B32" i="3"/>
  <c r="E15" i="3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U76" i="2" a="1"/>
  <c r="U77" i="2" a="1"/>
  <c r="U78" i="2" a="1"/>
  <c r="U79" i="2" a="1"/>
  <c r="U80" i="2" a="1"/>
  <c r="U81" i="2" a="1"/>
  <c r="U82" i="2" a="1"/>
  <c r="U83" i="2" a="1"/>
  <c r="U84" i="2" a="1"/>
  <c r="U85" i="2" a="1"/>
  <c r="U86" i="2" a="1"/>
  <c r="U87" i="2" a="1"/>
  <c r="U88" i="2" a="1"/>
  <c r="U89" i="2" a="1"/>
  <c r="U90" i="2" a="1"/>
  <c r="U91" i="2" a="1"/>
  <c r="U92" i="2" a="1"/>
  <c r="U93" i="2" a="1"/>
  <c r="U94" i="2" a="1"/>
  <c r="U95" i="2" a="1"/>
  <c r="U96" i="2" a="1"/>
  <c r="U97" i="2" a="1"/>
  <c r="U98" i="2" a="1"/>
  <c r="U99" i="2" a="1"/>
  <c r="U100" i="2" a="1"/>
  <c r="U101" i="2" a="1"/>
  <c r="U102" i="2" a="1"/>
  <c r="U103" i="2" a="1"/>
  <c r="U104" i="2" a="1"/>
  <c r="U105" i="2" a="1"/>
  <c r="U106" i="2" a="1"/>
  <c r="U107" i="2" a="1"/>
  <c r="U108" i="2" a="1"/>
  <c r="U109" i="2" a="1"/>
  <c r="U110" i="2" a="1"/>
  <c r="U111" i="2" a="1"/>
  <c r="U112" i="2" a="1"/>
  <c r="U113" i="2" a="1"/>
  <c r="U114" i="2" a="1"/>
  <c r="U115" i="2" a="1"/>
  <c r="U116" i="2" a="1"/>
  <c r="U117" i="2" a="1"/>
  <c r="U118" i="2" a="1"/>
  <c r="U119" i="2" a="1"/>
  <c r="U120" i="2" a="1"/>
  <c r="U121" i="2" a="1"/>
  <c r="U122" i="2" a="1"/>
  <c r="U123" i="2" a="1"/>
  <c r="U124" i="2" a="1"/>
  <c r="U125" i="2" a="1"/>
  <c r="U126" i="2" a="1"/>
  <c r="U127" i="2" a="1"/>
  <c r="U128" i="2" a="1"/>
  <c r="U129" i="2" a="1"/>
  <c r="U130" i="2" a="1"/>
  <c r="U131" i="2" a="1"/>
  <c r="U132" i="2" a="1"/>
  <c r="U133" i="2" a="1"/>
  <c r="U134" i="2" a="1"/>
  <c r="U135" i="2" a="1"/>
  <c r="U136" i="2" a="1"/>
  <c r="U137" i="2" a="1"/>
  <c r="U138" i="2" a="1"/>
  <c r="U139" i="2" a="1"/>
  <c r="U140" i="2" a="1"/>
  <c r="U141" i="2" a="1"/>
  <c r="U142" i="2" a="1"/>
  <c r="U143" i="2" a="1"/>
  <c r="U144" i="2" a="1"/>
  <c r="U145" i="2" a="1"/>
  <c r="U146" i="2" a="1"/>
  <c r="U147" i="2" a="1"/>
  <c r="U148" i="2" a="1"/>
  <c r="U149" i="2" a="1"/>
  <c r="U150" i="2" a="1"/>
  <c r="U151" i="2" a="1"/>
  <c r="U152" i="2" a="1"/>
  <c r="U153" i="2" a="1"/>
  <c r="U154" i="2" a="1"/>
  <c r="U155" i="2" a="1"/>
  <c r="U156" i="2" a="1"/>
  <c r="U157" i="2" a="1"/>
  <c r="U158" i="2" a="1"/>
  <c r="U159" i="2" a="1"/>
  <c r="U160" i="2" a="1"/>
  <c r="U161" i="2" a="1"/>
  <c r="U162" i="2" a="1"/>
  <c r="U163" i="2" a="1"/>
  <c r="U164" i="2" a="1"/>
  <c r="U165" i="2" a="1"/>
  <c r="U166" i="2" a="1"/>
  <c r="U167" i="2" a="1"/>
  <c r="U168" i="2" a="1"/>
  <c r="U169" i="2" a="1"/>
  <c r="U170" i="2" a="1"/>
  <c r="U171" i="2" a="1"/>
  <c r="U172" i="2" a="1"/>
  <c r="U173" i="2" a="1"/>
  <c r="U174" i="2" a="1"/>
  <c r="U175" i="2" a="1"/>
  <c r="U176" i="2" a="1"/>
  <c r="U177" i="2" a="1"/>
  <c r="U178" i="2" a="1"/>
  <c r="U179" i="2" a="1"/>
  <c r="U180" i="2" a="1"/>
  <c r="U181" i="2" a="1"/>
  <c r="U182" i="2" a="1"/>
  <c r="U183" i="2" a="1"/>
  <c r="U184" i="2" a="1"/>
  <c r="U185" i="2" a="1"/>
  <c r="U186" i="2" a="1"/>
  <c r="U187" i="2" a="1"/>
  <c r="U188" i="2" a="1"/>
  <c r="U189" i="2" a="1"/>
  <c r="U190" i="2" a="1"/>
  <c r="U191" i="2" a="1"/>
  <c r="U192" i="2" a="1"/>
  <c r="U193" i="2" a="1"/>
  <c r="U194" i="2" a="1"/>
  <c r="U195" i="2" a="1"/>
  <c r="U196" i="2" a="1"/>
  <c r="U197" i="2" a="1"/>
  <c r="U198" i="2" a="1"/>
  <c r="U199" i="2" a="1"/>
  <c r="U200" i="2" a="1"/>
  <c r="U201" i="2" a="1"/>
  <c r="U202" i="2" a="1"/>
  <c r="U203" i="2" a="1"/>
  <c r="U204" i="2" a="1"/>
  <c r="U205" i="2" a="1"/>
  <c r="U206" i="2" a="1"/>
  <c r="U207" i="2" a="1"/>
  <c r="U208" i="2" a="1"/>
  <c r="U209" i="2" a="1"/>
  <c r="U210" i="2" a="1"/>
  <c r="U211" i="2" a="1"/>
  <c r="U212" i="2" a="1"/>
  <c r="U213" i="2" a="1"/>
  <c r="U214" i="2" a="1"/>
  <c r="U215" i="2" a="1"/>
  <c r="U216" i="2" a="1"/>
  <c r="U217" i="2" a="1"/>
  <c r="U218" i="2" a="1"/>
  <c r="U219" i="2" a="1"/>
  <c r="U220" i="2" a="1"/>
  <c r="U221" i="2" a="1"/>
  <c r="U222" i="2" a="1"/>
  <c r="U223" i="2" a="1"/>
  <c r="U224" i="2" a="1"/>
  <c r="U225" i="2" a="1"/>
  <c r="U226" i="2" a="1"/>
  <c r="U227" i="2" a="1"/>
  <c r="U228" i="2" a="1"/>
  <c r="U229" i="2" a="1"/>
  <c r="U230" i="2" a="1"/>
  <c r="U231" i="2" a="1"/>
  <c r="U232" i="2" a="1"/>
  <c r="U233" i="2" a="1"/>
  <c r="U234" i="2" a="1"/>
  <c r="U235" i="2" a="1"/>
  <c r="U236" i="2" a="1"/>
  <c r="U237" i="2" a="1"/>
  <c r="U238" i="2" a="1"/>
  <c r="U239" i="2" a="1"/>
  <c r="U240" i="2" a="1"/>
  <c r="U241" i="2" a="1"/>
  <c r="U242" i="2" a="1"/>
  <c r="U243" i="2" a="1"/>
  <c r="U244" i="2" a="1"/>
  <c r="U245" i="2" a="1"/>
  <c r="U246" i="2" a="1"/>
  <c r="U247" i="2" a="1"/>
  <c r="U248" i="2" a="1"/>
  <c r="U249" i="2" a="1"/>
  <c r="U250" i="2" a="1"/>
  <c r="U251" i="2" a="1"/>
  <c r="U252" i="2" a="1"/>
  <c r="U253" i="2" a="1"/>
  <c r="U254" i="2" a="1"/>
  <c r="U255" i="2" a="1"/>
  <c r="U256" i="2" a="1"/>
  <c r="U257" i="2" a="1"/>
  <c r="U258" i="2" a="1"/>
  <c r="U259" i="2" a="1"/>
  <c r="U260" i="2" a="1"/>
  <c r="U261" i="2" a="1"/>
  <c r="U262" i="2" a="1"/>
  <c r="U263" i="2" a="1"/>
  <c r="U264" i="2" a="1"/>
  <c r="U265" i="2" a="1"/>
  <c r="U266" i="2" a="1"/>
  <c r="U267" i="2" a="1"/>
  <c r="U268" i="2" a="1"/>
  <c r="U269" i="2" a="1"/>
  <c r="U270" i="2" a="1"/>
  <c r="U271" i="2" a="1"/>
  <c r="U272" i="2" a="1"/>
  <c r="U273" i="2" a="1"/>
  <c r="U274" i="2" a="1"/>
  <c r="U275" i="2" a="1"/>
  <c r="U276" i="2" a="1"/>
  <c r="U277" i="2" a="1"/>
  <c r="U278" i="2" a="1"/>
  <c r="U279" i="2" a="1"/>
  <c r="U280" i="2" a="1"/>
  <c r="U281" i="2" a="1"/>
  <c r="U282" i="2" a="1"/>
  <c r="U283" i="2" a="1"/>
  <c r="U284" i="2" a="1"/>
  <c r="U285" i="2" a="1"/>
  <c r="U286" i="2" a="1"/>
  <c r="U287" i="2" a="1"/>
  <c r="U288" i="2" a="1"/>
  <c r="U289" i="2" a="1"/>
  <c r="U290" i="2" a="1"/>
  <c r="U291" i="2" a="1"/>
  <c r="U292" i="2" a="1"/>
  <c r="U293" i="2" a="1"/>
  <c r="U294" i="2" a="1"/>
  <c r="U295" i="2" a="1"/>
  <c r="U296" i="2" a="1"/>
  <c r="U297" i="2" a="1"/>
  <c r="U298" i="2" a="1"/>
  <c r="U299" i="2" a="1"/>
  <c r="U300" i="2" a="1"/>
  <c r="U301" i="2" a="1"/>
  <c r="U302" i="2" a="1"/>
  <c r="U303" i="2" a="1"/>
  <c r="U304" i="2" a="1"/>
  <c r="U305" i="2" a="1"/>
  <c r="U306" i="2" a="1"/>
  <c r="U307" i="2" a="1"/>
  <c r="U308" i="2" a="1"/>
  <c r="U309" i="2" a="1"/>
  <c r="U310" i="2" a="1"/>
  <c r="U311" i="2" a="1"/>
  <c r="U312" i="2" a="1"/>
  <c r="U313" i="2" a="1"/>
  <c r="U314" i="2" a="1"/>
  <c r="U315" i="2" a="1"/>
  <c r="U316" i="2" a="1"/>
  <c r="U317" i="2" a="1"/>
  <c r="U318" i="2" a="1"/>
  <c r="U319" i="2" a="1"/>
  <c r="U320" i="2" a="1"/>
  <c r="U321" i="2" a="1"/>
  <c r="U322" i="2" a="1"/>
  <c r="U323" i="2" a="1"/>
  <c r="U324" i="2" a="1"/>
  <c r="U325" i="2" a="1"/>
  <c r="U326" i="2" a="1"/>
  <c r="U327" i="2" a="1"/>
  <c r="U328" i="2" a="1"/>
  <c r="U329" i="2" a="1"/>
  <c r="U330" i="2" a="1"/>
  <c r="U331" i="2" a="1"/>
  <c r="U332" i="2" a="1"/>
  <c r="U333" i="2" a="1"/>
  <c r="U334" i="2" a="1"/>
  <c r="U335" i="2" a="1"/>
  <c r="U336" i="2" a="1"/>
  <c r="U337" i="2" a="1"/>
  <c r="U338" i="2" a="1"/>
  <c r="U339" i="2" a="1"/>
  <c r="U340" i="2" a="1"/>
  <c r="U341" i="2" a="1"/>
  <c r="U342" i="2" a="1"/>
  <c r="U343" i="2" a="1"/>
  <c r="U344" i="2" a="1"/>
  <c r="U345" i="2" a="1"/>
  <c r="U346" i="2" a="1"/>
  <c r="U347" i="2" a="1"/>
  <c r="U348" i="2" a="1"/>
  <c r="U349" i="2" a="1"/>
  <c r="U350" i="2" a="1"/>
  <c r="U351" i="2" a="1"/>
  <c r="U352" i="2" a="1"/>
  <c r="U353" i="2" a="1"/>
  <c r="U354" i="2" a="1"/>
  <c r="U355" i="2" a="1"/>
  <c r="U356" i="2" a="1"/>
  <c r="U357" i="2" a="1"/>
  <c r="U358" i="2" a="1"/>
  <c r="U359" i="2" a="1"/>
  <c r="U360" i="2" a="1"/>
  <c r="U361" i="2" a="1"/>
  <c r="U362" i="2" a="1"/>
  <c r="U363" i="2" a="1"/>
  <c r="U364" i="2" a="1"/>
  <c r="U365" i="2" a="1"/>
  <c r="U366" i="2" a="1"/>
  <c r="U367" i="2" a="1"/>
  <c r="U368" i="2" a="1"/>
  <c r="U369" i="2" a="1"/>
  <c r="U370" i="2" a="1"/>
  <c r="U371" i="2" a="1"/>
  <c r="U372" i="2" a="1"/>
  <c r="U373" i="2" a="1"/>
  <c r="U374" i="2" a="1"/>
  <c r="U375" i="2" a="1"/>
  <c r="U376" i="2" a="1"/>
  <c r="U377" i="2" a="1"/>
  <c r="U378" i="2" a="1"/>
  <c r="U379" i="2" a="1"/>
  <c r="U380" i="2" a="1"/>
  <c r="U381" i="2" a="1"/>
  <c r="U382" i="2" a="1"/>
  <c r="U383" i="2" a="1"/>
  <c r="U384" i="2" a="1"/>
  <c r="U385" i="2" a="1"/>
  <c r="U386" i="2" a="1"/>
  <c r="U387" i="2" a="1"/>
  <c r="U388" i="2" a="1"/>
  <c r="U389" i="2" a="1"/>
  <c r="U390" i="2" a="1"/>
  <c r="U391" i="2" a="1"/>
  <c r="U392" i="2" a="1"/>
  <c r="U393" i="2" a="1"/>
  <c r="U394" i="2" a="1"/>
  <c r="U395" i="2" a="1"/>
  <c r="U396" i="2" a="1"/>
  <c r="U397" i="2" a="1"/>
  <c r="U398" i="2" a="1"/>
  <c r="U399" i="2" a="1"/>
  <c r="U400" i="2" a="1"/>
  <c r="U401" i="2" a="1"/>
  <c r="U402" i="2" a="1"/>
  <c r="U403" i="2" a="1"/>
  <c r="U404" i="2" a="1"/>
  <c r="U405" i="2" a="1"/>
  <c r="U406" i="2" a="1"/>
  <c r="U407" i="2" a="1"/>
  <c r="U408" i="2" a="1"/>
  <c r="U409" i="2" a="1"/>
  <c r="U410" i="2" a="1"/>
  <c r="U411" i="2" a="1"/>
  <c r="U412" i="2" a="1"/>
  <c r="U413" i="2" a="1"/>
  <c r="U414" i="2" a="1"/>
  <c r="U415" i="2" a="1"/>
  <c r="U416" i="2" a="1"/>
  <c r="U417" i="2" a="1"/>
  <c r="U418" i="2" a="1"/>
  <c r="U419" i="2" a="1"/>
  <c r="U420" i="2" a="1"/>
  <c r="U421" i="2" a="1"/>
  <c r="U422" i="2" a="1"/>
  <c r="U423" i="2" a="1"/>
  <c r="U424" i="2" a="1"/>
  <c r="U425" i="2" a="1"/>
  <c r="U426" i="2" a="1"/>
  <c r="U427" i="2" a="1"/>
  <c r="U428" i="2" a="1"/>
  <c r="U429" i="2" a="1"/>
  <c r="U430" i="2" a="1"/>
  <c r="U431" i="2" a="1"/>
  <c r="U432" i="2" a="1"/>
  <c r="U433" i="2" a="1"/>
  <c r="U434" i="2" a="1"/>
  <c r="U435" i="2" a="1"/>
  <c r="U436" i="2" a="1"/>
  <c r="U437" i="2" a="1"/>
  <c r="U438" i="2" a="1"/>
  <c r="U439" i="2" a="1"/>
  <c r="U440" i="2" a="1"/>
  <c r="U441" i="2" a="1"/>
  <c r="U442" i="2" a="1"/>
  <c r="U443" i="2" a="1"/>
  <c r="U444" i="2" a="1"/>
  <c r="U445" i="2" a="1"/>
  <c r="U446" i="2" a="1"/>
  <c r="U447" i="2" a="1"/>
  <c r="U448" i="2" a="1"/>
  <c r="U449" i="2" a="1"/>
  <c r="U450" i="2" a="1"/>
  <c r="U451" i="2" a="1"/>
  <c r="U452" i="2" a="1"/>
  <c r="U453" i="2" a="1"/>
  <c r="U454" i="2" a="1"/>
  <c r="U455" i="2" a="1"/>
  <c r="U456" i="2" a="1"/>
  <c r="U457" i="2" a="1"/>
  <c r="U458" i="2" a="1"/>
  <c r="U459" i="2" a="1"/>
  <c r="U460" i="2" a="1"/>
  <c r="U461" i="2" a="1"/>
  <c r="U462" i="2" a="1"/>
  <c r="U463" i="2" a="1"/>
  <c r="U464" i="2" a="1"/>
  <c r="U465" i="2" a="1"/>
  <c r="U466" i="2" a="1"/>
  <c r="U467" i="2" a="1"/>
  <c r="U468" i="2" a="1"/>
  <c r="U469" i="2" a="1"/>
  <c r="U470" i="2" a="1"/>
  <c r="U471" i="2" a="1"/>
  <c r="U472" i="2" a="1"/>
  <c r="U473" i="2" a="1"/>
  <c r="U474" i="2" a="1"/>
  <c r="U475" i="2" a="1"/>
  <c r="U476" i="2" a="1"/>
  <c r="U477" i="2" a="1"/>
  <c r="U478" i="2" a="1"/>
  <c r="U479" i="2" a="1"/>
  <c r="U480" i="2" a="1"/>
  <c r="U481" i="2" a="1"/>
  <c r="U482" i="2" a="1"/>
  <c r="U483" i="2" a="1"/>
  <c r="U484" i="2" a="1"/>
  <c r="U485" i="2" a="1"/>
  <c r="U486" i="2" a="1"/>
  <c r="U487" i="2" a="1"/>
  <c r="U488" i="2" a="1"/>
  <c r="U489" i="2" a="1"/>
  <c r="U490" i="2" a="1"/>
  <c r="U491" i="2" a="1"/>
  <c r="U492" i="2" a="1"/>
  <c r="U493" i="2" a="1"/>
  <c r="U494" i="2" a="1"/>
  <c r="U495" i="2" a="1"/>
  <c r="U496" i="2" a="1"/>
  <c r="U497" i="2" a="1"/>
  <c r="U498" i="2" a="1"/>
  <c r="U499" i="2" a="1"/>
  <c r="U500" i="2" a="1"/>
  <c r="U501" i="2" a="1"/>
  <c r="U502" i="2" a="1"/>
  <c r="U503" i="2" a="1"/>
  <c r="U504" i="2" a="1"/>
  <c r="U505" i="2" a="1"/>
  <c r="U506" i="2" a="1"/>
  <c r="U507" i="2" a="1"/>
  <c r="U508" i="2" a="1"/>
  <c r="U509" i="2" a="1"/>
  <c r="U510" i="2" a="1"/>
  <c r="U511" i="2" a="1"/>
  <c r="U512" i="2" a="1"/>
  <c r="U513" i="2" a="1"/>
  <c r="U514" i="2" a="1"/>
  <c r="U515" i="2" a="1"/>
  <c r="U516" i="2" a="1"/>
  <c r="U517" i="2" a="1"/>
  <c r="U518" i="2" a="1"/>
  <c r="U519" i="2" a="1"/>
  <c r="U520" i="2" a="1"/>
  <c r="U521" i="2" a="1"/>
  <c r="U522" i="2" a="1"/>
  <c r="U523" i="2" a="1"/>
  <c r="U524" i="2" a="1"/>
  <c r="U525" i="2" a="1"/>
  <c r="U526" i="2" a="1"/>
  <c r="U527" i="2" a="1"/>
  <c r="U528" i="2" a="1"/>
  <c r="U529" i="2" a="1"/>
  <c r="U530" i="2" a="1"/>
  <c r="U531" i="2" a="1"/>
  <c r="U532" i="2" a="1"/>
  <c r="U533" i="2" a="1"/>
  <c r="U534" i="2" a="1"/>
  <c r="U535" i="2" a="1"/>
  <c r="U536" i="2" a="1"/>
  <c r="U537" i="2" a="1"/>
  <c r="U538" i="2" a="1"/>
  <c r="U539" i="2" a="1"/>
  <c r="U540" i="2" a="1"/>
  <c r="U541" i="2" a="1"/>
  <c r="U542" i="2" a="1"/>
  <c r="U543" i="2" a="1"/>
  <c r="U544" i="2" a="1"/>
  <c r="U545" i="2" a="1"/>
  <c r="U546" i="2" a="1"/>
  <c r="U547" i="2" a="1"/>
  <c r="U548" i="2" a="1"/>
  <c r="U549" i="2" a="1"/>
  <c r="U550" i="2" a="1"/>
  <c r="U551" i="2" a="1"/>
  <c r="U552" i="2" a="1"/>
  <c r="U553" i="2" a="1"/>
  <c r="U554" i="2" a="1"/>
  <c r="U555" i="2" a="1"/>
  <c r="U556" i="2" a="1"/>
  <c r="U557" i="2" a="1"/>
  <c r="U558" i="2" a="1"/>
  <c r="U559" i="2" a="1"/>
  <c r="U560" i="2" a="1"/>
  <c r="U561" i="2" a="1"/>
  <c r="U562" i="2" a="1"/>
  <c r="U563" i="2" a="1"/>
  <c r="U564" i="2" a="1"/>
  <c r="U565" i="2" a="1"/>
  <c r="U566" i="2" a="1"/>
  <c r="U567" i="2" a="1"/>
  <c r="U568" i="2" a="1"/>
  <c r="U569" i="2" a="1"/>
  <c r="U570" i="2" a="1"/>
  <c r="U571" i="2" a="1"/>
  <c r="U572" i="2" a="1"/>
  <c r="U573" i="2" a="1"/>
  <c r="U574" i="2" a="1"/>
  <c r="U575" i="2" a="1"/>
  <c r="U576" i="2" a="1"/>
  <c r="U577" i="2" a="1"/>
  <c r="U578" i="2" a="1"/>
  <c r="U579" i="2" a="1"/>
  <c r="U580" i="2" a="1"/>
  <c r="U581" i="2" a="1"/>
  <c r="U582" i="2" a="1"/>
  <c r="U583" i="2" a="1"/>
  <c r="U584" i="2" a="1"/>
  <c r="U585" i="2" a="1"/>
  <c r="U586" i="2" a="1"/>
  <c r="U587" i="2" a="1"/>
  <c r="U588" i="2" a="1"/>
  <c r="U589" i="2" a="1"/>
  <c r="U590" i="2" a="1"/>
  <c r="U591" i="2" a="1"/>
  <c r="U592" i="2" a="1"/>
  <c r="U593" i="2" a="1"/>
  <c r="U594" i="2" a="1"/>
  <c r="U595" i="2" a="1"/>
  <c r="U596" i="2" a="1"/>
  <c r="U597" i="2" a="1"/>
  <c r="U598" i="2" a="1"/>
  <c r="U599" i="2" a="1"/>
  <c r="U600" i="2" a="1"/>
  <c r="U601" i="2" a="1"/>
  <c r="U602" i="2" a="1"/>
  <c r="U603" i="2" a="1"/>
  <c r="U604" i="2" a="1"/>
  <c r="U605" i="2" a="1"/>
  <c r="U606" i="2" a="1"/>
  <c r="U607" i="2" a="1"/>
  <c r="U608" i="2" a="1"/>
  <c r="U609" i="2" a="1"/>
  <c r="U610" i="2" a="1"/>
  <c r="U611" i="2" a="1"/>
  <c r="U612" i="2" a="1"/>
  <c r="U613" i="2" a="1"/>
  <c r="U614" i="2" a="1"/>
  <c r="U615" i="2" a="1"/>
  <c r="U616" i="2" a="1"/>
  <c r="U617" i="2" a="1"/>
  <c r="U618" i="2" a="1"/>
  <c r="U619" i="2" a="1"/>
  <c r="U620" i="2" a="1"/>
  <c r="U621" i="2" a="1"/>
  <c r="U622" i="2" a="1"/>
  <c r="U623" i="2" a="1"/>
  <c r="U624" i="2" a="1"/>
  <c r="U625" i="2" a="1"/>
  <c r="U626" i="2" a="1"/>
  <c r="U627" i="2" a="1"/>
  <c r="U628" i="2" a="1"/>
  <c r="U629" i="2" a="1"/>
  <c r="U630" i="2" a="1"/>
  <c r="U631" i="2" a="1"/>
  <c r="U632" i="2" a="1"/>
  <c r="U633" i="2" a="1"/>
  <c r="U634" i="2" a="1"/>
  <c r="U635" i="2" a="1"/>
  <c r="U636" i="2" a="1"/>
  <c r="U637" i="2" a="1"/>
  <c r="U638" i="2" a="1"/>
  <c r="U639" i="2" a="1"/>
  <c r="U640" i="2" a="1"/>
  <c r="U641" i="2" a="1"/>
  <c r="U642" i="2" a="1"/>
  <c r="U643" i="2" a="1"/>
  <c r="U644" i="2" a="1"/>
  <c r="U645" i="2" a="1"/>
  <c r="U646" i="2" a="1"/>
  <c r="U647" i="2" a="1"/>
  <c r="U648" i="2" a="1"/>
  <c r="U649" i="2" a="1"/>
  <c r="U650" i="2" a="1"/>
  <c r="U651" i="2" a="1"/>
  <c r="U652" i="2" a="1"/>
  <c r="U653" i="2" a="1"/>
  <c r="U654" i="2" a="1"/>
  <c r="U655" i="2" a="1"/>
  <c r="U656" i="2" a="1"/>
  <c r="U657" i="2" a="1"/>
  <c r="U658" i="2" a="1"/>
  <c r="U659" i="2" a="1"/>
  <c r="U660" i="2" a="1"/>
  <c r="U661" i="2" a="1"/>
  <c r="U662" i="2" a="1"/>
  <c r="U663" i="2" a="1"/>
  <c r="U664" i="2" a="1"/>
  <c r="U665" i="2" a="1"/>
  <c r="U666" i="2" a="1"/>
  <c r="U667" i="2" a="1"/>
  <c r="U668" i="2" a="1"/>
  <c r="U669" i="2" a="1"/>
  <c r="U670" i="2" a="1"/>
  <c r="U671" i="2" a="1"/>
  <c r="U672" i="2" a="1"/>
  <c r="U673" i="2" a="1"/>
  <c r="U674" i="2" a="1"/>
  <c r="U675" i="2" a="1"/>
  <c r="U676" i="2" a="1"/>
  <c r="U677" i="2" a="1"/>
  <c r="U678" i="2" a="1"/>
  <c r="U679" i="2" a="1"/>
  <c r="U680" i="2" a="1"/>
  <c r="U681" i="2" a="1"/>
  <c r="U682" i="2" a="1"/>
  <c r="U683" i="2" a="1"/>
  <c r="U684" i="2" a="1"/>
  <c r="U685" i="2" a="1"/>
  <c r="U686" i="2" a="1"/>
  <c r="U687" i="2" a="1"/>
  <c r="U688" i="2" a="1"/>
  <c r="U689" i="2" a="1"/>
  <c r="U690" i="2" a="1"/>
  <c r="U691" i="2" a="1"/>
  <c r="U692" i="2" a="1"/>
  <c r="U693" i="2" a="1"/>
  <c r="U694" i="2" a="1"/>
  <c r="U695" i="2" a="1"/>
  <c r="U696" i="2" a="1"/>
  <c r="U697" i="2" a="1"/>
  <c r="U698" i="2" a="1"/>
  <c r="U699" i="2" a="1"/>
  <c r="U700" i="2" a="1"/>
  <c r="U701" i="2" a="1"/>
  <c r="U702" i="2" a="1"/>
  <c r="U703" i="2" a="1"/>
  <c r="U704" i="2" a="1"/>
  <c r="U705" i="2" a="1"/>
  <c r="U706" i="2" a="1"/>
  <c r="U707" i="2" a="1"/>
  <c r="U708" i="2" a="1"/>
  <c r="U709" i="2" a="1"/>
  <c r="U710" i="2" a="1"/>
  <c r="U711" i="2" a="1"/>
  <c r="U712" i="2" a="1"/>
  <c r="U713" i="2" a="1"/>
  <c r="U714" i="2" a="1"/>
  <c r="U715" i="2" a="1"/>
  <c r="U716" i="2" a="1"/>
  <c r="U717" i="2" a="1"/>
  <c r="U718" i="2" a="1"/>
  <c r="U719" i="2" a="1"/>
  <c r="U720" i="2" a="1"/>
  <c r="U721" i="2" a="1"/>
  <c r="U722" i="2" a="1"/>
  <c r="U723" i="2" a="1"/>
  <c r="U724" i="2" a="1"/>
  <c r="U725" i="2" a="1"/>
  <c r="U726" i="2" a="1"/>
  <c r="U727" i="2" a="1"/>
  <c r="U728" i="2" a="1"/>
  <c r="U729" i="2" a="1"/>
  <c r="U730" i="2" a="1"/>
  <c r="U731" i="2" a="1"/>
  <c r="U732" i="2" a="1"/>
  <c r="U733" i="2" a="1"/>
  <c r="U734" i="2" a="1"/>
  <c r="U735" i="2" a="1"/>
  <c r="U736" i="2" a="1"/>
  <c r="U737" i="2" a="1"/>
  <c r="U738" i="2" a="1"/>
  <c r="U739" i="2" a="1"/>
  <c r="U740" i="2" a="1"/>
  <c r="U741" i="2" a="1"/>
  <c r="U742" i="2" a="1"/>
  <c r="U743" i="2" a="1"/>
  <c r="U744" i="2" a="1"/>
  <c r="U745" i="2" a="1"/>
  <c r="U746" i="2" a="1"/>
  <c r="U747" i="2" a="1"/>
  <c r="U748" i="2" a="1"/>
  <c r="U749" i="2" a="1"/>
  <c r="U750" i="2" a="1"/>
  <c r="U751" i="2" a="1"/>
  <c r="U752" i="2" a="1"/>
  <c r="U753" i="2" a="1"/>
  <c r="U754" i="2" a="1"/>
  <c r="U755" i="2" a="1"/>
  <c r="U756" i="2" a="1"/>
  <c r="U757" i="2" a="1"/>
  <c r="U758" i="2" a="1"/>
  <c r="U759" i="2" a="1"/>
  <c r="U760" i="2" a="1"/>
  <c r="U761" i="2" a="1"/>
  <c r="U762" i="2" a="1"/>
  <c r="U763" i="2" a="1"/>
  <c r="U764" i="2" a="1"/>
  <c r="U765" i="2" a="1"/>
  <c r="U766" i="2" a="1"/>
  <c r="U767" i="2" a="1"/>
  <c r="U768" i="2" a="1"/>
  <c r="U769" i="2" a="1"/>
  <c r="U770" i="2" a="1"/>
  <c r="U771" i="2" a="1"/>
  <c r="U772" i="2" a="1"/>
  <c r="U773" i="2" a="1"/>
  <c r="U774" i="2" a="1"/>
  <c r="U775" i="2" a="1"/>
  <c r="U776" i="2" a="1"/>
  <c r="U777" i="2" a="1"/>
  <c r="U778" i="2" a="1"/>
  <c r="U779" i="2" a="1"/>
  <c r="U780" i="2" a="1"/>
  <c r="U781" i="2" a="1"/>
  <c r="U782" i="2" a="1"/>
  <c r="U783" i="2" a="1"/>
  <c r="U784" i="2" a="1"/>
  <c r="U785" i="2" a="1"/>
  <c r="U786" i="2" a="1"/>
  <c r="U787" i="2" a="1"/>
  <c r="U788" i="2" a="1"/>
  <c r="U789" i="2" a="1"/>
  <c r="U790" i="2" a="1"/>
  <c r="U791" i="2" a="1"/>
  <c r="U792" i="2" a="1"/>
  <c r="U793" i="2" a="1"/>
  <c r="U794" i="2" a="1"/>
  <c r="U795" i="2" a="1"/>
  <c r="U796" i="2" a="1"/>
  <c r="U797" i="2" a="1"/>
  <c r="U798" i="2" a="1"/>
  <c r="U799" i="2" a="1"/>
  <c r="U800" i="2" a="1"/>
  <c r="U801" i="2" a="1"/>
  <c r="U802" i="2" a="1"/>
  <c r="U803" i="2" a="1"/>
  <c r="U804" i="2" a="1"/>
  <c r="U805" i="2" a="1"/>
  <c r="U806" i="2" a="1"/>
  <c r="U807" i="2" a="1"/>
  <c r="U808" i="2" a="1"/>
  <c r="U809" i="2" a="1"/>
  <c r="U810" i="2" a="1"/>
  <c r="U811" i="2" a="1"/>
  <c r="U812" i="2" a="1"/>
  <c r="U813" i="2" a="1"/>
  <c r="U814" i="2" a="1"/>
  <c r="U815" i="2" a="1"/>
  <c r="U816" i="2" a="1"/>
  <c r="U817" i="2" a="1"/>
  <c r="U818" i="2" a="1"/>
  <c r="U819" i="2" a="1"/>
  <c r="U820" i="2" a="1"/>
  <c r="U821" i="2" a="1"/>
  <c r="U822" i="2" a="1"/>
  <c r="U823" i="2" a="1"/>
  <c r="U824" i="2" a="1"/>
  <c r="U825" i="2" a="1"/>
  <c r="U826" i="2" a="1"/>
  <c r="U827" i="2" a="1"/>
  <c r="U828" i="2" a="1"/>
  <c r="U829" i="2" a="1"/>
  <c r="U830" i="2" a="1"/>
  <c r="U831" i="2" a="1"/>
  <c r="U832" i="2" a="1"/>
  <c r="U833" i="2" a="1"/>
  <c r="U834" i="2" a="1"/>
  <c r="U835" i="2" a="1"/>
  <c r="U836" i="2" a="1"/>
  <c r="U837" i="2" a="1"/>
  <c r="U838" i="2" a="1"/>
  <c r="U839" i="2" a="1"/>
  <c r="U840" i="2" a="1"/>
  <c r="U841" i="2" a="1"/>
  <c r="U842" i="2" a="1"/>
  <c r="U843" i="2" a="1"/>
  <c r="U844" i="2" a="1"/>
  <c r="U845" i="2" a="1"/>
  <c r="U846" i="2" a="1"/>
  <c r="U847" i="2" a="1"/>
  <c r="U848" i="2" a="1"/>
  <c r="U849" i="2" a="1"/>
  <c r="U850" i="2" a="1"/>
  <c r="U851" i="2" a="1"/>
  <c r="U852" i="2" a="1"/>
  <c r="U853" i="2" a="1"/>
  <c r="U854" i="2" a="1"/>
  <c r="U855" i="2" a="1"/>
  <c r="U856" i="2" a="1"/>
  <c r="U857" i="2" a="1"/>
  <c r="U858" i="2" a="1"/>
  <c r="U859" i="2" a="1"/>
  <c r="U860" i="2" a="1"/>
  <c r="U861" i="2" a="1"/>
  <c r="U862" i="2" a="1"/>
  <c r="U863" i="2" a="1"/>
  <c r="U864" i="2" a="1"/>
  <c r="U865" i="2" a="1"/>
  <c r="U866" i="2" a="1"/>
  <c r="U867" i="2" a="1"/>
  <c r="U868" i="2" a="1"/>
  <c r="U869" i="2" a="1"/>
  <c r="U870" i="2" a="1"/>
  <c r="U871" i="2" a="1"/>
  <c r="U872" i="2" a="1"/>
  <c r="U873" i="2" a="1"/>
  <c r="U874" i="2" a="1"/>
  <c r="U875" i="2" a="1"/>
  <c r="U876" i="2" a="1"/>
  <c r="U877" i="2" a="1"/>
  <c r="U878" i="2" a="1"/>
  <c r="U879" i="2" a="1"/>
  <c r="U880" i="2" a="1"/>
  <c r="U881" i="2" a="1"/>
  <c r="U882" i="2" a="1"/>
  <c r="U883" i="2" a="1"/>
  <c r="U884" i="2" a="1"/>
  <c r="U885" i="2" a="1"/>
  <c r="U886" i="2" a="1"/>
  <c r="U887" i="2" a="1"/>
  <c r="U888" i="2" a="1"/>
  <c r="U889" i="2" a="1"/>
  <c r="U890" i="2" a="1"/>
  <c r="U891" i="2" a="1"/>
  <c r="U892" i="2" a="1"/>
  <c r="U893" i="2" a="1"/>
  <c r="U894" i="2" a="1"/>
  <c r="U895" i="2" a="1"/>
  <c r="U896" i="2" a="1"/>
  <c r="U897" i="2" a="1"/>
  <c r="U898" i="2" a="1"/>
  <c r="U899" i="2" a="1"/>
  <c r="U900" i="2" a="1"/>
  <c r="U901" i="2" a="1"/>
  <c r="U902" i="2" a="1"/>
  <c r="U903" i="2" a="1"/>
  <c r="U904" i="2" a="1"/>
  <c r="U905" i="2" a="1"/>
  <c r="U906" i="2" a="1"/>
  <c r="U907" i="2" a="1"/>
  <c r="U908" i="2" a="1"/>
  <c r="U909" i="2" a="1"/>
  <c r="U910" i="2" a="1"/>
  <c r="U911" i="2" a="1"/>
  <c r="U912" i="2" a="1"/>
  <c r="U913" i="2" a="1"/>
  <c r="U914" i="2" a="1"/>
  <c r="U915" i="2" a="1"/>
  <c r="U916" i="2" a="1"/>
  <c r="U917" i="2" a="1"/>
  <c r="U918" i="2" a="1"/>
  <c r="U919" i="2" a="1"/>
  <c r="U920" i="2" a="1"/>
  <c r="U921" i="2" a="1"/>
  <c r="U922" i="2" a="1"/>
  <c r="U923" i="2" a="1"/>
  <c r="U924" i="2" a="1"/>
  <c r="U925" i="2" a="1"/>
  <c r="U926" i="2" a="1"/>
  <c r="U927" i="2" a="1"/>
  <c r="U928" i="2" a="1"/>
  <c r="U929" i="2" a="1"/>
  <c r="U930" i="2" a="1"/>
  <c r="U931" i="2" a="1"/>
  <c r="U932" i="2" a="1"/>
  <c r="U933" i="2" a="1"/>
  <c r="U934" i="2" a="1"/>
  <c r="U935" i="2" a="1"/>
  <c r="U936" i="2" a="1"/>
  <c r="U937" i="2" a="1"/>
  <c r="U938" i="2" a="1"/>
  <c r="U939" i="2" a="1"/>
  <c r="U940" i="2" a="1"/>
  <c r="U941" i="2" a="1"/>
  <c r="U942" i="2" a="1"/>
  <c r="U943" i="2" a="1"/>
  <c r="U944" i="2" a="1"/>
  <c r="U945" i="2" a="1"/>
  <c r="U946" i="2" a="1"/>
  <c r="U947" i="2" a="1"/>
  <c r="U948" i="2" a="1"/>
  <c r="U949" i="2" a="1"/>
  <c r="U950" i="2" a="1"/>
  <c r="U951" i="2" a="1"/>
  <c r="U952" i="2" a="1"/>
  <c r="U953" i="2" a="1"/>
  <c r="U954" i="2" a="1"/>
  <c r="U955" i="2" a="1"/>
  <c r="U956" i="2" a="1"/>
  <c r="U957" i="2" a="1"/>
  <c r="U958" i="2" a="1"/>
  <c r="U959" i="2" a="1"/>
  <c r="U960" i="2" a="1"/>
  <c r="U961" i="2" a="1"/>
  <c r="U962" i="2" a="1"/>
  <c r="U963" i="2" a="1"/>
  <c r="U964" i="2" a="1"/>
  <c r="U965" i="2" a="1"/>
  <c r="U966" i="2" a="1"/>
  <c r="U967" i="2" a="1"/>
  <c r="U968" i="2" a="1"/>
  <c r="U969" i="2" a="1"/>
  <c r="U970" i="2" a="1"/>
  <c r="U971" i="2" a="1"/>
  <c r="U972" i="2" a="1"/>
  <c r="U973" i="2" a="1"/>
  <c r="U974" i="2" a="1"/>
  <c r="U975" i="2" a="1"/>
  <c r="U976" i="2" a="1"/>
  <c r="U977" i="2" a="1"/>
  <c r="U978" i="2" a="1"/>
  <c r="U979" i="2" a="1"/>
  <c r="U980" i="2" a="1"/>
  <c r="U981" i="2" a="1"/>
  <c r="U982" i="2" a="1"/>
  <c r="U983" i="2" a="1"/>
  <c r="U984" i="2" a="1"/>
  <c r="U985" i="2" a="1"/>
  <c r="U986" i="2" a="1"/>
  <c r="S1001" i="4"/>
  <c r="S1000" i="4"/>
  <c r="S999" i="4"/>
  <c r="S998" i="4"/>
  <c r="S997" i="4"/>
  <c r="S996" i="4"/>
  <c r="S995" i="4"/>
  <c r="S994" i="4"/>
  <c r="S993" i="4"/>
  <c r="S992" i="4"/>
  <c r="S991" i="4"/>
  <c r="S990" i="4"/>
  <c r="S989" i="4"/>
  <c r="S988" i="4"/>
  <c r="S987" i="4"/>
  <c r="S986" i="4"/>
  <c r="S985" i="4"/>
  <c r="S984" i="4"/>
  <c r="S983" i="4"/>
  <c r="S982" i="4"/>
  <c r="S981" i="4"/>
  <c r="S980" i="4"/>
  <c r="S979" i="4"/>
  <c r="S978" i="4"/>
  <c r="S977" i="4"/>
  <c r="S976" i="4"/>
  <c r="S975" i="4"/>
  <c r="S974" i="4"/>
  <c r="S973" i="4"/>
  <c r="S972" i="4"/>
  <c r="S971" i="4"/>
  <c r="S970" i="4"/>
  <c r="S969" i="4"/>
  <c r="S968" i="4"/>
  <c r="S967" i="4"/>
  <c r="S966" i="4"/>
  <c r="S965" i="4"/>
  <c r="S964" i="4"/>
  <c r="S963" i="4"/>
  <c r="S962" i="4"/>
  <c r="S961" i="4"/>
  <c r="S960" i="4"/>
  <c r="S959" i="4"/>
  <c r="S958" i="4"/>
  <c r="S957" i="4"/>
  <c r="S956" i="4"/>
  <c r="S955" i="4"/>
  <c r="S954" i="4"/>
  <c r="S953" i="4"/>
  <c r="S952" i="4"/>
  <c r="S951" i="4"/>
  <c r="S950" i="4"/>
  <c r="S949" i="4"/>
  <c r="S948" i="4"/>
  <c r="S947" i="4"/>
  <c r="S946" i="4"/>
  <c r="S945" i="4"/>
  <c r="S944" i="4"/>
  <c r="S943" i="4"/>
  <c r="S942" i="4"/>
  <c r="S941" i="4"/>
  <c r="S940" i="4"/>
  <c r="S939" i="4"/>
  <c r="S938" i="4"/>
  <c r="S937" i="4"/>
  <c r="S936" i="4"/>
  <c r="S935" i="4"/>
  <c r="S934" i="4"/>
  <c r="S933" i="4"/>
  <c r="S932" i="4"/>
  <c r="S931" i="4"/>
  <c r="S930" i="4"/>
  <c r="S929" i="4"/>
  <c r="S928" i="4"/>
  <c r="S927" i="4"/>
  <c r="S926" i="4"/>
  <c r="S925" i="4"/>
  <c r="S924" i="4"/>
  <c r="S923" i="4"/>
  <c r="S922" i="4"/>
  <c r="S921" i="4"/>
  <c r="S920" i="4"/>
  <c r="S919" i="4"/>
  <c r="S918" i="4"/>
  <c r="S917" i="4"/>
  <c r="S916" i="4"/>
  <c r="S915" i="4"/>
  <c r="S914" i="4"/>
  <c r="S913" i="4"/>
  <c r="S912" i="4"/>
  <c r="S911" i="4"/>
  <c r="S910" i="4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6" i="4"/>
  <c r="S895" i="4"/>
  <c r="S894" i="4"/>
  <c r="S893" i="4"/>
  <c r="S892" i="4"/>
  <c r="S891" i="4"/>
  <c r="S890" i="4"/>
  <c r="S889" i="4"/>
  <c r="S888" i="4"/>
  <c r="S887" i="4"/>
  <c r="S886" i="4"/>
  <c r="S885" i="4"/>
  <c r="S884" i="4"/>
  <c r="S883" i="4"/>
  <c r="S882" i="4"/>
  <c r="S881" i="4"/>
  <c r="S880" i="4"/>
  <c r="S879" i="4"/>
  <c r="S878" i="4"/>
  <c r="S877" i="4"/>
  <c r="S876" i="4"/>
  <c r="S875" i="4"/>
  <c r="S874" i="4"/>
  <c r="S873" i="4"/>
  <c r="S872" i="4"/>
  <c r="S871" i="4"/>
  <c r="S870" i="4"/>
  <c r="S869" i="4"/>
  <c r="S868" i="4"/>
  <c r="S867" i="4"/>
  <c r="S866" i="4"/>
  <c r="S865" i="4"/>
  <c r="S864" i="4"/>
  <c r="S863" i="4"/>
  <c r="S862" i="4"/>
  <c r="S861" i="4"/>
  <c r="S860" i="4"/>
  <c r="S859" i="4"/>
  <c r="S858" i="4"/>
  <c r="S857" i="4"/>
  <c r="S856" i="4"/>
  <c r="S855" i="4"/>
  <c r="S854" i="4"/>
  <c r="S853" i="4"/>
  <c r="S852" i="4"/>
  <c r="S851" i="4"/>
  <c r="S850" i="4"/>
  <c r="S849" i="4"/>
  <c r="S848" i="4"/>
  <c r="S847" i="4"/>
  <c r="S846" i="4"/>
  <c r="S845" i="4"/>
  <c r="S844" i="4"/>
  <c r="S843" i="4"/>
  <c r="S842" i="4"/>
  <c r="S841" i="4"/>
  <c r="S840" i="4"/>
  <c r="S839" i="4"/>
  <c r="S838" i="4"/>
  <c r="S837" i="4"/>
  <c r="S836" i="4"/>
  <c r="S835" i="4"/>
  <c r="S834" i="4"/>
  <c r="S833" i="4"/>
  <c r="S832" i="4"/>
  <c r="S831" i="4"/>
  <c r="S830" i="4"/>
  <c r="S829" i="4"/>
  <c r="S828" i="4"/>
  <c r="S827" i="4"/>
  <c r="S826" i="4"/>
  <c r="S825" i="4"/>
  <c r="S824" i="4"/>
  <c r="S823" i="4"/>
  <c r="S822" i="4"/>
  <c r="S821" i="4"/>
  <c r="S820" i="4"/>
  <c r="S819" i="4"/>
  <c r="S818" i="4"/>
  <c r="S817" i="4"/>
  <c r="S816" i="4"/>
  <c r="S815" i="4"/>
  <c r="S814" i="4"/>
  <c r="S813" i="4"/>
  <c r="S812" i="4"/>
  <c r="S811" i="4"/>
  <c r="S810" i="4"/>
  <c r="S809" i="4"/>
  <c r="S808" i="4"/>
  <c r="S807" i="4"/>
  <c r="S806" i="4"/>
  <c r="S805" i="4"/>
  <c r="S804" i="4"/>
  <c r="S803" i="4"/>
  <c r="S802" i="4"/>
  <c r="S801" i="4"/>
  <c r="S800" i="4"/>
  <c r="S799" i="4"/>
  <c r="S798" i="4"/>
  <c r="S797" i="4"/>
  <c r="S796" i="4"/>
  <c r="S795" i="4"/>
  <c r="S794" i="4"/>
  <c r="S793" i="4"/>
  <c r="S792" i="4"/>
  <c r="S791" i="4"/>
  <c r="S790" i="4"/>
  <c r="S789" i="4"/>
  <c r="S788" i="4"/>
  <c r="S787" i="4"/>
  <c r="S786" i="4"/>
  <c r="S785" i="4"/>
  <c r="S784" i="4"/>
  <c r="S783" i="4"/>
  <c r="S782" i="4"/>
  <c r="S781" i="4"/>
  <c r="S780" i="4"/>
  <c r="S779" i="4"/>
  <c r="S778" i="4"/>
  <c r="S777" i="4"/>
  <c r="S776" i="4"/>
  <c r="S775" i="4"/>
  <c r="S774" i="4"/>
  <c r="S773" i="4"/>
  <c r="S772" i="4"/>
  <c r="S771" i="4"/>
  <c r="S770" i="4"/>
  <c r="S769" i="4"/>
  <c r="S768" i="4"/>
  <c r="S767" i="4"/>
  <c r="S766" i="4"/>
  <c r="S765" i="4"/>
  <c r="S764" i="4"/>
  <c r="S763" i="4"/>
  <c r="S762" i="4"/>
  <c r="S761" i="4"/>
  <c r="S760" i="4"/>
  <c r="S759" i="4"/>
  <c r="S758" i="4"/>
  <c r="S757" i="4"/>
  <c r="S756" i="4"/>
  <c r="S755" i="4"/>
  <c r="S754" i="4"/>
  <c r="S753" i="4"/>
  <c r="S752" i="4"/>
  <c r="S751" i="4"/>
  <c r="S750" i="4"/>
  <c r="S749" i="4"/>
  <c r="S748" i="4"/>
  <c r="S747" i="4"/>
  <c r="S746" i="4"/>
  <c r="S745" i="4"/>
  <c r="S744" i="4"/>
  <c r="S743" i="4"/>
  <c r="S742" i="4"/>
  <c r="S741" i="4"/>
  <c r="S740" i="4"/>
  <c r="S739" i="4"/>
  <c r="S738" i="4"/>
  <c r="S737" i="4"/>
  <c r="S736" i="4"/>
  <c r="S735" i="4"/>
  <c r="S734" i="4"/>
  <c r="S733" i="4"/>
  <c r="S732" i="4"/>
  <c r="S731" i="4"/>
  <c r="S730" i="4"/>
  <c r="S729" i="4"/>
  <c r="S728" i="4"/>
  <c r="S727" i="4"/>
  <c r="S726" i="4"/>
  <c r="S725" i="4"/>
  <c r="S724" i="4"/>
  <c r="S723" i="4"/>
  <c r="S722" i="4"/>
  <c r="S721" i="4"/>
  <c r="S720" i="4"/>
  <c r="S719" i="4"/>
  <c r="S718" i="4"/>
  <c r="S717" i="4"/>
  <c r="S716" i="4"/>
  <c r="S715" i="4"/>
  <c r="S714" i="4"/>
  <c r="S713" i="4"/>
  <c r="S712" i="4"/>
  <c r="S711" i="4"/>
  <c r="S710" i="4"/>
  <c r="S709" i="4"/>
  <c r="S708" i="4"/>
  <c r="S707" i="4"/>
  <c r="S706" i="4"/>
  <c r="S705" i="4"/>
  <c r="S704" i="4"/>
  <c r="S703" i="4"/>
  <c r="S702" i="4"/>
  <c r="S701" i="4"/>
  <c r="S700" i="4"/>
  <c r="S699" i="4"/>
  <c r="S698" i="4"/>
  <c r="S697" i="4"/>
  <c r="S696" i="4"/>
  <c r="S695" i="4"/>
  <c r="S694" i="4"/>
  <c r="S693" i="4"/>
  <c r="S692" i="4"/>
  <c r="S691" i="4"/>
  <c r="S690" i="4"/>
  <c r="S689" i="4"/>
  <c r="S688" i="4"/>
  <c r="S687" i="4"/>
  <c r="S686" i="4"/>
  <c r="S685" i="4"/>
  <c r="S684" i="4"/>
  <c r="S683" i="4"/>
  <c r="S682" i="4"/>
  <c r="S681" i="4"/>
  <c r="S680" i="4"/>
  <c r="S679" i="4"/>
  <c r="S678" i="4"/>
  <c r="S677" i="4"/>
  <c r="S676" i="4"/>
  <c r="S675" i="4"/>
  <c r="S674" i="4"/>
  <c r="S673" i="4"/>
  <c r="S672" i="4"/>
  <c r="S671" i="4"/>
  <c r="S670" i="4"/>
  <c r="S669" i="4"/>
  <c r="S668" i="4"/>
  <c r="S667" i="4"/>
  <c r="S666" i="4"/>
  <c r="S665" i="4"/>
  <c r="S664" i="4"/>
  <c r="S663" i="4"/>
  <c r="S662" i="4"/>
  <c r="S661" i="4"/>
  <c r="S660" i="4"/>
  <c r="S659" i="4"/>
  <c r="S658" i="4"/>
  <c r="S657" i="4"/>
  <c r="S656" i="4"/>
  <c r="S655" i="4"/>
  <c r="S654" i="4"/>
  <c r="S653" i="4"/>
  <c r="S652" i="4"/>
  <c r="S651" i="4"/>
  <c r="S650" i="4"/>
  <c r="S649" i="4"/>
  <c r="S648" i="4"/>
  <c r="S647" i="4"/>
  <c r="S646" i="4"/>
  <c r="S645" i="4"/>
  <c r="S644" i="4"/>
  <c r="S643" i="4"/>
  <c r="S642" i="4"/>
  <c r="S641" i="4"/>
  <c r="S640" i="4"/>
  <c r="S639" i="4"/>
  <c r="S638" i="4"/>
  <c r="S637" i="4"/>
  <c r="S636" i="4"/>
  <c r="S635" i="4"/>
  <c r="S634" i="4"/>
  <c r="S633" i="4"/>
  <c r="S632" i="4"/>
  <c r="S631" i="4"/>
  <c r="S630" i="4"/>
  <c r="S629" i="4"/>
  <c r="S628" i="4"/>
  <c r="S627" i="4"/>
  <c r="S626" i="4"/>
  <c r="S625" i="4"/>
  <c r="S624" i="4"/>
  <c r="S623" i="4"/>
  <c r="S622" i="4"/>
  <c r="S621" i="4"/>
  <c r="S620" i="4"/>
  <c r="S619" i="4"/>
  <c r="S618" i="4"/>
  <c r="S617" i="4"/>
  <c r="S616" i="4"/>
  <c r="S615" i="4"/>
  <c r="S614" i="4"/>
  <c r="S613" i="4"/>
  <c r="S612" i="4"/>
  <c r="S611" i="4"/>
  <c r="S610" i="4"/>
  <c r="S609" i="4"/>
  <c r="S608" i="4"/>
  <c r="S607" i="4"/>
  <c r="S606" i="4"/>
  <c r="S605" i="4"/>
  <c r="S604" i="4"/>
  <c r="S603" i="4"/>
  <c r="S602" i="4"/>
  <c r="S601" i="4"/>
  <c r="S600" i="4"/>
  <c r="S599" i="4"/>
  <c r="S598" i="4"/>
  <c r="S597" i="4"/>
  <c r="S596" i="4"/>
  <c r="S595" i="4"/>
  <c r="S594" i="4"/>
  <c r="S593" i="4"/>
  <c r="S592" i="4"/>
  <c r="S591" i="4"/>
  <c r="S590" i="4"/>
  <c r="S589" i="4"/>
  <c r="S588" i="4"/>
  <c r="S587" i="4"/>
  <c r="S586" i="4"/>
  <c r="S585" i="4"/>
  <c r="S584" i="4"/>
  <c r="S583" i="4"/>
  <c r="S582" i="4"/>
  <c r="S581" i="4"/>
  <c r="S580" i="4"/>
  <c r="S579" i="4"/>
  <c r="S578" i="4"/>
  <c r="S577" i="4"/>
  <c r="S576" i="4"/>
  <c r="S575" i="4"/>
  <c r="S574" i="4"/>
  <c r="S573" i="4"/>
  <c r="S572" i="4"/>
  <c r="S571" i="4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S544" i="4"/>
  <c r="S543" i="4"/>
  <c r="S542" i="4"/>
  <c r="S541" i="4"/>
  <c r="S540" i="4"/>
  <c r="S539" i="4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  <c r="R1001" i="4"/>
  <c r="R1000" i="4"/>
  <c r="R999" i="4"/>
  <c r="R998" i="4"/>
  <c r="R997" i="4"/>
  <c r="R996" i="4"/>
  <c r="R995" i="4"/>
  <c r="R994" i="4"/>
  <c r="R993" i="4"/>
  <c r="R992" i="4"/>
  <c r="R991" i="4"/>
  <c r="R990" i="4"/>
  <c r="R989" i="4"/>
  <c r="R988" i="4"/>
  <c r="R987" i="4"/>
  <c r="R986" i="4"/>
  <c r="R985" i="4"/>
  <c r="R984" i="4"/>
  <c r="R983" i="4"/>
  <c r="R982" i="4"/>
  <c r="R981" i="4"/>
  <c r="R980" i="4"/>
  <c r="R979" i="4"/>
  <c r="R978" i="4"/>
  <c r="R977" i="4"/>
  <c r="R976" i="4"/>
  <c r="R975" i="4"/>
  <c r="R974" i="4"/>
  <c r="R973" i="4"/>
  <c r="R972" i="4"/>
  <c r="R971" i="4"/>
  <c r="R970" i="4"/>
  <c r="R969" i="4"/>
  <c r="R968" i="4"/>
  <c r="R967" i="4"/>
  <c r="R966" i="4"/>
  <c r="R965" i="4"/>
  <c r="R964" i="4"/>
  <c r="R963" i="4"/>
  <c r="R962" i="4"/>
  <c r="R961" i="4"/>
  <c r="R960" i="4"/>
  <c r="R959" i="4"/>
  <c r="R958" i="4"/>
  <c r="R957" i="4"/>
  <c r="R956" i="4"/>
  <c r="R955" i="4"/>
  <c r="R954" i="4"/>
  <c r="R953" i="4"/>
  <c r="R952" i="4"/>
  <c r="R951" i="4"/>
  <c r="R950" i="4"/>
  <c r="R949" i="4"/>
  <c r="R948" i="4"/>
  <c r="R947" i="4"/>
  <c r="R946" i="4"/>
  <c r="R945" i="4"/>
  <c r="R944" i="4"/>
  <c r="R943" i="4"/>
  <c r="R942" i="4"/>
  <c r="R941" i="4"/>
  <c r="R940" i="4"/>
  <c r="R939" i="4"/>
  <c r="R938" i="4"/>
  <c r="R937" i="4"/>
  <c r="R936" i="4"/>
  <c r="R935" i="4"/>
  <c r="R934" i="4"/>
  <c r="R933" i="4"/>
  <c r="R932" i="4"/>
  <c r="R931" i="4"/>
  <c r="R930" i="4"/>
  <c r="R929" i="4"/>
  <c r="R928" i="4"/>
  <c r="R927" i="4"/>
  <c r="R926" i="4"/>
  <c r="R925" i="4"/>
  <c r="R924" i="4"/>
  <c r="R923" i="4"/>
  <c r="R922" i="4"/>
  <c r="R921" i="4"/>
  <c r="R920" i="4"/>
  <c r="R919" i="4"/>
  <c r="R918" i="4"/>
  <c r="R917" i="4"/>
  <c r="R916" i="4"/>
  <c r="R915" i="4"/>
  <c r="R914" i="4"/>
  <c r="R913" i="4"/>
  <c r="R912" i="4"/>
  <c r="R911" i="4"/>
  <c r="R910" i="4"/>
  <c r="R909" i="4"/>
  <c r="R908" i="4"/>
  <c r="R907" i="4"/>
  <c r="R906" i="4"/>
  <c r="R905" i="4"/>
  <c r="R904" i="4"/>
  <c r="R903" i="4"/>
  <c r="R902" i="4"/>
  <c r="R901" i="4"/>
  <c r="R900" i="4"/>
  <c r="R899" i="4"/>
  <c r="R898" i="4"/>
  <c r="R897" i="4"/>
  <c r="R896" i="4"/>
  <c r="R895" i="4"/>
  <c r="R894" i="4"/>
  <c r="R893" i="4"/>
  <c r="R892" i="4"/>
  <c r="R891" i="4"/>
  <c r="R890" i="4"/>
  <c r="R889" i="4"/>
  <c r="R888" i="4"/>
  <c r="R887" i="4"/>
  <c r="R886" i="4"/>
  <c r="R885" i="4"/>
  <c r="R884" i="4"/>
  <c r="R883" i="4"/>
  <c r="R882" i="4"/>
  <c r="R881" i="4"/>
  <c r="R880" i="4"/>
  <c r="R879" i="4"/>
  <c r="R878" i="4"/>
  <c r="R877" i="4"/>
  <c r="R876" i="4"/>
  <c r="R875" i="4"/>
  <c r="R874" i="4"/>
  <c r="R873" i="4"/>
  <c r="R872" i="4"/>
  <c r="R871" i="4"/>
  <c r="R870" i="4"/>
  <c r="R869" i="4"/>
  <c r="R868" i="4"/>
  <c r="R867" i="4"/>
  <c r="R866" i="4"/>
  <c r="R865" i="4"/>
  <c r="R864" i="4"/>
  <c r="R863" i="4"/>
  <c r="R862" i="4"/>
  <c r="R861" i="4"/>
  <c r="R860" i="4"/>
  <c r="R859" i="4"/>
  <c r="R858" i="4"/>
  <c r="R857" i="4"/>
  <c r="R856" i="4"/>
  <c r="R855" i="4"/>
  <c r="R854" i="4"/>
  <c r="R853" i="4"/>
  <c r="R852" i="4"/>
  <c r="R851" i="4"/>
  <c r="R850" i="4"/>
  <c r="R849" i="4"/>
  <c r="R848" i="4"/>
  <c r="R847" i="4"/>
  <c r="R846" i="4"/>
  <c r="R845" i="4"/>
  <c r="R844" i="4"/>
  <c r="R843" i="4"/>
  <c r="R842" i="4"/>
  <c r="R841" i="4"/>
  <c r="R840" i="4"/>
  <c r="R839" i="4"/>
  <c r="R838" i="4"/>
  <c r="R837" i="4"/>
  <c r="R836" i="4"/>
  <c r="R835" i="4"/>
  <c r="R834" i="4"/>
  <c r="R833" i="4"/>
  <c r="R832" i="4"/>
  <c r="R831" i="4"/>
  <c r="R830" i="4"/>
  <c r="R829" i="4"/>
  <c r="R828" i="4"/>
  <c r="R827" i="4"/>
  <c r="R826" i="4"/>
  <c r="R825" i="4"/>
  <c r="R824" i="4"/>
  <c r="R823" i="4"/>
  <c r="R822" i="4"/>
  <c r="R821" i="4"/>
  <c r="R820" i="4"/>
  <c r="R819" i="4"/>
  <c r="R818" i="4"/>
  <c r="R817" i="4"/>
  <c r="R816" i="4"/>
  <c r="R815" i="4"/>
  <c r="R814" i="4"/>
  <c r="R813" i="4"/>
  <c r="R812" i="4"/>
  <c r="R811" i="4"/>
  <c r="R810" i="4"/>
  <c r="R809" i="4"/>
  <c r="R808" i="4"/>
  <c r="R807" i="4"/>
  <c r="R806" i="4"/>
  <c r="R805" i="4"/>
  <c r="R804" i="4"/>
  <c r="R803" i="4"/>
  <c r="R802" i="4"/>
  <c r="R801" i="4"/>
  <c r="R800" i="4"/>
  <c r="R799" i="4"/>
  <c r="R798" i="4"/>
  <c r="R797" i="4"/>
  <c r="R796" i="4"/>
  <c r="R795" i="4"/>
  <c r="R794" i="4"/>
  <c r="R793" i="4"/>
  <c r="R792" i="4"/>
  <c r="R791" i="4"/>
  <c r="R790" i="4"/>
  <c r="R789" i="4"/>
  <c r="R788" i="4"/>
  <c r="R787" i="4"/>
  <c r="R786" i="4"/>
  <c r="R785" i="4"/>
  <c r="R784" i="4"/>
  <c r="R783" i="4"/>
  <c r="R782" i="4"/>
  <c r="R781" i="4"/>
  <c r="R780" i="4"/>
  <c r="R779" i="4"/>
  <c r="R778" i="4"/>
  <c r="R777" i="4"/>
  <c r="R776" i="4"/>
  <c r="R775" i="4"/>
  <c r="R774" i="4"/>
  <c r="R773" i="4"/>
  <c r="R772" i="4"/>
  <c r="R771" i="4"/>
  <c r="R770" i="4"/>
  <c r="R769" i="4"/>
  <c r="R768" i="4"/>
  <c r="R767" i="4"/>
  <c r="R766" i="4"/>
  <c r="R765" i="4"/>
  <c r="R764" i="4"/>
  <c r="R763" i="4"/>
  <c r="R762" i="4"/>
  <c r="R761" i="4"/>
  <c r="R760" i="4"/>
  <c r="R759" i="4"/>
  <c r="R758" i="4"/>
  <c r="R757" i="4"/>
  <c r="R756" i="4"/>
  <c r="R755" i="4"/>
  <c r="R754" i="4"/>
  <c r="R753" i="4"/>
  <c r="R752" i="4"/>
  <c r="R751" i="4"/>
  <c r="R750" i="4"/>
  <c r="R749" i="4"/>
  <c r="R748" i="4"/>
  <c r="R747" i="4"/>
  <c r="R746" i="4"/>
  <c r="R745" i="4"/>
  <c r="R744" i="4"/>
  <c r="R743" i="4"/>
  <c r="R742" i="4"/>
  <c r="R741" i="4"/>
  <c r="R740" i="4"/>
  <c r="R739" i="4"/>
  <c r="R738" i="4"/>
  <c r="R737" i="4"/>
  <c r="R736" i="4"/>
  <c r="R735" i="4"/>
  <c r="R734" i="4"/>
  <c r="R733" i="4"/>
  <c r="R732" i="4"/>
  <c r="R731" i="4"/>
  <c r="R730" i="4"/>
  <c r="R729" i="4"/>
  <c r="R728" i="4"/>
  <c r="R727" i="4"/>
  <c r="R726" i="4"/>
  <c r="R725" i="4"/>
  <c r="R724" i="4"/>
  <c r="R723" i="4"/>
  <c r="R722" i="4"/>
  <c r="R721" i="4"/>
  <c r="R720" i="4"/>
  <c r="R719" i="4"/>
  <c r="R718" i="4"/>
  <c r="R717" i="4"/>
  <c r="R716" i="4"/>
  <c r="R715" i="4"/>
  <c r="R714" i="4"/>
  <c r="R713" i="4"/>
  <c r="R712" i="4"/>
  <c r="R711" i="4"/>
  <c r="R710" i="4"/>
  <c r="R709" i="4"/>
  <c r="R708" i="4"/>
  <c r="R707" i="4"/>
  <c r="R706" i="4"/>
  <c r="R705" i="4"/>
  <c r="R704" i="4"/>
  <c r="R703" i="4"/>
  <c r="R702" i="4"/>
  <c r="R701" i="4"/>
  <c r="R700" i="4"/>
  <c r="R699" i="4"/>
  <c r="R698" i="4"/>
  <c r="R697" i="4"/>
  <c r="R696" i="4"/>
  <c r="R695" i="4"/>
  <c r="R694" i="4"/>
  <c r="R693" i="4"/>
  <c r="R692" i="4"/>
  <c r="R691" i="4"/>
  <c r="R690" i="4"/>
  <c r="R689" i="4"/>
  <c r="R688" i="4"/>
  <c r="R687" i="4"/>
  <c r="R686" i="4"/>
  <c r="R685" i="4"/>
  <c r="R684" i="4"/>
  <c r="R683" i="4"/>
  <c r="R682" i="4"/>
  <c r="R681" i="4"/>
  <c r="R680" i="4"/>
  <c r="R679" i="4"/>
  <c r="R678" i="4"/>
  <c r="R677" i="4"/>
  <c r="R676" i="4"/>
  <c r="R675" i="4"/>
  <c r="R674" i="4"/>
  <c r="R673" i="4"/>
  <c r="R672" i="4"/>
  <c r="R671" i="4"/>
  <c r="R670" i="4"/>
  <c r="R669" i="4"/>
  <c r="R668" i="4"/>
  <c r="R667" i="4"/>
  <c r="R666" i="4"/>
  <c r="R665" i="4"/>
  <c r="R664" i="4"/>
  <c r="R663" i="4"/>
  <c r="R662" i="4"/>
  <c r="R661" i="4"/>
  <c r="R660" i="4"/>
  <c r="R659" i="4"/>
  <c r="R658" i="4"/>
  <c r="R657" i="4"/>
  <c r="R656" i="4"/>
  <c r="R655" i="4"/>
  <c r="R654" i="4"/>
  <c r="R653" i="4"/>
  <c r="R652" i="4"/>
  <c r="R651" i="4"/>
  <c r="R650" i="4"/>
  <c r="R649" i="4"/>
  <c r="R648" i="4"/>
  <c r="R647" i="4"/>
  <c r="R646" i="4"/>
  <c r="R645" i="4"/>
  <c r="R644" i="4"/>
  <c r="R643" i="4"/>
  <c r="R642" i="4"/>
  <c r="R641" i="4"/>
  <c r="R640" i="4"/>
  <c r="R639" i="4"/>
  <c r="R638" i="4"/>
  <c r="R637" i="4"/>
  <c r="R636" i="4"/>
  <c r="R635" i="4"/>
  <c r="R634" i="4"/>
  <c r="R633" i="4"/>
  <c r="R632" i="4"/>
  <c r="R631" i="4"/>
  <c r="R630" i="4"/>
  <c r="R629" i="4"/>
  <c r="R628" i="4"/>
  <c r="R627" i="4"/>
  <c r="R626" i="4"/>
  <c r="R625" i="4"/>
  <c r="R624" i="4"/>
  <c r="R623" i="4"/>
  <c r="R622" i="4"/>
  <c r="R621" i="4"/>
  <c r="R620" i="4"/>
  <c r="R619" i="4"/>
  <c r="R618" i="4"/>
  <c r="R617" i="4"/>
  <c r="R616" i="4"/>
  <c r="R615" i="4"/>
  <c r="R614" i="4"/>
  <c r="R613" i="4"/>
  <c r="R612" i="4"/>
  <c r="R611" i="4"/>
  <c r="R610" i="4"/>
  <c r="R609" i="4"/>
  <c r="R608" i="4"/>
  <c r="R607" i="4"/>
  <c r="R606" i="4"/>
  <c r="R605" i="4"/>
  <c r="R604" i="4"/>
  <c r="R603" i="4"/>
  <c r="R602" i="4"/>
  <c r="R601" i="4"/>
  <c r="R600" i="4"/>
  <c r="R599" i="4"/>
  <c r="R598" i="4"/>
  <c r="R597" i="4"/>
  <c r="R596" i="4"/>
  <c r="R595" i="4"/>
  <c r="R594" i="4"/>
  <c r="R593" i="4"/>
  <c r="R592" i="4"/>
  <c r="R591" i="4"/>
  <c r="R590" i="4"/>
  <c r="R589" i="4"/>
  <c r="R588" i="4"/>
  <c r="R587" i="4"/>
  <c r="R586" i="4"/>
  <c r="R585" i="4"/>
  <c r="R584" i="4"/>
  <c r="R583" i="4"/>
  <c r="R582" i="4"/>
  <c r="R581" i="4"/>
  <c r="R580" i="4"/>
  <c r="R579" i="4"/>
  <c r="R578" i="4"/>
  <c r="R577" i="4"/>
  <c r="R576" i="4"/>
  <c r="R575" i="4"/>
  <c r="R574" i="4"/>
  <c r="R573" i="4"/>
  <c r="R572" i="4"/>
  <c r="R571" i="4"/>
  <c r="R570" i="4"/>
  <c r="R569" i="4"/>
  <c r="R568" i="4"/>
  <c r="R567" i="4"/>
  <c r="R566" i="4"/>
  <c r="R565" i="4"/>
  <c r="R564" i="4"/>
  <c r="R563" i="4"/>
  <c r="R562" i="4"/>
  <c r="R561" i="4"/>
  <c r="R560" i="4"/>
  <c r="R559" i="4"/>
  <c r="R558" i="4"/>
  <c r="R557" i="4"/>
  <c r="R556" i="4"/>
  <c r="R555" i="4"/>
  <c r="R554" i="4"/>
  <c r="R553" i="4"/>
  <c r="R552" i="4"/>
  <c r="R551" i="4"/>
  <c r="R550" i="4"/>
  <c r="R549" i="4"/>
  <c r="R548" i="4"/>
  <c r="R547" i="4"/>
  <c r="R546" i="4"/>
  <c r="R545" i="4"/>
  <c r="R544" i="4"/>
  <c r="R543" i="4"/>
  <c r="R542" i="4"/>
  <c r="R541" i="4"/>
  <c r="R540" i="4"/>
  <c r="R539" i="4"/>
  <c r="R538" i="4"/>
  <c r="R537" i="4"/>
  <c r="R536" i="4"/>
  <c r="R535" i="4"/>
  <c r="R534" i="4"/>
  <c r="R533" i="4"/>
  <c r="R532" i="4"/>
  <c r="R531" i="4"/>
  <c r="R530" i="4"/>
  <c r="R529" i="4"/>
  <c r="R528" i="4"/>
  <c r="R527" i="4"/>
  <c r="R526" i="4"/>
  <c r="R525" i="4"/>
  <c r="R524" i="4"/>
  <c r="R523" i="4"/>
  <c r="R522" i="4"/>
  <c r="R521" i="4"/>
  <c r="R520" i="4"/>
  <c r="R519" i="4"/>
  <c r="R518" i="4"/>
  <c r="R517" i="4"/>
  <c r="R516" i="4"/>
  <c r="R515" i="4"/>
  <c r="R514" i="4"/>
  <c r="R513" i="4"/>
  <c r="R512" i="4"/>
  <c r="R511" i="4"/>
  <c r="R510" i="4"/>
  <c r="R509" i="4"/>
  <c r="R508" i="4"/>
  <c r="R507" i="4"/>
  <c r="R506" i="4"/>
  <c r="R505" i="4"/>
  <c r="R504" i="4"/>
  <c r="R503" i="4"/>
  <c r="R502" i="4"/>
  <c r="R501" i="4"/>
  <c r="R500" i="4"/>
  <c r="R499" i="4"/>
  <c r="R498" i="4"/>
  <c r="R497" i="4"/>
  <c r="R496" i="4"/>
  <c r="R495" i="4"/>
  <c r="R494" i="4"/>
  <c r="R493" i="4"/>
  <c r="R492" i="4"/>
  <c r="R491" i="4"/>
  <c r="R490" i="4"/>
  <c r="R489" i="4"/>
  <c r="R488" i="4"/>
  <c r="R487" i="4"/>
  <c r="R486" i="4"/>
  <c r="R485" i="4"/>
  <c r="R484" i="4"/>
  <c r="R483" i="4"/>
  <c r="R482" i="4"/>
  <c r="R481" i="4"/>
  <c r="R480" i="4"/>
  <c r="R479" i="4"/>
  <c r="R478" i="4"/>
  <c r="R477" i="4"/>
  <c r="R476" i="4"/>
  <c r="R475" i="4"/>
  <c r="R474" i="4"/>
  <c r="R473" i="4"/>
  <c r="R472" i="4"/>
  <c r="R471" i="4"/>
  <c r="R470" i="4"/>
  <c r="R469" i="4"/>
  <c r="R468" i="4"/>
  <c r="R467" i="4"/>
  <c r="R466" i="4"/>
  <c r="R465" i="4"/>
  <c r="R464" i="4"/>
  <c r="R463" i="4"/>
  <c r="R462" i="4"/>
  <c r="R461" i="4"/>
  <c r="R460" i="4"/>
  <c r="R459" i="4"/>
  <c r="R458" i="4"/>
  <c r="R457" i="4"/>
  <c r="R456" i="4"/>
  <c r="R455" i="4"/>
  <c r="R454" i="4"/>
  <c r="R453" i="4"/>
  <c r="R452" i="4"/>
  <c r="R451" i="4"/>
  <c r="R450" i="4"/>
  <c r="R449" i="4"/>
  <c r="R448" i="4"/>
  <c r="R447" i="4"/>
  <c r="R446" i="4"/>
  <c r="R445" i="4"/>
  <c r="R444" i="4"/>
  <c r="R443" i="4"/>
  <c r="R442" i="4"/>
  <c r="R441" i="4"/>
  <c r="R440" i="4"/>
  <c r="R439" i="4"/>
  <c r="R438" i="4"/>
  <c r="R437" i="4"/>
  <c r="R436" i="4"/>
  <c r="R435" i="4"/>
  <c r="R434" i="4"/>
  <c r="R433" i="4"/>
  <c r="R432" i="4"/>
  <c r="R431" i="4"/>
  <c r="R430" i="4"/>
  <c r="R429" i="4"/>
  <c r="R428" i="4"/>
  <c r="R427" i="4"/>
  <c r="R426" i="4"/>
  <c r="R425" i="4"/>
  <c r="R424" i="4"/>
  <c r="R423" i="4"/>
  <c r="R422" i="4"/>
  <c r="R421" i="4"/>
  <c r="R420" i="4"/>
  <c r="R419" i="4"/>
  <c r="R418" i="4"/>
  <c r="R417" i="4"/>
  <c r="R416" i="4"/>
  <c r="R415" i="4"/>
  <c r="R414" i="4"/>
  <c r="R413" i="4"/>
  <c r="R412" i="4"/>
  <c r="R411" i="4"/>
  <c r="R410" i="4"/>
  <c r="R409" i="4"/>
  <c r="R408" i="4"/>
  <c r="R407" i="4"/>
  <c r="R406" i="4"/>
  <c r="R405" i="4"/>
  <c r="R404" i="4"/>
  <c r="R403" i="4"/>
  <c r="R402" i="4"/>
  <c r="R401" i="4"/>
  <c r="R400" i="4"/>
  <c r="R399" i="4"/>
  <c r="R398" i="4"/>
  <c r="R397" i="4"/>
  <c r="R396" i="4"/>
  <c r="R395" i="4"/>
  <c r="R394" i="4"/>
  <c r="R393" i="4"/>
  <c r="R392" i="4"/>
  <c r="R391" i="4"/>
  <c r="R390" i="4"/>
  <c r="R389" i="4"/>
  <c r="R388" i="4"/>
  <c r="R387" i="4"/>
  <c r="R386" i="4"/>
  <c r="R385" i="4"/>
  <c r="R384" i="4"/>
  <c r="R383" i="4"/>
  <c r="R382" i="4"/>
  <c r="R381" i="4"/>
  <c r="R380" i="4"/>
  <c r="R379" i="4"/>
  <c r="R378" i="4"/>
  <c r="R377" i="4"/>
  <c r="R376" i="4"/>
  <c r="R375" i="4"/>
  <c r="R374" i="4"/>
  <c r="R373" i="4"/>
  <c r="R372" i="4"/>
  <c r="R371" i="4"/>
  <c r="R370" i="4"/>
  <c r="R369" i="4"/>
  <c r="R368" i="4"/>
  <c r="R367" i="4"/>
  <c r="R366" i="4"/>
  <c r="R365" i="4"/>
  <c r="R364" i="4"/>
  <c r="R363" i="4"/>
  <c r="R362" i="4"/>
  <c r="R361" i="4"/>
  <c r="R360" i="4"/>
  <c r="R359" i="4"/>
  <c r="R358" i="4"/>
  <c r="R357" i="4"/>
  <c r="R356" i="4"/>
  <c r="R355" i="4"/>
  <c r="R354" i="4"/>
  <c r="R353" i="4"/>
  <c r="R352" i="4"/>
  <c r="R351" i="4"/>
  <c r="R350" i="4"/>
  <c r="R349" i="4"/>
  <c r="R348" i="4"/>
  <c r="R347" i="4"/>
  <c r="R346" i="4"/>
  <c r="R345" i="4"/>
  <c r="R344" i="4"/>
  <c r="R343" i="4"/>
  <c r="R342" i="4"/>
  <c r="R341" i="4"/>
  <c r="R340" i="4"/>
  <c r="R339" i="4"/>
  <c r="R338" i="4"/>
  <c r="R337" i="4"/>
  <c r="R336" i="4"/>
  <c r="R335" i="4"/>
  <c r="R334" i="4"/>
  <c r="R333" i="4"/>
  <c r="R332" i="4"/>
  <c r="R331" i="4"/>
  <c r="R330" i="4"/>
  <c r="R329" i="4"/>
  <c r="R328" i="4"/>
  <c r="R327" i="4"/>
  <c r="R326" i="4"/>
  <c r="R325" i="4"/>
  <c r="R324" i="4"/>
  <c r="R323" i="4"/>
  <c r="R322" i="4"/>
  <c r="R321" i="4"/>
  <c r="R320" i="4"/>
  <c r="R319" i="4"/>
  <c r="R318" i="4"/>
  <c r="R317" i="4"/>
  <c r="R316" i="4"/>
  <c r="R315" i="4"/>
  <c r="R314" i="4"/>
  <c r="R313" i="4"/>
  <c r="R312" i="4"/>
  <c r="R311" i="4"/>
  <c r="R310" i="4"/>
  <c r="R309" i="4"/>
  <c r="R308" i="4"/>
  <c r="R307" i="4"/>
  <c r="R306" i="4"/>
  <c r="R305" i="4"/>
  <c r="R304" i="4"/>
  <c r="R303" i="4"/>
  <c r="R302" i="4"/>
  <c r="R301" i="4"/>
  <c r="R300" i="4"/>
  <c r="R299" i="4"/>
  <c r="R298" i="4"/>
  <c r="R297" i="4"/>
  <c r="R296" i="4"/>
  <c r="R295" i="4"/>
  <c r="R294" i="4"/>
  <c r="R293" i="4"/>
  <c r="R292" i="4"/>
  <c r="R291" i="4"/>
  <c r="R290" i="4"/>
  <c r="R289" i="4"/>
  <c r="R288" i="4"/>
  <c r="R287" i="4"/>
  <c r="R286" i="4"/>
  <c r="R285" i="4"/>
  <c r="R284" i="4"/>
  <c r="R283" i="4"/>
  <c r="R282" i="4"/>
  <c r="R281" i="4"/>
  <c r="R280" i="4"/>
  <c r="R279" i="4"/>
  <c r="R278" i="4"/>
  <c r="R277" i="4"/>
  <c r="R276" i="4"/>
  <c r="R275" i="4"/>
  <c r="R274" i="4"/>
  <c r="R273" i="4"/>
  <c r="R272" i="4"/>
  <c r="R271" i="4"/>
  <c r="R270" i="4"/>
  <c r="R269" i="4"/>
  <c r="R268" i="4"/>
  <c r="R267" i="4"/>
  <c r="R266" i="4"/>
  <c r="R265" i="4"/>
  <c r="R264" i="4"/>
  <c r="R263" i="4"/>
  <c r="R262" i="4"/>
  <c r="R261" i="4"/>
  <c r="R260" i="4"/>
  <c r="R259" i="4"/>
  <c r="R258" i="4"/>
  <c r="R257" i="4"/>
  <c r="R256" i="4"/>
  <c r="R255" i="4"/>
  <c r="R254" i="4"/>
  <c r="R253" i="4"/>
  <c r="R252" i="4"/>
  <c r="R251" i="4"/>
  <c r="R250" i="4"/>
  <c r="R249" i="4"/>
  <c r="R248" i="4"/>
  <c r="R247" i="4"/>
  <c r="R246" i="4"/>
  <c r="R245" i="4"/>
  <c r="R244" i="4"/>
  <c r="R243" i="4"/>
  <c r="R242" i="4"/>
  <c r="R241" i="4"/>
  <c r="R240" i="4"/>
  <c r="R239" i="4"/>
  <c r="R238" i="4"/>
  <c r="R237" i="4"/>
  <c r="R236" i="4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R2" i="4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L1001" i="4"/>
  <c r="N1001" i="4" s="1"/>
  <c r="L1000" i="4"/>
  <c r="N1000" i="4" s="1"/>
  <c r="L999" i="4"/>
  <c r="N999" i="4" s="1"/>
  <c r="L998" i="4"/>
  <c r="N998" i="4" s="1"/>
  <c r="L997" i="4"/>
  <c r="N997" i="4" s="1"/>
  <c r="L996" i="4"/>
  <c r="N996" i="4" s="1"/>
  <c r="N995" i="4"/>
  <c r="L995" i="4"/>
  <c r="L994" i="4"/>
  <c r="N994" i="4" s="1"/>
  <c r="L993" i="4"/>
  <c r="N993" i="4" s="1"/>
  <c r="L992" i="4"/>
  <c r="N992" i="4" s="1"/>
  <c r="L991" i="4"/>
  <c r="N991" i="4" s="1"/>
  <c r="L990" i="4"/>
  <c r="N990" i="4" s="1"/>
  <c r="L989" i="4"/>
  <c r="N989" i="4" s="1"/>
  <c r="L988" i="4"/>
  <c r="N988" i="4" s="1"/>
  <c r="L987" i="4"/>
  <c r="N987" i="4" s="1"/>
  <c r="L986" i="4"/>
  <c r="N986" i="4" s="1"/>
  <c r="L985" i="4"/>
  <c r="N985" i="4" s="1"/>
  <c r="L984" i="4"/>
  <c r="N984" i="4" s="1"/>
  <c r="L983" i="4"/>
  <c r="N983" i="4" s="1"/>
  <c r="L982" i="4"/>
  <c r="N982" i="4" s="1"/>
  <c r="L981" i="4"/>
  <c r="N981" i="4" s="1"/>
  <c r="L980" i="4"/>
  <c r="N980" i="4" s="1"/>
  <c r="L979" i="4"/>
  <c r="N979" i="4" s="1"/>
  <c r="L978" i="4"/>
  <c r="N978" i="4" s="1"/>
  <c r="L977" i="4"/>
  <c r="N977" i="4" s="1"/>
  <c r="L976" i="4"/>
  <c r="N976" i="4" s="1"/>
  <c r="L975" i="4"/>
  <c r="N975" i="4" s="1"/>
  <c r="L974" i="4"/>
  <c r="N974" i="4" s="1"/>
  <c r="L973" i="4"/>
  <c r="N973" i="4" s="1"/>
  <c r="L972" i="4"/>
  <c r="N972" i="4" s="1"/>
  <c r="L971" i="4"/>
  <c r="N971" i="4" s="1"/>
  <c r="L970" i="4"/>
  <c r="N970" i="4" s="1"/>
  <c r="L969" i="4"/>
  <c r="N969" i="4" s="1"/>
  <c r="L968" i="4"/>
  <c r="N968" i="4" s="1"/>
  <c r="L967" i="4"/>
  <c r="N967" i="4" s="1"/>
  <c r="L966" i="4"/>
  <c r="N966" i="4" s="1"/>
  <c r="L965" i="4"/>
  <c r="N965" i="4" s="1"/>
  <c r="L964" i="4"/>
  <c r="N964" i="4" s="1"/>
  <c r="L963" i="4"/>
  <c r="N963" i="4" s="1"/>
  <c r="L962" i="4"/>
  <c r="N962" i="4" s="1"/>
  <c r="L961" i="4"/>
  <c r="N961" i="4" s="1"/>
  <c r="L960" i="4"/>
  <c r="N960" i="4" s="1"/>
  <c r="N959" i="4"/>
  <c r="L959" i="4"/>
  <c r="L958" i="4"/>
  <c r="N958" i="4" s="1"/>
  <c r="L957" i="4"/>
  <c r="N957" i="4" s="1"/>
  <c r="L956" i="4"/>
  <c r="N956" i="4" s="1"/>
  <c r="L955" i="4"/>
  <c r="N955" i="4" s="1"/>
  <c r="L954" i="4"/>
  <c r="N954" i="4" s="1"/>
  <c r="L953" i="4"/>
  <c r="N953" i="4" s="1"/>
  <c r="L952" i="4"/>
  <c r="N952" i="4" s="1"/>
  <c r="L951" i="4"/>
  <c r="N951" i="4" s="1"/>
  <c r="L950" i="4"/>
  <c r="N950" i="4" s="1"/>
  <c r="L949" i="4"/>
  <c r="N949" i="4" s="1"/>
  <c r="L948" i="4"/>
  <c r="N948" i="4" s="1"/>
  <c r="L947" i="4"/>
  <c r="N947" i="4" s="1"/>
  <c r="L946" i="4"/>
  <c r="N946" i="4" s="1"/>
  <c r="L945" i="4"/>
  <c r="N945" i="4" s="1"/>
  <c r="L944" i="4"/>
  <c r="N944" i="4" s="1"/>
  <c r="L943" i="4"/>
  <c r="N943" i="4" s="1"/>
  <c r="L942" i="4"/>
  <c r="N942" i="4" s="1"/>
  <c r="L941" i="4"/>
  <c r="N941" i="4" s="1"/>
  <c r="L940" i="4"/>
  <c r="N940" i="4" s="1"/>
  <c r="L939" i="4"/>
  <c r="N939" i="4" s="1"/>
  <c r="L938" i="4"/>
  <c r="N938" i="4" s="1"/>
  <c r="L937" i="4"/>
  <c r="N937" i="4" s="1"/>
  <c r="L936" i="4"/>
  <c r="N936" i="4" s="1"/>
  <c r="L935" i="4"/>
  <c r="N935" i="4" s="1"/>
  <c r="L934" i="4"/>
  <c r="N934" i="4" s="1"/>
  <c r="L933" i="4"/>
  <c r="N933" i="4" s="1"/>
  <c r="L932" i="4"/>
  <c r="N932" i="4" s="1"/>
  <c r="L931" i="4"/>
  <c r="N931" i="4" s="1"/>
  <c r="L930" i="4"/>
  <c r="N930" i="4" s="1"/>
  <c r="L929" i="4"/>
  <c r="N929" i="4" s="1"/>
  <c r="L928" i="4"/>
  <c r="N928" i="4" s="1"/>
  <c r="L927" i="4"/>
  <c r="N927" i="4" s="1"/>
  <c r="L926" i="4"/>
  <c r="N926" i="4" s="1"/>
  <c r="L925" i="4"/>
  <c r="N925" i="4" s="1"/>
  <c r="L924" i="4"/>
  <c r="N924" i="4" s="1"/>
  <c r="L923" i="4"/>
  <c r="N923" i="4" s="1"/>
  <c r="L922" i="4"/>
  <c r="N922" i="4" s="1"/>
  <c r="L921" i="4"/>
  <c r="N921" i="4" s="1"/>
  <c r="L920" i="4"/>
  <c r="N920" i="4" s="1"/>
  <c r="L919" i="4"/>
  <c r="N919" i="4" s="1"/>
  <c r="L918" i="4"/>
  <c r="N918" i="4" s="1"/>
  <c r="L917" i="4"/>
  <c r="N917" i="4" s="1"/>
  <c r="L916" i="4"/>
  <c r="N916" i="4" s="1"/>
  <c r="L915" i="4"/>
  <c r="N915" i="4" s="1"/>
  <c r="L914" i="4"/>
  <c r="N914" i="4" s="1"/>
  <c r="L913" i="4"/>
  <c r="N913" i="4" s="1"/>
  <c r="L912" i="4"/>
  <c r="N912" i="4" s="1"/>
  <c r="L911" i="4"/>
  <c r="N911" i="4" s="1"/>
  <c r="L910" i="4"/>
  <c r="N910" i="4" s="1"/>
  <c r="L909" i="4"/>
  <c r="N909" i="4" s="1"/>
  <c r="L908" i="4"/>
  <c r="N908" i="4" s="1"/>
  <c r="L907" i="4"/>
  <c r="N907" i="4" s="1"/>
  <c r="L906" i="4"/>
  <c r="N906" i="4" s="1"/>
  <c r="L905" i="4"/>
  <c r="N905" i="4" s="1"/>
  <c r="L904" i="4"/>
  <c r="N904" i="4" s="1"/>
  <c r="L903" i="4"/>
  <c r="N903" i="4" s="1"/>
  <c r="L902" i="4"/>
  <c r="N902" i="4" s="1"/>
  <c r="L901" i="4"/>
  <c r="N901" i="4" s="1"/>
  <c r="L900" i="4"/>
  <c r="N900" i="4" s="1"/>
  <c r="L899" i="4"/>
  <c r="N899" i="4" s="1"/>
  <c r="L898" i="4"/>
  <c r="N898" i="4" s="1"/>
  <c r="L897" i="4"/>
  <c r="N897" i="4" s="1"/>
  <c r="L896" i="4"/>
  <c r="N896" i="4" s="1"/>
  <c r="L895" i="4"/>
  <c r="N895" i="4" s="1"/>
  <c r="L894" i="4"/>
  <c r="N894" i="4" s="1"/>
  <c r="L893" i="4"/>
  <c r="N893" i="4" s="1"/>
  <c r="L892" i="4"/>
  <c r="N892" i="4" s="1"/>
  <c r="L891" i="4"/>
  <c r="N891" i="4" s="1"/>
  <c r="L890" i="4"/>
  <c r="N890" i="4" s="1"/>
  <c r="L889" i="4"/>
  <c r="N889" i="4" s="1"/>
  <c r="L888" i="4"/>
  <c r="N888" i="4" s="1"/>
  <c r="L887" i="4"/>
  <c r="N887" i="4" s="1"/>
  <c r="L886" i="4"/>
  <c r="N886" i="4" s="1"/>
  <c r="L885" i="4"/>
  <c r="N885" i="4" s="1"/>
  <c r="L884" i="4"/>
  <c r="N884" i="4" s="1"/>
  <c r="L883" i="4"/>
  <c r="N883" i="4" s="1"/>
  <c r="L882" i="4"/>
  <c r="N882" i="4" s="1"/>
  <c r="L881" i="4"/>
  <c r="N881" i="4" s="1"/>
  <c r="L880" i="4"/>
  <c r="N880" i="4" s="1"/>
  <c r="L879" i="4"/>
  <c r="N879" i="4" s="1"/>
  <c r="L878" i="4"/>
  <c r="N878" i="4" s="1"/>
  <c r="L877" i="4"/>
  <c r="N877" i="4" s="1"/>
  <c r="L876" i="4"/>
  <c r="N876" i="4" s="1"/>
  <c r="L875" i="4"/>
  <c r="N875" i="4" s="1"/>
  <c r="L874" i="4"/>
  <c r="N874" i="4" s="1"/>
  <c r="L873" i="4"/>
  <c r="N873" i="4" s="1"/>
  <c r="L872" i="4"/>
  <c r="N872" i="4" s="1"/>
  <c r="L871" i="4"/>
  <c r="N871" i="4" s="1"/>
  <c r="L870" i="4"/>
  <c r="N870" i="4" s="1"/>
  <c r="L869" i="4"/>
  <c r="N869" i="4" s="1"/>
  <c r="L868" i="4"/>
  <c r="N868" i="4" s="1"/>
  <c r="L867" i="4"/>
  <c r="N867" i="4" s="1"/>
  <c r="L866" i="4"/>
  <c r="N866" i="4" s="1"/>
  <c r="L865" i="4"/>
  <c r="N865" i="4" s="1"/>
  <c r="L864" i="4"/>
  <c r="N864" i="4" s="1"/>
  <c r="L863" i="4"/>
  <c r="N863" i="4" s="1"/>
  <c r="L862" i="4"/>
  <c r="N862" i="4" s="1"/>
  <c r="L861" i="4"/>
  <c r="N861" i="4" s="1"/>
  <c r="L860" i="4"/>
  <c r="N860" i="4" s="1"/>
  <c r="L859" i="4"/>
  <c r="N859" i="4" s="1"/>
  <c r="L858" i="4"/>
  <c r="N858" i="4" s="1"/>
  <c r="L857" i="4"/>
  <c r="N857" i="4" s="1"/>
  <c r="L856" i="4"/>
  <c r="N856" i="4" s="1"/>
  <c r="L855" i="4"/>
  <c r="N855" i="4" s="1"/>
  <c r="L854" i="4"/>
  <c r="N854" i="4" s="1"/>
  <c r="L853" i="4"/>
  <c r="N853" i="4" s="1"/>
  <c r="L852" i="4"/>
  <c r="N852" i="4" s="1"/>
  <c r="L851" i="4"/>
  <c r="N851" i="4" s="1"/>
  <c r="L850" i="4"/>
  <c r="N850" i="4" s="1"/>
  <c r="L849" i="4"/>
  <c r="N849" i="4" s="1"/>
  <c r="L848" i="4"/>
  <c r="N848" i="4" s="1"/>
  <c r="L847" i="4"/>
  <c r="N847" i="4" s="1"/>
  <c r="L846" i="4"/>
  <c r="N846" i="4" s="1"/>
  <c r="L845" i="4"/>
  <c r="N845" i="4" s="1"/>
  <c r="L844" i="4"/>
  <c r="N844" i="4" s="1"/>
  <c r="L843" i="4"/>
  <c r="N843" i="4" s="1"/>
  <c r="L842" i="4"/>
  <c r="N842" i="4" s="1"/>
  <c r="L841" i="4"/>
  <c r="N841" i="4" s="1"/>
  <c r="L840" i="4"/>
  <c r="N840" i="4" s="1"/>
  <c r="L839" i="4"/>
  <c r="N839" i="4" s="1"/>
  <c r="L838" i="4"/>
  <c r="N838" i="4" s="1"/>
  <c r="L837" i="4"/>
  <c r="N837" i="4" s="1"/>
  <c r="L836" i="4"/>
  <c r="N836" i="4" s="1"/>
  <c r="L835" i="4"/>
  <c r="N835" i="4" s="1"/>
  <c r="L834" i="4"/>
  <c r="N834" i="4" s="1"/>
  <c r="L833" i="4"/>
  <c r="N833" i="4" s="1"/>
  <c r="L832" i="4"/>
  <c r="N832" i="4" s="1"/>
  <c r="L831" i="4"/>
  <c r="N831" i="4" s="1"/>
  <c r="L830" i="4"/>
  <c r="N830" i="4" s="1"/>
  <c r="L829" i="4"/>
  <c r="N829" i="4" s="1"/>
  <c r="L828" i="4"/>
  <c r="N828" i="4" s="1"/>
  <c r="L827" i="4"/>
  <c r="N827" i="4" s="1"/>
  <c r="L826" i="4"/>
  <c r="N826" i="4" s="1"/>
  <c r="N825" i="4"/>
  <c r="L825" i="4"/>
  <c r="L824" i="4"/>
  <c r="N824" i="4" s="1"/>
  <c r="L823" i="4"/>
  <c r="N823" i="4" s="1"/>
  <c r="L822" i="4"/>
  <c r="N822" i="4" s="1"/>
  <c r="L821" i="4"/>
  <c r="N821" i="4" s="1"/>
  <c r="L820" i="4"/>
  <c r="N820" i="4" s="1"/>
  <c r="L819" i="4"/>
  <c r="N819" i="4" s="1"/>
  <c r="L818" i="4"/>
  <c r="N818" i="4" s="1"/>
  <c r="L817" i="4"/>
  <c r="N817" i="4" s="1"/>
  <c r="L816" i="4"/>
  <c r="N816" i="4" s="1"/>
  <c r="L815" i="4"/>
  <c r="N815" i="4" s="1"/>
  <c r="L814" i="4"/>
  <c r="N814" i="4" s="1"/>
  <c r="L813" i="4"/>
  <c r="N813" i="4" s="1"/>
  <c r="L812" i="4"/>
  <c r="N812" i="4" s="1"/>
  <c r="L811" i="4"/>
  <c r="N811" i="4" s="1"/>
  <c r="L810" i="4"/>
  <c r="N810" i="4" s="1"/>
  <c r="L809" i="4"/>
  <c r="N809" i="4" s="1"/>
  <c r="L808" i="4"/>
  <c r="N808" i="4" s="1"/>
  <c r="L807" i="4"/>
  <c r="N807" i="4" s="1"/>
  <c r="L806" i="4"/>
  <c r="N806" i="4" s="1"/>
  <c r="L805" i="4"/>
  <c r="N805" i="4" s="1"/>
  <c r="L804" i="4"/>
  <c r="N804" i="4" s="1"/>
  <c r="L803" i="4"/>
  <c r="N803" i="4" s="1"/>
  <c r="L802" i="4"/>
  <c r="N802" i="4" s="1"/>
  <c r="L801" i="4"/>
  <c r="N801" i="4" s="1"/>
  <c r="L800" i="4"/>
  <c r="N800" i="4" s="1"/>
  <c r="L799" i="4"/>
  <c r="N799" i="4" s="1"/>
  <c r="L798" i="4"/>
  <c r="N798" i="4" s="1"/>
  <c r="L797" i="4"/>
  <c r="N797" i="4" s="1"/>
  <c r="L796" i="4"/>
  <c r="N796" i="4" s="1"/>
  <c r="L795" i="4"/>
  <c r="N795" i="4" s="1"/>
  <c r="L794" i="4"/>
  <c r="N794" i="4" s="1"/>
  <c r="L793" i="4"/>
  <c r="N793" i="4" s="1"/>
  <c r="L792" i="4"/>
  <c r="N792" i="4" s="1"/>
  <c r="L791" i="4"/>
  <c r="N791" i="4" s="1"/>
  <c r="L790" i="4"/>
  <c r="N790" i="4" s="1"/>
  <c r="L789" i="4"/>
  <c r="N789" i="4" s="1"/>
  <c r="L788" i="4"/>
  <c r="N788" i="4" s="1"/>
  <c r="L787" i="4"/>
  <c r="N787" i="4" s="1"/>
  <c r="L786" i="4"/>
  <c r="N786" i="4" s="1"/>
  <c r="L785" i="4"/>
  <c r="N785" i="4" s="1"/>
  <c r="L784" i="4"/>
  <c r="N784" i="4" s="1"/>
  <c r="L783" i="4"/>
  <c r="N783" i="4" s="1"/>
  <c r="L782" i="4"/>
  <c r="N782" i="4" s="1"/>
  <c r="L781" i="4"/>
  <c r="N781" i="4" s="1"/>
  <c r="L780" i="4"/>
  <c r="N780" i="4" s="1"/>
  <c r="L779" i="4"/>
  <c r="N779" i="4" s="1"/>
  <c r="L778" i="4"/>
  <c r="N778" i="4" s="1"/>
  <c r="L777" i="4"/>
  <c r="N777" i="4" s="1"/>
  <c r="L776" i="4"/>
  <c r="N776" i="4" s="1"/>
  <c r="L775" i="4"/>
  <c r="N775" i="4" s="1"/>
  <c r="L774" i="4"/>
  <c r="N774" i="4" s="1"/>
  <c r="L773" i="4"/>
  <c r="N773" i="4" s="1"/>
  <c r="L772" i="4"/>
  <c r="N772" i="4" s="1"/>
  <c r="L771" i="4"/>
  <c r="N771" i="4" s="1"/>
  <c r="L770" i="4"/>
  <c r="N770" i="4" s="1"/>
  <c r="L769" i="4"/>
  <c r="N769" i="4" s="1"/>
  <c r="L768" i="4"/>
  <c r="N768" i="4" s="1"/>
  <c r="L767" i="4"/>
  <c r="N767" i="4" s="1"/>
  <c r="L766" i="4"/>
  <c r="N766" i="4" s="1"/>
  <c r="L765" i="4"/>
  <c r="N765" i="4" s="1"/>
  <c r="L764" i="4"/>
  <c r="N764" i="4" s="1"/>
  <c r="L763" i="4"/>
  <c r="N763" i="4" s="1"/>
  <c r="L762" i="4"/>
  <c r="N762" i="4" s="1"/>
  <c r="L761" i="4"/>
  <c r="N761" i="4" s="1"/>
  <c r="L760" i="4"/>
  <c r="N760" i="4" s="1"/>
  <c r="L759" i="4"/>
  <c r="N759" i="4" s="1"/>
  <c r="L758" i="4"/>
  <c r="N758" i="4" s="1"/>
  <c r="L757" i="4"/>
  <c r="N757" i="4" s="1"/>
  <c r="L756" i="4"/>
  <c r="N756" i="4" s="1"/>
  <c r="L755" i="4"/>
  <c r="N755" i="4" s="1"/>
  <c r="L754" i="4"/>
  <c r="N754" i="4" s="1"/>
  <c r="L753" i="4"/>
  <c r="N753" i="4" s="1"/>
  <c r="L752" i="4"/>
  <c r="N752" i="4" s="1"/>
  <c r="L751" i="4"/>
  <c r="N751" i="4" s="1"/>
  <c r="L750" i="4"/>
  <c r="N750" i="4" s="1"/>
  <c r="L749" i="4"/>
  <c r="N749" i="4" s="1"/>
  <c r="L748" i="4"/>
  <c r="N748" i="4" s="1"/>
  <c r="L747" i="4"/>
  <c r="N747" i="4" s="1"/>
  <c r="L746" i="4"/>
  <c r="N746" i="4" s="1"/>
  <c r="L745" i="4"/>
  <c r="N745" i="4" s="1"/>
  <c r="L744" i="4"/>
  <c r="N744" i="4" s="1"/>
  <c r="L743" i="4"/>
  <c r="N743" i="4" s="1"/>
  <c r="L742" i="4"/>
  <c r="N742" i="4" s="1"/>
  <c r="L741" i="4"/>
  <c r="N741" i="4" s="1"/>
  <c r="L740" i="4"/>
  <c r="N740" i="4" s="1"/>
  <c r="L739" i="4"/>
  <c r="N739" i="4" s="1"/>
  <c r="L738" i="4"/>
  <c r="N738" i="4" s="1"/>
  <c r="L737" i="4"/>
  <c r="N737" i="4" s="1"/>
  <c r="L736" i="4"/>
  <c r="N736" i="4" s="1"/>
  <c r="L735" i="4"/>
  <c r="N735" i="4" s="1"/>
  <c r="L734" i="4"/>
  <c r="N734" i="4" s="1"/>
  <c r="L733" i="4"/>
  <c r="N733" i="4" s="1"/>
  <c r="L732" i="4"/>
  <c r="N732" i="4" s="1"/>
  <c r="L731" i="4"/>
  <c r="N731" i="4" s="1"/>
  <c r="L730" i="4"/>
  <c r="N730" i="4" s="1"/>
  <c r="L729" i="4"/>
  <c r="N729" i="4" s="1"/>
  <c r="L728" i="4"/>
  <c r="N728" i="4" s="1"/>
  <c r="L727" i="4"/>
  <c r="N727" i="4" s="1"/>
  <c r="L726" i="4"/>
  <c r="N726" i="4" s="1"/>
  <c r="L725" i="4"/>
  <c r="N725" i="4" s="1"/>
  <c r="L724" i="4"/>
  <c r="N724" i="4" s="1"/>
  <c r="L723" i="4"/>
  <c r="N723" i="4" s="1"/>
  <c r="L722" i="4"/>
  <c r="N722" i="4" s="1"/>
  <c r="L721" i="4"/>
  <c r="N721" i="4" s="1"/>
  <c r="L720" i="4"/>
  <c r="N720" i="4" s="1"/>
  <c r="L719" i="4"/>
  <c r="N719" i="4" s="1"/>
  <c r="L718" i="4"/>
  <c r="N718" i="4" s="1"/>
  <c r="L717" i="4"/>
  <c r="N717" i="4" s="1"/>
  <c r="L716" i="4"/>
  <c r="N716" i="4" s="1"/>
  <c r="L715" i="4"/>
  <c r="N715" i="4" s="1"/>
  <c r="L714" i="4"/>
  <c r="N714" i="4" s="1"/>
  <c r="L713" i="4"/>
  <c r="N713" i="4" s="1"/>
  <c r="L712" i="4"/>
  <c r="N712" i="4" s="1"/>
  <c r="L711" i="4"/>
  <c r="N711" i="4" s="1"/>
  <c r="L710" i="4"/>
  <c r="N710" i="4" s="1"/>
  <c r="L709" i="4"/>
  <c r="N709" i="4" s="1"/>
  <c r="L708" i="4"/>
  <c r="N708" i="4" s="1"/>
  <c r="L707" i="4"/>
  <c r="N707" i="4" s="1"/>
  <c r="L706" i="4"/>
  <c r="N706" i="4" s="1"/>
  <c r="L705" i="4"/>
  <c r="N705" i="4" s="1"/>
  <c r="L704" i="4"/>
  <c r="N704" i="4" s="1"/>
  <c r="L703" i="4"/>
  <c r="N703" i="4" s="1"/>
  <c r="L702" i="4"/>
  <c r="N702" i="4" s="1"/>
  <c r="L701" i="4"/>
  <c r="N701" i="4" s="1"/>
  <c r="L700" i="4"/>
  <c r="N700" i="4" s="1"/>
  <c r="L699" i="4"/>
  <c r="N699" i="4" s="1"/>
  <c r="L698" i="4"/>
  <c r="N698" i="4" s="1"/>
  <c r="L697" i="4"/>
  <c r="N697" i="4" s="1"/>
  <c r="L696" i="4"/>
  <c r="N696" i="4" s="1"/>
  <c r="L695" i="4"/>
  <c r="N695" i="4" s="1"/>
  <c r="L694" i="4"/>
  <c r="N694" i="4" s="1"/>
  <c r="L693" i="4"/>
  <c r="N693" i="4" s="1"/>
  <c r="L692" i="4"/>
  <c r="N692" i="4" s="1"/>
  <c r="L691" i="4"/>
  <c r="N691" i="4" s="1"/>
  <c r="L690" i="4"/>
  <c r="N690" i="4" s="1"/>
  <c r="L689" i="4"/>
  <c r="N689" i="4" s="1"/>
  <c r="L688" i="4"/>
  <c r="N688" i="4" s="1"/>
  <c r="L687" i="4"/>
  <c r="N687" i="4" s="1"/>
  <c r="L686" i="4"/>
  <c r="N686" i="4" s="1"/>
  <c r="L685" i="4"/>
  <c r="N685" i="4" s="1"/>
  <c r="L684" i="4"/>
  <c r="N684" i="4" s="1"/>
  <c r="L683" i="4"/>
  <c r="N683" i="4" s="1"/>
  <c r="L682" i="4"/>
  <c r="N682" i="4" s="1"/>
  <c r="L681" i="4"/>
  <c r="N681" i="4" s="1"/>
  <c r="L680" i="4"/>
  <c r="N680" i="4" s="1"/>
  <c r="L679" i="4"/>
  <c r="N679" i="4" s="1"/>
  <c r="L678" i="4"/>
  <c r="N678" i="4" s="1"/>
  <c r="L677" i="4"/>
  <c r="N677" i="4" s="1"/>
  <c r="L676" i="4"/>
  <c r="N676" i="4" s="1"/>
  <c r="L675" i="4"/>
  <c r="N675" i="4" s="1"/>
  <c r="L674" i="4"/>
  <c r="N674" i="4" s="1"/>
  <c r="L673" i="4"/>
  <c r="N673" i="4" s="1"/>
  <c r="L672" i="4"/>
  <c r="N672" i="4" s="1"/>
  <c r="L671" i="4"/>
  <c r="N671" i="4" s="1"/>
  <c r="L670" i="4"/>
  <c r="N670" i="4" s="1"/>
  <c r="L669" i="4"/>
  <c r="N669" i="4" s="1"/>
  <c r="L668" i="4"/>
  <c r="N668" i="4" s="1"/>
  <c r="L667" i="4"/>
  <c r="N667" i="4" s="1"/>
  <c r="L666" i="4"/>
  <c r="N666" i="4" s="1"/>
  <c r="L665" i="4"/>
  <c r="N665" i="4" s="1"/>
  <c r="L664" i="4"/>
  <c r="N664" i="4" s="1"/>
  <c r="L663" i="4"/>
  <c r="N663" i="4" s="1"/>
  <c r="L662" i="4"/>
  <c r="N662" i="4" s="1"/>
  <c r="L661" i="4"/>
  <c r="N661" i="4" s="1"/>
  <c r="L660" i="4"/>
  <c r="N660" i="4" s="1"/>
  <c r="L659" i="4"/>
  <c r="N659" i="4" s="1"/>
  <c r="L658" i="4"/>
  <c r="N658" i="4" s="1"/>
  <c r="L657" i="4"/>
  <c r="N657" i="4" s="1"/>
  <c r="L656" i="4"/>
  <c r="N656" i="4" s="1"/>
  <c r="L655" i="4"/>
  <c r="N655" i="4" s="1"/>
  <c r="L654" i="4"/>
  <c r="N654" i="4" s="1"/>
  <c r="L653" i="4"/>
  <c r="N653" i="4" s="1"/>
  <c r="L652" i="4"/>
  <c r="N652" i="4" s="1"/>
  <c r="L651" i="4"/>
  <c r="N651" i="4" s="1"/>
  <c r="L650" i="4"/>
  <c r="N650" i="4" s="1"/>
  <c r="L649" i="4"/>
  <c r="N649" i="4" s="1"/>
  <c r="L648" i="4"/>
  <c r="N648" i="4" s="1"/>
  <c r="L647" i="4"/>
  <c r="N647" i="4" s="1"/>
  <c r="L646" i="4"/>
  <c r="N646" i="4" s="1"/>
  <c r="L645" i="4"/>
  <c r="N645" i="4" s="1"/>
  <c r="L644" i="4"/>
  <c r="N644" i="4" s="1"/>
  <c r="L643" i="4"/>
  <c r="N643" i="4" s="1"/>
  <c r="L642" i="4"/>
  <c r="N642" i="4" s="1"/>
  <c r="L641" i="4"/>
  <c r="N641" i="4" s="1"/>
  <c r="L640" i="4"/>
  <c r="N640" i="4" s="1"/>
  <c r="L639" i="4"/>
  <c r="N639" i="4" s="1"/>
  <c r="L638" i="4"/>
  <c r="N638" i="4" s="1"/>
  <c r="L637" i="4"/>
  <c r="N637" i="4" s="1"/>
  <c r="L636" i="4"/>
  <c r="N636" i="4" s="1"/>
  <c r="L635" i="4"/>
  <c r="N635" i="4" s="1"/>
  <c r="L634" i="4"/>
  <c r="N634" i="4" s="1"/>
  <c r="L633" i="4"/>
  <c r="N633" i="4" s="1"/>
  <c r="L632" i="4"/>
  <c r="N632" i="4" s="1"/>
  <c r="L631" i="4"/>
  <c r="N631" i="4" s="1"/>
  <c r="L630" i="4"/>
  <c r="N630" i="4" s="1"/>
  <c r="L629" i="4"/>
  <c r="N629" i="4" s="1"/>
  <c r="L628" i="4"/>
  <c r="N628" i="4" s="1"/>
  <c r="L627" i="4"/>
  <c r="N627" i="4" s="1"/>
  <c r="L626" i="4"/>
  <c r="N626" i="4" s="1"/>
  <c r="L625" i="4"/>
  <c r="N625" i="4" s="1"/>
  <c r="L624" i="4"/>
  <c r="N624" i="4" s="1"/>
  <c r="L623" i="4"/>
  <c r="N623" i="4" s="1"/>
  <c r="L622" i="4"/>
  <c r="N622" i="4" s="1"/>
  <c r="L621" i="4"/>
  <c r="N621" i="4" s="1"/>
  <c r="L620" i="4"/>
  <c r="N620" i="4" s="1"/>
  <c r="L619" i="4"/>
  <c r="N619" i="4" s="1"/>
  <c r="L618" i="4"/>
  <c r="N618" i="4" s="1"/>
  <c r="L617" i="4"/>
  <c r="N617" i="4" s="1"/>
  <c r="L616" i="4"/>
  <c r="N616" i="4" s="1"/>
  <c r="L615" i="4"/>
  <c r="N615" i="4" s="1"/>
  <c r="L614" i="4"/>
  <c r="N614" i="4" s="1"/>
  <c r="L613" i="4"/>
  <c r="N613" i="4" s="1"/>
  <c r="L612" i="4"/>
  <c r="N612" i="4" s="1"/>
  <c r="L611" i="4"/>
  <c r="N611" i="4" s="1"/>
  <c r="L610" i="4"/>
  <c r="N610" i="4" s="1"/>
  <c r="L609" i="4"/>
  <c r="N609" i="4" s="1"/>
  <c r="L608" i="4"/>
  <c r="N608" i="4" s="1"/>
  <c r="L607" i="4"/>
  <c r="N607" i="4" s="1"/>
  <c r="L606" i="4"/>
  <c r="N606" i="4" s="1"/>
  <c r="L605" i="4"/>
  <c r="N605" i="4" s="1"/>
  <c r="L604" i="4"/>
  <c r="N604" i="4" s="1"/>
  <c r="L603" i="4"/>
  <c r="N603" i="4" s="1"/>
  <c r="L602" i="4"/>
  <c r="N602" i="4" s="1"/>
  <c r="L601" i="4"/>
  <c r="N601" i="4" s="1"/>
  <c r="L600" i="4"/>
  <c r="N600" i="4" s="1"/>
  <c r="L599" i="4"/>
  <c r="N599" i="4" s="1"/>
  <c r="L598" i="4"/>
  <c r="N598" i="4" s="1"/>
  <c r="L597" i="4"/>
  <c r="N597" i="4" s="1"/>
  <c r="L596" i="4"/>
  <c r="N596" i="4" s="1"/>
  <c r="L595" i="4"/>
  <c r="N595" i="4" s="1"/>
  <c r="L594" i="4"/>
  <c r="N594" i="4" s="1"/>
  <c r="L593" i="4"/>
  <c r="N593" i="4" s="1"/>
  <c r="L592" i="4"/>
  <c r="N592" i="4" s="1"/>
  <c r="L591" i="4"/>
  <c r="N591" i="4" s="1"/>
  <c r="L590" i="4"/>
  <c r="N590" i="4" s="1"/>
  <c r="L589" i="4"/>
  <c r="N589" i="4" s="1"/>
  <c r="L588" i="4"/>
  <c r="N588" i="4" s="1"/>
  <c r="N587" i="4"/>
  <c r="L587" i="4"/>
  <c r="L586" i="4"/>
  <c r="N586" i="4" s="1"/>
  <c r="L585" i="4"/>
  <c r="N585" i="4" s="1"/>
  <c r="L584" i="4"/>
  <c r="N584" i="4" s="1"/>
  <c r="L583" i="4"/>
  <c r="N583" i="4" s="1"/>
  <c r="L582" i="4"/>
  <c r="N582" i="4" s="1"/>
  <c r="L581" i="4"/>
  <c r="N581" i="4" s="1"/>
  <c r="L580" i="4"/>
  <c r="N580" i="4" s="1"/>
  <c r="L579" i="4"/>
  <c r="N579" i="4" s="1"/>
  <c r="L578" i="4"/>
  <c r="N578" i="4" s="1"/>
  <c r="L577" i="4"/>
  <c r="N577" i="4" s="1"/>
  <c r="L576" i="4"/>
  <c r="N576" i="4" s="1"/>
  <c r="L575" i="4"/>
  <c r="N575" i="4" s="1"/>
  <c r="L574" i="4"/>
  <c r="N574" i="4" s="1"/>
  <c r="L573" i="4"/>
  <c r="N573" i="4" s="1"/>
  <c r="L572" i="4"/>
  <c r="N572" i="4" s="1"/>
  <c r="L571" i="4"/>
  <c r="N571" i="4" s="1"/>
  <c r="L570" i="4"/>
  <c r="N570" i="4" s="1"/>
  <c r="L569" i="4"/>
  <c r="N569" i="4" s="1"/>
  <c r="L568" i="4"/>
  <c r="N568" i="4" s="1"/>
  <c r="L567" i="4"/>
  <c r="N567" i="4" s="1"/>
  <c r="L566" i="4"/>
  <c r="N566" i="4" s="1"/>
  <c r="L565" i="4"/>
  <c r="N565" i="4" s="1"/>
  <c r="L564" i="4"/>
  <c r="N564" i="4" s="1"/>
  <c r="L563" i="4"/>
  <c r="N563" i="4" s="1"/>
  <c r="L562" i="4"/>
  <c r="N562" i="4" s="1"/>
  <c r="L561" i="4"/>
  <c r="N561" i="4" s="1"/>
  <c r="L560" i="4"/>
  <c r="N560" i="4" s="1"/>
  <c r="L559" i="4"/>
  <c r="N559" i="4" s="1"/>
  <c r="L558" i="4"/>
  <c r="N558" i="4" s="1"/>
  <c r="L557" i="4"/>
  <c r="N557" i="4" s="1"/>
  <c r="L556" i="4"/>
  <c r="N556" i="4" s="1"/>
  <c r="L555" i="4"/>
  <c r="N555" i="4" s="1"/>
  <c r="L554" i="4"/>
  <c r="N554" i="4" s="1"/>
  <c r="L553" i="4"/>
  <c r="N553" i="4" s="1"/>
  <c r="L552" i="4"/>
  <c r="N552" i="4" s="1"/>
  <c r="L551" i="4"/>
  <c r="N551" i="4" s="1"/>
  <c r="L550" i="4"/>
  <c r="N550" i="4" s="1"/>
  <c r="L549" i="4"/>
  <c r="N549" i="4" s="1"/>
  <c r="L548" i="4"/>
  <c r="N548" i="4" s="1"/>
  <c r="L547" i="4"/>
  <c r="N547" i="4" s="1"/>
  <c r="L546" i="4"/>
  <c r="N546" i="4" s="1"/>
  <c r="L545" i="4"/>
  <c r="N545" i="4" s="1"/>
  <c r="L544" i="4"/>
  <c r="N544" i="4" s="1"/>
  <c r="L543" i="4"/>
  <c r="N543" i="4" s="1"/>
  <c r="L542" i="4"/>
  <c r="N542" i="4" s="1"/>
  <c r="L541" i="4"/>
  <c r="N541" i="4" s="1"/>
  <c r="L540" i="4"/>
  <c r="N540" i="4" s="1"/>
  <c r="L539" i="4"/>
  <c r="N539" i="4" s="1"/>
  <c r="L538" i="4"/>
  <c r="N538" i="4" s="1"/>
  <c r="L537" i="4"/>
  <c r="N537" i="4" s="1"/>
  <c r="L536" i="4"/>
  <c r="N536" i="4" s="1"/>
  <c r="L535" i="4"/>
  <c r="N535" i="4" s="1"/>
  <c r="L534" i="4"/>
  <c r="N534" i="4" s="1"/>
  <c r="L533" i="4"/>
  <c r="N533" i="4" s="1"/>
  <c r="L532" i="4"/>
  <c r="N532" i="4" s="1"/>
  <c r="L531" i="4"/>
  <c r="N531" i="4" s="1"/>
  <c r="L530" i="4"/>
  <c r="N530" i="4" s="1"/>
  <c r="L529" i="4"/>
  <c r="N529" i="4" s="1"/>
  <c r="L528" i="4"/>
  <c r="N528" i="4" s="1"/>
  <c r="L527" i="4"/>
  <c r="N527" i="4" s="1"/>
  <c r="L526" i="4"/>
  <c r="N526" i="4" s="1"/>
  <c r="L525" i="4"/>
  <c r="N525" i="4" s="1"/>
  <c r="L524" i="4"/>
  <c r="N524" i="4" s="1"/>
  <c r="L523" i="4"/>
  <c r="N523" i="4" s="1"/>
  <c r="L522" i="4"/>
  <c r="N522" i="4" s="1"/>
  <c r="L521" i="4"/>
  <c r="N521" i="4" s="1"/>
  <c r="L520" i="4"/>
  <c r="N520" i="4" s="1"/>
  <c r="L519" i="4"/>
  <c r="N519" i="4" s="1"/>
  <c r="L518" i="4"/>
  <c r="N518" i="4" s="1"/>
  <c r="L517" i="4"/>
  <c r="N517" i="4" s="1"/>
  <c r="L516" i="4"/>
  <c r="N516" i="4" s="1"/>
  <c r="L515" i="4"/>
  <c r="N515" i="4" s="1"/>
  <c r="L514" i="4"/>
  <c r="N514" i="4" s="1"/>
  <c r="L513" i="4"/>
  <c r="N513" i="4" s="1"/>
  <c r="L512" i="4"/>
  <c r="N512" i="4" s="1"/>
  <c r="L511" i="4"/>
  <c r="N511" i="4" s="1"/>
  <c r="L510" i="4"/>
  <c r="N510" i="4" s="1"/>
  <c r="L509" i="4"/>
  <c r="N509" i="4" s="1"/>
  <c r="L508" i="4"/>
  <c r="N508" i="4" s="1"/>
  <c r="L507" i="4"/>
  <c r="N507" i="4" s="1"/>
  <c r="L506" i="4"/>
  <c r="N506" i="4" s="1"/>
  <c r="L505" i="4"/>
  <c r="N505" i="4" s="1"/>
  <c r="L504" i="4"/>
  <c r="N504" i="4" s="1"/>
  <c r="L503" i="4"/>
  <c r="N503" i="4" s="1"/>
  <c r="L502" i="4"/>
  <c r="N502" i="4" s="1"/>
  <c r="L501" i="4"/>
  <c r="N501" i="4" s="1"/>
  <c r="L500" i="4"/>
  <c r="N500" i="4" s="1"/>
  <c r="L499" i="4"/>
  <c r="N499" i="4" s="1"/>
  <c r="L498" i="4"/>
  <c r="N498" i="4" s="1"/>
  <c r="L497" i="4"/>
  <c r="N497" i="4" s="1"/>
  <c r="L496" i="4"/>
  <c r="N496" i="4" s="1"/>
  <c r="L495" i="4"/>
  <c r="N495" i="4" s="1"/>
  <c r="L494" i="4"/>
  <c r="N494" i="4" s="1"/>
  <c r="L493" i="4"/>
  <c r="N493" i="4" s="1"/>
  <c r="L492" i="4"/>
  <c r="N492" i="4" s="1"/>
  <c r="L491" i="4"/>
  <c r="N491" i="4" s="1"/>
  <c r="L490" i="4"/>
  <c r="N490" i="4" s="1"/>
  <c r="L489" i="4"/>
  <c r="N489" i="4" s="1"/>
  <c r="L488" i="4"/>
  <c r="N488" i="4" s="1"/>
  <c r="L487" i="4"/>
  <c r="N487" i="4" s="1"/>
  <c r="L486" i="4"/>
  <c r="N486" i="4" s="1"/>
  <c r="L485" i="4"/>
  <c r="N485" i="4" s="1"/>
  <c r="L484" i="4"/>
  <c r="N484" i="4" s="1"/>
  <c r="L483" i="4"/>
  <c r="N483" i="4" s="1"/>
  <c r="L482" i="4"/>
  <c r="N482" i="4" s="1"/>
  <c r="L481" i="4"/>
  <c r="N481" i="4" s="1"/>
  <c r="L480" i="4"/>
  <c r="N480" i="4" s="1"/>
  <c r="L479" i="4"/>
  <c r="N479" i="4" s="1"/>
  <c r="L478" i="4"/>
  <c r="N478" i="4" s="1"/>
  <c r="L477" i="4"/>
  <c r="N477" i="4" s="1"/>
  <c r="L476" i="4"/>
  <c r="N476" i="4" s="1"/>
  <c r="L475" i="4"/>
  <c r="N475" i="4" s="1"/>
  <c r="L474" i="4"/>
  <c r="N474" i="4" s="1"/>
  <c r="L473" i="4"/>
  <c r="N473" i="4" s="1"/>
  <c r="L472" i="4"/>
  <c r="N472" i="4" s="1"/>
  <c r="L471" i="4"/>
  <c r="N471" i="4" s="1"/>
  <c r="L470" i="4"/>
  <c r="N470" i="4" s="1"/>
  <c r="L469" i="4"/>
  <c r="N469" i="4" s="1"/>
  <c r="L468" i="4"/>
  <c r="N468" i="4" s="1"/>
  <c r="L467" i="4"/>
  <c r="N467" i="4" s="1"/>
  <c r="L466" i="4"/>
  <c r="N466" i="4" s="1"/>
  <c r="L465" i="4"/>
  <c r="N465" i="4" s="1"/>
  <c r="L464" i="4"/>
  <c r="N464" i="4" s="1"/>
  <c r="L463" i="4"/>
  <c r="N463" i="4" s="1"/>
  <c r="L462" i="4"/>
  <c r="N462" i="4" s="1"/>
  <c r="L461" i="4"/>
  <c r="N461" i="4" s="1"/>
  <c r="L460" i="4"/>
  <c r="N460" i="4" s="1"/>
  <c r="L459" i="4"/>
  <c r="N459" i="4" s="1"/>
  <c r="L458" i="4"/>
  <c r="N458" i="4" s="1"/>
  <c r="L457" i="4"/>
  <c r="N457" i="4" s="1"/>
  <c r="L456" i="4"/>
  <c r="N456" i="4" s="1"/>
  <c r="L455" i="4"/>
  <c r="N455" i="4" s="1"/>
  <c r="L454" i="4"/>
  <c r="N454" i="4" s="1"/>
  <c r="L453" i="4"/>
  <c r="N453" i="4" s="1"/>
  <c r="L452" i="4"/>
  <c r="N452" i="4" s="1"/>
  <c r="L451" i="4"/>
  <c r="N451" i="4" s="1"/>
  <c r="L450" i="4"/>
  <c r="N450" i="4" s="1"/>
  <c r="L449" i="4"/>
  <c r="N449" i="4" s="1"/>
  <c r="L448" i="4"/>
  <c r="N448" i="4" s="1"/>
  <c r="L447" i="4"/>
  <c r="N447" i="4" s="1"/>
  <c r="L446" i="4"/>
  <c r="N446" i="4" s="1"/>
  <c r="L445" i="4"/>
  <c r="N445" i="4" s="1"/>
  <c r="L444" i="4"/>
  <c r="N444" i="4" s="1"/>
  <c r="L443" i="4"/>
  <c r="N443" i="4" s="1"/>
  <c r="L442" i="4"/>
  <c r="N442" i="4" s="1"/>
  <c r="L441" i="4"/>
  <c r="N441" i="4" s="1"/>
  <c r="L440" i="4"/>
  <c r="N440" i="4" s="1"/>
  <c r="L439" i="4"/>
  <c r="N439" i="4" s="1"/>
  <c r="L438" i="4"/>
  <c r="N438" i="4" s="1"/>
  <c r="L437" i="4"/>
  <c r="N437" i="4" s="1"/>
  <c r="L436" i="4"/>
  <c r="N436" i="4" s="1"/>
  <c r="L435" i="4"/>
  <c r="N435" i="4" s="1"/>
  <c r="L434" i="4"/>
  <c r="N434" i="4" s="1"/>
  <c r="L433" i="4"/>
  <c r="N433" i="4" s="1"/>
  <c r="L432" i="4"/>
  <c r="N432" i="4" s="1"/>
  <c r="L431" i="4"/>
  <c r="N431" i="4" s="1"/>
  <c r="L430" i="4"/>
  <c r="N430" i="4" s="1"/>
  <c r="L429" i="4"/>
  <c r="N429" i="4" s="1"/>
  <c r="L428" i="4"/>
  <c r="N428" i="4" s="1"/>
  <c r="L427" i="4"/>
  <c r="N427" i="4" s="1"/>
  <c r="L426" i="4"/>
  <c r="N426" i="4" s="1"/>
  <c r="L425" i="4"/>
  <c r="N425" i="4" s="1"/>
  <c r="L424" i="4"/>
  <c r="N424" i="4" s="1"/>
  <c r="L423" i="4"/>
  <c r="N423" i="4" s="1"/>
  <c r="L422" i="4"/>
  <c r="N422" i="4" s="1"/>
  <c r="L421" i="4"/>
  <c r="N421" i="4" s="1"/>
  <c r="L420" i="4"/>
  <c r="N420" i="4" s="1"/>
  <c r="L419" i="4"/>
  <c r="N419" i="4" s="1"/>
  <c r="L418" i="4"/>
  <c r="N418" i="4" s="1"/>
  <c r="L417" i="4"/>
  <c r="N417" i="4" s="1"/>
  <c r="L416" i="4"/>
  <c r="N416" i="4" s="1"/>
  <c r="L415" i="4"/>
  <c r="N415" i="4" s="1"/>
  <c r="L414" i="4"/>
  <c r="N414" i="4" s="1"/>
  <c r="L413" i="4"/>
  <c r="N413" i="4" s="1"/>
  <c r="L412" i="4"/>
  <c r="N412" i="4" s="1"/>
  <c r="L411" i="4"/>
  <c r="N411" i="4" s="1"/>
  <c r="L410" i="4"/>
  <c r="N410" i="4" s="1"/>
  <c r="L409" i="4"/>
  <c r="N409" i="4" s="1"/>
  <c r="L408" i="4"/>
  <c r="N408" i="4" s="1"/>
  <c r="L407" i="4"/>
  <c r="N407" i="4" s="1"/>
  <c r="L406" i="4"/>
  <c r="N406" i="4" s="1"/>
  <c r="L405" i="4"/>
  <c r="N405" i="4" s="1"/>
  <c r="L404" i="4"/>
  <c r="N404" i="4" s="1"/>
  <c r="L403" i="4"/>
  <c r="N403" i="4" s="1"/>
  <c r="L402" i="4"/>
  <c r="N402" i="4" s="1"/>
  <c r="L401" i="4"/>
  <c r="N401" i="4" s="1"/>
  <c r="L400" i="4"/>
  <c r="N400" i="4" s="1"/>
  <c r="L399" i="4"/>
  <c r="N399" i="4" s="1"/>
  <c r="L398" i="4"/>
  <c r="N398" i="4" s="1"/>
  <c r="L397" i="4"/>
  <c r="N397" i="4" s="1"/>
  <c r="L396" i="4"/>
  <c r="N396" i="4" s="1"/>
  <c r="L395" i="4"/>
  <c r="N395" i="4" s="1"/>
  <c r="L394" i="4"/>
  <c r="N394" i="4" s="1"/>
  <c r="L393" i="4"/>
  <c r="N393" i="4" s="1"/>
  <c r="L392" i="4"/>
  <c r="N392" i="4" s="1"/>
  <c r="L391" i="4"/>
  <c r="N391" i="4" s="1"/>
  <c r="L390" i="4"/>
  <c r="N390" i="4" s="1"/>
  <c r="L389" i="4"/>
  <c r="N389" i="4" s="1"/>
  <c r="L388" i="4"/>
  <c r="N388" i="4" s="1"/>
  <c r="L387" i="4"/>
  <c r="N387" i="4" s="1"/>
  <c r="L386" i="4"/>
  <c r="N386" i="4" s="1"/>
  <c r="L385" i="4"/>
  <c r="N385" i="4" s="1"/>
  <c r="L384" i="4"/>
  <c r="N384" i="4" s="1"/>
  <c r="L383" i="4"/>
  <c r="N383" i="4" s="1"/>
  <c r="L382" i="4"/>
  <c r="N382" i="4" s="1"/>
  <c r="L381" i="4"/>
  <c r="N381" i="4" s="1"/>
  <c r="L380" i="4"/>
  <c r="N380" i="4" s="1"/>
  <c r="L379" i="4"/>
  <c r="N379" i="4" s="1"/>
  <c r="L378" i="4"/>
  <c r="N378" i="4" s="1"/>
  <c r="L377" i="4"/>
  <c r="N377" i="4" s="1"/>
  <c r="L376" i="4"/>
  <c r="N376" i="4" s="1"/>
  <c r="L375" i="4"/>
  <c r="N375" i="4" s="1"/>
  <c r="L374" i="4"/>
  <c r="N374" i="4" s="1"/>
  <c r="L373" i="4"/>
  <c r="N373" i="4" s="1"/>
  <c r="L372" i="4"/>
  <c r="N372" i="4" s="1"/>
  <c r="L371" i="4"/>
  <c r="N371" i="4" s="1"/>
  <c r="L370" i="4"/>
  <c r="N370" i="4" s="1"/>
  <c r="L369" i="4"/>
  <c r="N369" i="4" s="1"/>
  <c r="L368" i="4"/>
  <c r="N368" i="4" s="1"/>
  <c r="L367" i="4"/>
  <c r="N367" i="4" s="1"/>
  <c r="L366" i="4"/>
  <c r="N366" i="4" s="1"/>
  <c r="L365" i="4"/>
  <c r="N365" i="4" s="1"/>
  <c r="L364" i="4"/>
  <c r="N364" i="4" s="1"/>
  <c r="L363" i="4"/>
  <c r="N363" i="4" s="1"/>
  <c r="L362" i="4"/>
  <c r="N362" i="4" s="1"/>
  <c r="L361" i="4"/>
  <c r="N361" i="4" s="1"/>
  <c r="L360" i="4"/>
  <c r="N360" i="4" s="1"/>
  <c r="L359" i="4"/>
  <c r="N359" i="4" s="1"/>
  <c r="L358" i="4"/>
  <c r="N358" i="4" s="1"/>
  <c r="L357" i="4"/>
  <c r="N357" i="4" s="1"/>
  <c r="L356" i="4"/>
  <c r="N356" i="4" s="1"/>
  <c r="L355" i="4"/>
  <c r="N355" i="4" s="1"/>
  <c r="L354" i="4"/>
  <c r="N354" i="4" s="1"/>
  <c r="L353" i="4"/>
  <c r="N353" i="4" s="1"/>
  <c r="L352" i="4"/>
  <c r="N352" i="4" s="1"/>
  <c r="L351" i="4"/>
  <c r="N351" i="4" s="1"/>
  <c r="L350" i="4"/>
  <c r="N350" i="4" s="1"/>
  <c r="L349" i="4"/>
  <c r="N349" i="4" s="1"/>
  <c r="L348" i="4"/>
  <c r="N348" i="4" s="1"/>
  <c r="L347" i="4"/>
  <c r="N347" i="4" s="1"/>
  <c r="L346" i="4"/>
  <c r="N346" i="4" s="1"/>
  <c r="L345" i="4"/>
  <c r="N345" i="4" s="1"/>
  <c r="L344" i="4"/>
  <c r="N344" i="4" s="1"/>
  <c r="L343" i="4"/>
  <c r="N343" i="4" s="1"/>
  <c r="L342" i="4"/>
  <c r="N342" i="4" s="1"/>
  <c r="L341" i="4"/>
  <c r="N341" i="4" s="1"/>
  <c r="N340" i="4"/>
  <c r="L340" i="4"/>
  <c r="L339" i="4"/>
  <c r="N339" i="4" s="1"/>
  <c r="L338" i="4"/>
  <c r="N338" i="4" s="1"/>
  <c r="L337" i="4"/>
  <c r="N337" i="4" s="1"/>
  <c r="L336" i="4"/>
  <c r="N336" i="4" s="1"/>
  <c r="L335" i="4"/>
  <c r="N335" i="4" s="1"/>
  <c r="L334" i="4"/>
  <c r="N334" i="4" s="1"/>
  <c r="L333" i="4"/>
  <c r="N333" i="4" s="1"/>
  <c r="L332" i="4"/>
  <c r="N332" i="4" s="1"/>
  <c r="L331" i="4"/>
  <c r="N331" i="4" s="1"/>
  <c r="L330" i="4"/>
  <c r="N330" i="4" s="1"/>
  <c r="L329" i="4"/>
  <c r="N329" i="4" s="1"/>
  <c r="L328" i="4"/>
  <c r="N328" i="4" s="1"/>
  <c r="L327" i="4"/>
  <c r="N327" i="4" s="1"/>
  <c r="L326" i="4"/>
  <c r="N326" i="4" s="1"/>
  <c r="L325" i="4"/>
  <c r="N325" i="4" s="1"/>
  <c r="L324" i="4"/>
  <c r="N324" i="4" s="1"/>
  <c r="L323" i="4"/>
  <c r="N323" i="4" s="1"/>
  <c r="L322" i="4"/>
  <c r="N322" i="4" s="1"/>
  <c r="L321" i="4"/>
  <c r="N321" i="4" s="1"/>
  <c r="L320" i="4"/>
  <c r="N320" i="4" s="1"/>
  <c r="L319" i="4"/>
  <c r="N319" i="4" s="1"/>
  <c r="L318" i="4"/>
  <c r="N318" i="4" s="1"/>
  <c r="L317" i="4"/>
  <c r="N317" i="4" s="1"/>
  <c r="L316" i="4"/>
  <c r="N316" i="4" s="1"/>
  <c r="L315" i="4"/>
  <c r="N315" i="4" s="1"/>
  <c r="L314" i="4"/>
  <c r="N314" i="4" s="1"/>
  <c r="L313" i="4"/>
  <c r="N313" i="4" s="1"/>
  <c r="L312" i="4"/>
  <c r="N312" i="4" s="1"/>
  <c r="L311" i="4"/>
  <c r="N311" i="4" s="1"/>
  <c r="L310" i="4"/>
  <c r="N310" i="4" s="1"/>
  <c r="L309" i="4"/>
  <c r="N309" i="4" s="1"/>
  <c r="L308" i="4"/>
  <c r="N308" i="4" s="1"/>
  <c r="L307" i="4"/>
  <c r="N307" i="4" s="1"/>
  <c r="L306" i="4"/>
  <c r="N306" i="4" s="1"/>
  <c r="L305" i="4"/>
  <c r="N305" i="4" s="1"/>
  <c r="L304" i="4"/>
  <c r="N304" i="4" s="1"/>
  <c r="L303" i="4"/>
  <c r="N303" i="4" s="1"/>
  <c r="L302" i="4"/>
  <c r="N302" i="4" s="1"/>
  <c r="L301" i="4"/>
  <c r="N301" i="4" s="1"/>
  <c r="L300" i="4"/>
  <c r="N300" i="4" s="1"/>
  <c r="L299" i="4"/>
  <c r="N299" i="4" s="1"/>
  <c r="L298" i="4"/>
  <c r="N298" i="4" s="1"/>
  <c r="L297" i="4"/>
  <c r="N297" i="4" s="1"/>
  <c r="L296" i="4"/>
  <c r="N296" i="4" s="1"/>
  <c r="L295" i="4"/>
  <c r="N295" i="4" s="1"/>
  <c r="L294" i="4"/>
  <c r="N294" i="4" s="1"/>
  <c r="L293" i="4"/>
  <c r="N293" i="4" s="1"/>
  <c r="L292" i="4"/>
  <c r="N292" i="4" s="1"/>
  <c r="L291" i="4"/>
  <c r="N291" i="4" s="1"/>
  <c r="L290" i="4"/>
  <c r="N290" i="4" s="1"/>
  <c r="L289" i="4"/>
  <c r="N289" i="4" s="1"/>
  <c r="L288" i="4"/>
  <c r="N288" i="4" s="1"/>
  <c r="L287" i="4"/>
  <c r="N287" i="4" s="1"/>
  <c r="L286" i="4"/>
  <c r="N286" i="4" s="1"/>
  <c r="L285" i="4"/>
  <c r="N285" i="4" s="1"/>
  <c r="L284" i="4"/>
  <c r="N284" i="4" s="1"/>
  <c r="L283" i="4"/>
  <c r="N283" i="4" s="1"/>
  <c r="L282" i="4"/>
  <c r="N282" i="4" s="1"/>
  <c r="L281" i="4"/>
  <c r="N281" i="4" s="1"/>
  <c r="L280" i="4"/>
  <c r="N280" i="4" s="1"/>
  <c r="L279" i="4"/>
  <c r="N279" i="4" s="1"/>
  <c r="L278" i="4"/>
  <c r="N278" i="4" s="1"/>
  <c r="L277" i="4"/>
  <c r="N277" i="4" s="1"/>
  <c r="L276" i="4"/>
  <c r="N276" i="4" s="1"/>
  <c r="L275" i="4"/>
  <c r="N275" i="4" s="1"/>
  <c r="L274" i="4"/>
  <c r="N274" i="4" s="1"/>
  <c r="L273" i="4"/>
  <c r="N273" i="4" s="1"/>
  <c r="L272" i="4"/>
  <c r="N272" i="4" s="1"/>
  <c r="L271" i="4"/>
  <c r="N271" i="4" s="1"/>
  <c r="L270" i="4"/>
  <c r="N270" i="4" s="1"/>
  <c r="L269" i="4"/>
  <c r="N269" i="4" s="1"/>
  <c r="L268" i="4"/>
  <c r="N268" i="4" s="1"/>
  <c r="L267" i="4"/>
  <c r="N267" i="4" s="1"/>
  <c r="L266" i="4"/>
  <c r="N266" i="4" s="1"/>
  <c r="L265" i="4"/>
  <c r="N265" i="4" s="1"/>
  <c r="L264" i="4"/>
  <c r="N264" i="4" s="1"/>
  <c r="L263" i="4"/>
  <c r="N263" i="4" s="1"/>
  <c r="L262" i="4"/>
  <c r="N262" i="4" s="1"/>
  <c r="L261" i="4"/>
  <c r="N261" i="4" s="1"/>
  <c r="L260" i="4"/>
  <c r="N260" i="4" s="1"/>
  <c r="L259" i="4"/>
  <c r="N259" i="4" s="1"/>
  <c r="L258" i="4"/>
  <c r="N258" i="4" s="1"/>
  <c r="L257" i="4"/>
  <c r="N257" i="4" s="1"/>
  <c r="L256" i="4"/>
  <c r="N256" i="4" s="1"/>
  <c r="L255" i="4"/>
  <c r="N255" i="4" s="1"/>
  <c r="L254" i="4"/>
  <c r="N254" i="4" s="1"/>
  <c r="L253" i="4"/>
  <c r="N253" i="4" s="1"/>
  <c r="L252" i="4"/>
  <c r="N252" i="4" s="1"/>
  <c r="L251" i="4"/>
  <c r="N251" i="4" s="1"/>
  <c r="L250" i="4"/>
  <c r="N250" i="4" s="1"/>
  <c r="L249" i="4"/>
  <c r="N249" i="4" s="1"/>
  <c r="L248" i="4"/>
  <c r="N248" i="4" s="1"/>
  <c r="L247" i="4"/>
  <c r="N247" i="4" s="1"/>
  <c r="L246" i="4"/>
  <c r="N246" i="4" s="1"/>
  <c r="N245" i="4"/>
  <c r="L245" i="4"/>
  <c r="L244" i="4"/>
  <c r="N244" i="4" s="1"/>
  <c r="L243" i="4"/>
  <c r="N243" i="4" s="1"/>
  <c r="L242" i="4"/>
  <c r="N242" i="4" s="1"/>
  <c r="L241" i="4"/>
  <c r="N241" i="4" s="1"/>
  <c r="L240" i="4"/>
  <c r="N240" i="4" s="1"/>
  <c r="L239" i="4"/>
  <c r="N239" i="4" s="1"/>
  <c r="L238" i="4"/>
  <c r="N238" i="4" s="1"/>
  <c r="L237" i="4"/>
  <c r="N237" i="4" s="1"/>
  <c r="L236" i="4"/>
  <c r="N236" i="4" s="1"/>
  <c r="L235" i="4"/>
  <c r="N235" i="4" s="1"/>
  <c r="L234" i="4"/>
  <c r="N234" i="4" s="1"/>
  <c r="L233" i="4"/>
  <c r="N233" i="4" s="1"/>
  <c r="L232" i="4"/>
  <c r="N232" i="4" s="1"/>
  <c r="L231" i="4"/>
  <c r="N231" i="4" s="1"/>
  <c r="L230" i="4"/>
  <c r="N230" i="4" s="1"/>
  <c r="L229" i="4"/>
  <c r="N229" i="4" s="1"/>
  <c r="L228" i="4"/>
  <c r="N228" i="4" s="1"/>
  <c r="L227" i="4"/>
  <c r="N227" i="4" s="1"/>
  <c r="L226" i="4"/>
  <c r="N226" i="4" s="1"/>
  <c r="L225" i="4"/>
  <c r="N225" i="4" s="1"/>
  <c r="L224" i="4"/>
  <c r="N224" i="4" s="1"/>
  <c r="L223" i="4"/>
  <c r="N223" i="4" s="1"/>
  <c r="L222" i="4"/>
  <c r="N222" i="4" s="1"/>
  <c r="L221" i="4"/>
  <c r="N221" i="4" s="1"/>
  <c r="L220" i="4"/>
  <c r="N220" i="4" s="1"/>
  <c r="L219" i="4"/>
  <c r="N219" i="4" s="1"/>
  <c r="L218" i="4"/>
  <c r="N218" i="4" s="1"/>
  <c r="L217" i="4"/>
  <c r="N217" i="4" s="1"/>
  <c r="L216" i="4"/>
  <c r="N216" i="4" s="1"/>
  <c r="L215" i="4"/>
  <c r="N215" i="4" s="1"/>
  <c r="L214" i="4"/>
  <c r="N214" i="4" s="1"/>
  <c r="L213" i="4"/>
  <c r="N213" i="4" s="1"/>
  <c r="L212" i="4"/>
  <c r="N212" i="4" s="1"/>
  <c r="L211" i="4"/>
  <c r="N211" i="4" s="1"/>
  <c r="L210" i="4"/>
  <c r="N210" i="4" s="1"/>
  <c r="L209" i="4"/>
  <c r="N209" i="4" s="1"/>
  <c r="L208" i="4"/>
  <c r="N208" i="4" s="1"/>
  <c r="L207" i="4"/>
  <c r="N207" i="4" s="1"/>
  <c r="L206" i="4"/>
  <c r="N206" i="4" s="1"/>
  <c r="L205" i="4"/>
  <c r="N205" i="4" s="1"/>
  <c r="L204" i="4"/>
  <c r="N204" i="4" s="1"/>
  <c r="L203" i="4"/>
  <c r="N203" i="4" s="1"/>
  <c r="L202" i="4"/>
  <c r="N202" i="4" s="1"/>
  <c r="L201" i="4"/>
  <c r="N201" i="4" s="1"/>
  <c r="L200" i="4"/>
  <c r="N200" i="4" s="1"/>
  <c r="L199" i="4"/>
  <c r="N199" i="4" s="1"/>
  <c r="L198" i="4"/>
  <c r="N198" i="4" s="1"/>
  <c r="L197" i="4"/>
  <c r="N197" i="4" s="1"/>
  <c r="L196" i="4"/>
  <c r="N196" i="4" s="1"/>
  <c r="L195" i="4"/>
  <c r="N195" i="4" s="1"/>
  <c r="L194" i="4"/>
  <c r="N194" i="4" s="1"/>
  <c r="L193" i="4"/>
  <c r="N193" i="4" s="1"/>
  <c r="L192" i="4"/>
  <c r="N192" i="4" s="1"/>
  <c r="L191" i="4"/>
  <c r="N191" i="4" s="1"/>
  <c r="L190" i="4"/>
  <c r="N190" i="4" s="1"/>
  <c r="L189" i="4"/>
  <c r="N189" i="4" s="1"/>
  <c r="L188" i="4"/>
  <c r="N188" i="4" s="1"/>
  <c r="L187" i="4"/>
  <c r="N187" i="4" s="1"/>
  <c r="L186" i="4"/>
  <c r="N186" i="4" s="1"/>
  <c r="L185" i="4"/>
  <c r="N185" i="4" s="1"/>
  <c r="L184" i="4"/>
  <c r="N184" i="4" s="1"/>
  <c r="L183" i="4"/>
  <c r="N183" i="4" s="1"/>
  <c r="L182" i="4"/>
  <c r="N182" i="4" s="1"/>
  <c r="L181" i="4"/>
  <c r="N181" i="4" s="1"/>
  <c r="L180" i="4"/>
  <c r="N180" i="4" s="1"/>
  <c r="L179" i="4"/>
  <c r="N179" i="4" s="1"/>
  <c r="L178" i="4"/>
  <c r="N178" i="4" s="1"/>
  <c r="L177" i="4"/>
  <c r="N177" i="4" s="1"/>
  <c r="L176" i="4"/>
  <c r="N176" i="4" s="1"/>
  <c r="L175" i="4"/>
  <c r="N175" i="4" s="1"/>
  <c r="L174" i="4"/>
  <c r="N174" i="4" s="1"/>
  <c r="L173" i="4"/>
  <c r="N173" i="4" s="1"/>
  <c r="L172" i="4"/>
  <c r="N172" i="4" s="1"/>
  <c r="L171" i="4"/>
  <c r="N171" i="4" s="1"/>
  <c r="L170" i="4"/>
  <c r="N170" i="4" s="1"/>
  <c r="L169" i="4"/>
  <c r="N169" i="4" s="1"/>
  <c r="L168" i="4"/>
  <c r="N168" i="4" s="1"/>
  <c r="L167" i="4"/>
  <c r="N167" i="4" s="1"/>
  <c r="L166" i="4"/>
  <c r="N166" i="4" s="1"/>
  <c r="L165" i="4"/>
  <c r="N165" i="4" s="1"/>
  <c r="L164" i="4"/>
  <c r="N164" i="4" s="1"/>
  <c r="L163" i="4"/>
  <c r="N163" i="4" s="1"/>
  <c r="L162" i="4"/>
  <c r="N162" i="4" s="1"/>
  <c r="L161" i="4"/>
  <c r="N161" i="4" s="1"/>
  <c r="L160" i="4"/>
  <c r="N160" i="4" s="1"/>
  <c r="L159" i="4"/>
  <c r="N159" i="4" s="1"/>
  <c r="L158" i="4"/>
  <c r="N158" i="4" s="1"/>
  <c r="L157" i="4"/>
  <c r="N157" i="4" s="1"/>
  <c r="L156" i="4"/>
  <c r="N156" i="4" s="1"/>
  <c r="L155" i="4"/>
  <c r="N155" i="4" s="1"/>
  <c r="L154" i="4"/>
  <c r="N154" i="4" s="1"/>
  <c r="L153" i="4"/>
  <c r="N153" i="4" s="1"/>
  <c r="L152" i="4"/>
  <c r="N152" i="4" s="1"/>
  <c r="L151" i="4"/>
  <c r="N151" i="4" s="1"/>
  <c r="L150" i="4"/>
  <c r="N150" i="4" s="1"/>
  <c r="L149" i="4"/>
  <c r="N149" i="4" s="1"/>
  <c r="L148" i="4"/>
  <c r="N148" i="4" s="1"/>
  <c r="L147" i="4"/>
  <c r="N147" i="4" s="1"/>
  <c r="L146" i="4"/>
  <c r="N146" i="4" s="1"/>
  <c r="L145" i="4"/>
  <c r="N145" i="4" s="1"/>
  <c r="L144" i="4"/>
  <c r="N144" i="4" s="1"/>
  <c r="L143" i="4"/>
  <c r="N143" i="4" s="1"/>
  <c r="L142" i="4"/>
  <c r="N142" i="4" s="1"/>
  <c r="L141" i="4"/>
  <c r="N141" i="4" s="1"/>
  <c r="L140" i="4"/>
  <c r="N140" i="4" s="1"/>
  <c r="L139" i="4"/>
  <c r="N139" i="4" s="1"/>
  <c r="L138" i="4"/>
  <c r="N138" i="4" s="1"/>
  <c r="L137" i="4"/>
  <c r="N137" i="4" s="1"/>
  <c r="L136" i="4"/>
  <c r="N136" i="4" s="1"/>
  <c r="L135" i="4"/>
  <c r="N135" i="4" s="1"/>
  <c r="L134" i="4"/>
  <c r="N134" i="4" s="1"/>
  <c r="L133" i="4"/>
  <c r="N133" i="4" s="1"/>
  <c r="L132" i="4"/>
  <c r="N132" i="4" s="1"/>
  <c r="L131" i="4"/>
  <c r="N131" i="4" s="1"/>
  <c r="L130" i="4"/>
  <c r="N130" i="4" s="1"/>
  <c r="L129" i="4"/>
  <c r="N129" i="4" s="1"/>
  <c r="L128" i="4"/>
  <c r="N128" i="4" s="1"/>
  <c r="L127" i="4"/>
  <c r="N127" i="4" s="1"/>
  <c r="L126" i="4"/>
  <c r="N126" i="4" s="1"/>
  <c r="L125" i="4"/>
  <c r="N125" i="4" s="1"/>
  <c r="L124" i="4"/>
  <c r="N124" i="4" s="1"/>
  <c r="L123" i="4"/>
  <c r="N123" i="4" s="1"/>
  <c r="L122" i="4"/>
  <c r="N122" i="4" s="1"/>
  <c r="L121" i="4"/>
  <c r="N121" i="4" s="1"/>
  <c r="L120" i="4"/>
  <c r="N120" i="4" s="1"/>
  <c r="L119" i="4"/>
  <c r="N119" i="4" s="1"/>
  <c r="L118" i="4"/>
  <c r="N118" i="4" s="1"/>
  <c r="L117" i="4"/>
  <c r="N117" i="4" s="1"/>
  <c r="L116" i="4"/>
  <c r="N116" i="4" s="1"/>
  <c r="L115" i="4"/>
  <c r="N115" i="4" s="1"/>
  <c r="L114" i="4"/>
  <c r="N114" i="4" s="1"/>
  <c r="L113" i="4"/>
  <c r="N113" i="4" s="1"/>
  <c r="L112" i="4"/>
  <c r="N112" i="4" s="1"/>
  <c r="L111" i="4"/>
  <c r="N111" i="4" s="1"/>
  <c r="L110" i="4"/>
  <c r="N110" i="4" s="1"/>
  <c r="L109" i="4"/>
  <c r="N109" i="4" s="1"/>
  <c r="L108" i="4"/>
  <c r="N108" i="4" s="1"/>
  <c r="L107" i="4"/>
  <c r="N107" i="4" s="1"/>
  <c r="L106" i="4"/>
  <c r="N106" i="4" s="1"/>
  <c r="L105" i="4"/>
  <c r="N105" i="4" s="1"/>
  <c r="L104" i="4"/>
  <c r="N104" i="4" s="1"/>
  <c r="L103" i="4"/>
  <c r="N103" i="4" s="1"/>
  <c r="L102" i="4"/>
  <c r="N102" i="4" s="1"/>
  <c r="L101" i="4"/>
  <c r="N101" i="4" s="1"/>
  <c r="L100" i="4"/>
  <c r="N100" i="4" s="1"/>
  <c r="L99" i="4"/>
  <c r="N99" i="4" s="1"/>
  <c r="L98" i="4"/>
  <c r="N98" i="4" s="1"/>
  <c r="L97" i="4"/>
  <c r="N97" i="4" s="1"/>
  <c r="L96" i="4"/>
  <c r="N96" i="4" s="1"/>
  <c r="L95" i="4"/>
  <c r="N95" i="4" s="1"/>
  <c r="L94" i="4"/>
  <c r="N94" i="4" s="1"/>
  <c r="L93" i="4"/>
  <c r="N93" i="4" s="1"/>
  <c r="L92" i="4"/>
  <c r="N92" i="4" s="1"/>
  <c r="L91" i="4"/>
  <c r="N91" i="4" s="1"/>
  <c r="L90" i="4"/>
  <c r="N90" i="4" s="1"/>
  <c r="L89" i="4"/>
  <c r="N89" i="4" s="1"/>
  <c r="L88" i="4"/>
  <c r="N88" i="4" s="1"/>
  <c r="L87" i="4"/>
  <c r="N87" i="4" s="1"/>
  <c r="L86" i="4"/>
  <c r="N86" i="4" s="1"/>
  <c r="L85" i="4"/>
  <c r="N85" i="4" s="1"/>
  <c r="L84" i="4"/>
  <c r="N84" i="4" s="1"/>
  <c r="L83" i="4"/>
  <c r="N83" i="4" s="1"/>
  <c r="L82" i="4"/>
  <c r="N82" i="4" s="1"/>
  <c r="L81" i="4"/>
  <c r="N81" i="4" s="1"/>
  <c r="L80" i="4"/>
  <c r="N80" i="4" s="1"/>
  <c r="L79" i="4"/>
  <c r="N79" i="4" s="1"/>
  <c r="L78" i="4"/>
  <c r="N78" i="4" s="1"/>
  <c r="L77" i="4"/>
  <c r="N77" i="4" s="1"/>
  <c r="L76" i="4"/>
  <c r="N76" i="4" s="1"/>
  <c r="L75" i="4"/>
  <c r="N75" i="4" s="1"/>
  <c r="L74" i="4"/>
  <c r="N74" i="4" s="1"/>
  <c r="L73" i="4"/>
  <c r="N73" i="4" s="1"/>
  <c r="L72" i="4"/>
  <c r="N72" i="4" s="1"/>
  <c r="L71" i="4"/>
  <c r="N71" i="4" s="1"/>
  <c r="L70" i="4"/>
  <c r="N70" i="4" s="1"/>
  <c r="L69" i="4"/>
  <c r="N69" i="4" s="1"/>
  <c r="L68" i="4"/>
  <c r="N68" i="4" s="1"/>
  <c r="L67" i="4"/>
  <c r="N67" i="4" s="1"/>
  <c r="L66" i="4"/>
  <c r="N66" i="4" s="1"/>
  <c r="L65" i="4"/>
  <c r="N65" i="4" s="1"/>
  <c r="L64" i="4"/>
  <c r="N64" i="4" s="1"/>
  <c r="L63" i="4"/>
  <c r="N63" i="4" s="1"/>
  <c r="L62" i="4"/>
  <c r="N62" i="4" s="1"/>
  <c r="L61" i="4"/>
  <c r="N61" i="4" s="1"/>
  <c r="L60" i="4"/>
  <c r="N60" i="4" s="1"/>
  <c r="L59" i="4"/>
  <c r="N59" i="4" s="1"/>
  <c r="L58" i="4"/>
  <c r="N58" i="4" s="1"/>
  <c r="L57" i="4"/>
  <c r="N57" i="4" s="1"/>
  <c r="L56" i="4"/>
  <c r="N56" i="4" s="1"/>
  <c r="L55" i="4"/>
  <c r="N55" i="4" s="1"/>
  <c r="L54" i="4"/>
  <c r="N54" i="4" s="1"/>
  <c r="L53" i="4"/>
  <c r="N53" i="4" s="1"/>
  <c r="L52" i="4"/>
  <c r="N52" i="4" s="1"/>
  <c r="L51" i="4"/>
  <c r="N51" i="4" s="1"/>
  <c r="L50" i="4"/>
  <c r="N50" i="4" s="1"/>
  <c r="L49" i="4"/>
  <c r="N49" i="4" s="1"/>
  <c r="L48" i="4"/>
  <c r="N48" i="4" s="1"/>
  <c r="L47" i="4"/>
  <c r="N47" i="4" s="1"/>
  <c r="L46" i="4"/>
  <c r="N46" i="4" s="1"/>
  <c r="L45" i="4"/>
  <c r="N45" i="4" s="1"/>
  <c r="L44" i="4"/>
  <c r="N44" i="4" s="1"/>
  <c r="L43" i="4"/>
  <c r="N43" i="4" s="1"/>
  <c r="L42" i="4"/>
  <c r="N42" i="4" s="1"/>
  <c r="L41" i="4"/>
  <c r="N41" i="4" s="1"/>
  <c r="L40" i="4"/>
  <c r="N40" i="4" s="1"/>
  <c r="L39" i="4"/>
  <c r="N39" i="4" s="1"/>
  <c r="L38" i="4"/>
  <c r="N38" i="4" s="1"/>
  <c r="L37" i="4"/>
  <c r="N37" i="4" s="1"/>
  <c r="L36" i="4"/>
  <c r="N36" i="4" s="1"/>
  <c r="L35" i="4"/>
  <c r="N35" i="4" s="1"/>
  <c r="L34" i="4"/>
  <c r="N34" i="4" s="1"/>
  <c r="L33" i="4"/>
  <c r="N33" i="4" s="1"/>
  <c r="L32" i="4"/>
  <c r="N32" i="4" s="1"/>
  <c r="L31" i="4"/>
  <c r="N31" i="4" s="1"/>
  <c r="L30" i="4"/>
  <c r="N30" i="4" s="1"/>
  <c r="L29" i="4"/>
  <c r="N29" i="4" s="1"/>
  <c r="L28" i="4"/>
  <c r="N28" i="4" s="1"/>
  <c r="L27" i="4"/>
  <c r="N27" i="4" s="1"/>
  <c r="L26" i="4"/>
  <c r="N26" i="4" s="1"/>
  <c r="L25" i="4"/>
  <c r="N25" i="4" s="1"/>
  <c r="L24" i="4"/>
  <c r="N24" i="4" s="1"/>
  <c r="L23" i="4"/>
  <c r="N23" i="4" s="1"/>
  <c r="L22" i="4"/>
  <c r="N22" i="4" s="1"/>
  <c r="L21" i="4"/>
  <c r="N21" i="4" s="1"/>
  <c r="L20" i="4"/>
  <c r="N20" i="4" s="1"/>
  <c r="L19" i="4"/>
  <c r="N19" i="4" s="1"/>
  <c r="L18" i="4"/>
  <c r="N18" i="4" s="1"/>
  <c r="L17" i="4"/>
  <c r="N17" i="4" s="1"/>
  <c r="L16" i="4"/>
  <c r="N16" i="4" s="1"/>
  <c r="L15" i="4"/>
  <c r="N15" i="4" s="1"/>
  <c r="L14" i="4"/>
  <c r="N14" i="4" s="1"/>
  <c r="L13" i="4"/>
  <c r="N13" i="4" s="1"/>
  <c r="L12" i="4"/>
  <c r="N12" i="4" s="1"/>
  <c r="L11" i="4"/>
  <c r="N11" i="4" s="1"/>
  <c r="L10" i="4"/>
  <c r="N10" i="4" s="1"/>
  <c r="L9" i="4"/>
  <c r="N9" i="4" s="1"/>
  <c r="L8" i="4"/>
  <c r="N8" i="4" s="1"/>
  <c r="L7" i="4"/>
  <c r="N7" i="4" s="1"/>
  <c r="L6" i="4"/>
  <c r="N6" i="4" s="1"/>
  <c r="L5" i="4"/>
  <c r="N5" i="4" s="1"/>
  <c r="L4" i="4"/>
  <c r="N4" i="4" s="1"/>
  <c r="L3" i="4"/>
  <c r="N3" i="4" s="1"/>
  <c r="L2" i="4"/>
  <c r="N2" i="4" s="1"/>
  <c r="D53" i="3"/>
  <c r="D52" i="3"/>
  <c r="D51" i="3"/>
  <c r="D50" i="3"/>
  <c r="D49" i="3"/>
  <c r="D48" i="3"/>
  <c r="D47" i="3"/>
  <c r="D46" i="3"/>
  <c r="D42" i="3"/>
  <c r="D41" i="3"/>
  <c r="D40" i="3"/>
  <c r="D39" i="3"/>
  <c r="D38" i="3"/>
  <c r="D37" i="3"/>
  <c r="D36" i="3"/>
  <c r="D35" i="3"/>
  <c r="D34" i="3"/>
  <c r="D33" i="3"/>
  <c r="D32" i="3"/>
  <c r="D31" i="3"/>
  <c r="D26" i="3"/>
  <c r="D25" i="3"/>
  <c r="D24" i="3"/>
  <c r="D23" i="3"/>
  <c r="D22" i="3"/>
  <c r="D17" i="3"/>
  <c r="D16" i="3"/>
  <c r="D15" i="3"/>
  <c r="D14" i="3"/>
  <c r="B9" i="3"/>
  <c r="B7" i="3"/>
  <c r="L1001" i="2"/>
  <c r="U1001" i="2" s="1" a="1"/>
  <c r="L1000" i="2"/>
  <c r="U1000" i="2" s="1" a="1"/>
  <c r="L999" i="2"/>
  <c r="U999" i="2" s="1" a="1"/>
  <c r="L998" i="2"/>
  <c r="U998" i="2" s="1" a="1"/>
  <c r="L997" i="2"/>
  <c r="U997" i="2" s="1" a="1"/>
  <c r="L996" i="2"/>
  <c r="U996" i="2" s="1" a="1"/>
  <c r="L995" i="2"/>
  <c r="U995" i="2" s="1" a="1"/>
  <c r="L994" i="2"/>
  <c r="U994" i="2" s="1" a="1"/>
  <c r="L993" i="2"/>
  <c r="U993" i="2" s="1" a="1"/>
  <c r="L992" i="2"/>
  <c r="U992" i="2" s="1" a="1"/>
  <c r="L991" i="2"/>
  <c r="U991" i="2" s="1" a="1"/>
  <c r="L990" i="2"/>
  <c r="U990" i="2" s="1" a="1"/>
  <c r="L989" i="2"/>
  <c r="U989" i="2" s="1" a="1"/>
  <c r="L988" i="2"/>
  <c r="U988" i="2" s="1" a="1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T939" i="2" s="1"/>
  <c r="L938" i="2"/>
  <c r="T938" i="2" s="1"/>
  <c r="L937" i="2"/>
  <c r="L936" i="2"/>
  <c r="T936" i="2" s="1"/>
  <c r="L935" i="2"/>
  <c r="T935" i="2" s="1"/>
  <c r="L934" i="2"/>
  <c r="L933" i="2"/>
  <c r="L932" i="2"/>
  <c r="L931" i="2"/>
  <c r="T931" i="2" s="1"/>
  <c r="L930" i="2"/>
  <c r="L929" i="2"/>
  <c r="L928" i="2"/>
  <c r="T928" i="2" s="1"/>
  <c r="L927" i="2"/>
  <c r="T927" i="2" s="1"/>
  <c r="L926" i="2"/>
  <c r="L925" i="2"/>
  <c r="T925" i="2" s="1"/>
  <c r="L924" i="2"/>
  <c r="T924" i="2" s="1"/>
  <c r="L923" i="2"/>
  <c r="T923" i="2" s="1"/>
  <c r="L922" i="2"/>
  <c r="T922" i="2" s="1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T833" i="2" s="1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T757" i="2" s="1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T672" i="2" s="1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T577" i="2" s="1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T505" i="2" s="1"/>
  <c r="L504" i="2"/>
  <c r="T504" i="2" s="1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T323" i="2" s="1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T237" i="2" s="1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T164" i="2" s="1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T78" i="2" s="1"/>
  <c r="L77" i="2"/>
  <c r="L76" i="2"/>
  <c r="L75" i="2"/>
  <c r="U75" i="2" s="1" a="1"/>
  <c r="L74" i="2"/>
  <c r="U74" i="2" s="1" a="1"/>
  <c r="L73" i="2"/>
  <c r="U73" i="2" s="1" a="1"/>
  <c r="L72" i="2"/>
  <c r="U72" i="2" s="1" a="1"/>
  <c r="L71" i="2"/>
  <c r="U71" i="2" s="1" a="1"/>
  <c r="L70" i="2"/>
  <c r="U70" i="2" s="1" a="1"/>
  <c r="L69" i="2"/>
  <c r="U69" i="2" s="1" a="1"/>
  <c r="L68" i="2"/>
  <c r="U68" i="2" s="1" a="1"/>
  <c r="L67" i="2"/>
  <c r="U67" i="2" s="1" a="1"/>
  <c r="L66" i="2"/>
  <c r="U66" i="2" s="1" a="1"/>
  <c r="L65" i="2"/>
  <c r="U65" i="2" s="1" a="1"/>
  <c r="L64" i="2"/>
  <c r="U64" i="2" s="1" a="1"/>
  <c r="L63" i="2"/>
  <c r="U63" i="2" s="1" a="1"/>
  <c r="L62" i="2"/>
  <c r="U62" i="2" s="1" a="1"/>
  <c r="L61" i="2"/>
  <c r="U61" i="2" s="1" a="1"/>
  <c r="L60" i="2"/>
  <c r="U60" i="2" s="1" a="1"/>
  <c r="L59" i="2"/>
  <c r="U59" i="2" s="1" a="1"/>
  <c r="L58" i="2"/>
  <c r="U58" i="2" s="1" a="1"/>
  <c r="L57" i="2"/>
  <c r="U57" i="2" s="1" a="1"/>
  <c r="L56" i="2"/>
  <c r="U56" i="2" s="1" a="1"/>
  <c r="L55" i="2"/>
  <c r="U55" i="2" s="1" a="1"/>
  <c r="L54" i="2"/>
  <c r="U54" i="2" s="1" a="1"/>
  <c r="L53" i="2"/>
  <c r="U53" i="2" s="1" a="1"/>
  <c r="L52" i="2"/>
  <c r="U52" i="2" s="1" a="1"/>
  <c r="L51" i="2"/>
  <c r="U51" i="2" s="1" a="1"/>
  <c r="L50" i="2"/>
  <c r="U50" i="2" s="1" a="1"/>
  <c r="L49" i="2"/>
  <c r="U49" i="2" s="1" a="1"/>
  <c r="L48" i="2"/>
  <c r="U48" i="2" s="1" a="1"/>
  <c r="L47" i="2"/>
  <c r="U47" i="2" s="1" a="1"/>
  <c r="L46" i="2"/>
  <c r="U46" i="2" s="1" a="1"/>
  <c r="L45" i="2"/>
  <c r="U45" i="2" s="1" a="1"/>
  <c r="L44" i="2"/>
  <c r="U44" i="2" s="1" a="1"/>
  <c r="L43" i="2"/>
  <c r="U43" i="2" s="1" a="1"/>
  <c r="L42" i="2"/>
  <c r="U42" i="2" s="1" a="1"/>
  <c r="L41" i="2"/>
  <c r="U41" i="2" s="1" a="1"/>
  <c r="L40" i="2"/>
  <c r="U40" i="2" s="1" a="1"/>
  <c r="L39" i="2"/>
  <c r="U39" i="2" s="1" a="1"/>
  <c r="L38" i="2"/>
  <c r="U38" i="2" s="1" a="1"/>
  <c r="L37" i="2"/>
  <c r="U37" i="2" s="1" a="1"/>
  <c r="L36" i="2"/>
  <c r="U36" i="2" s="1" a="1"/>
  <c r="L35" i="2"/>
  <c r="U35" i="2" s="1" a="1"/>
  <c r="L34" i="2"/>
  <c r="U34" i="2" s="1" a="1"/>
  <c r="L33" i="2"/>
  <c r="U33" i="2" s="1" a="1"/>
  <c r="L32" i="2"/>
  <c r="U32" i="2" s="1" a="1"/>
  <c r="L31" i="2"/>
  <c r="U31" i="2" s="1" a="1"/>
  <c r="L30" i="2"/>
  <c r="U30" i="2" s="1" a="1"/>
  <c r="L29" i="2"/>
  <c r="U29" i="2" s="1" a="1"/>
  <c r="L28" i="2"/>
  <c r="U28" i="2" s="1" a="1"/>
  <c r="L27" i="2"/>
  <c r="U27" i="2" s="1" a="1"/>
  <c r="L26" i="2"/>
  <c r="U26" i="2" s="1" a="1"/>
  <c r="L25" i="2"/>
  <c r="U25" i="2" s="1" a="1"/>
  <c r="L24" i="2"/>
  <c r="U24" i="2" s="1" a="1"/>
  <c r="L23" i="2"/>
  <c r="U23" i="2" s="1" a="1"/>
  <c r="L22" i="2"/>
  <c r="U22" i="2" s="1" a="1"/>
  <c r="L21" i="2"/>
  <c r="U21" i="2" s="1" a="1"/>
  <c r="L20" i="2"/>
  <c r="U20" i="2" s="1" a="1"/>
  <c r="L19" i="2"/>
  <c r="U19" i="2" s="1" a="1"/>
  <c r="L18" i="2"/>
  <c r="U18" i="2" s="1" a="1"/>
  <c r="L17" i="2"/>
  <c r="U17" i="2" s="1" a="1"/>
  <c r="L16" i="2"/>
  <c r="U16" i="2" s="1" a="1"/>
  <c r="L15" i="2"/>
  <c r="U15" i="2" s="1" a="1"/>
  <c r="L14" i="2"/>
  <c r="U14" i="2" s="1" a="1"/>
  <c r="L13" i="2"/>
  <c r="U13" i="2" s="1" a="1"/>
  <c r="L12" i="2"/>
  <c r="U12" i="2" s="1" a="1"/>
  <c r="L11" i="2"/>
  <c r="U11" i="2" s="1" a="1"/>
  <c r="L10" i="2"/>
  <c r="U10" i="2" s="1" a="1"/>
  <c r="L9" i="2"/>
  <c r="U9" i="2" s="1" a="1"/>
  <c r="L8" i="2"/>
  <c r="U8" i="2" s="1" a="1"/>
  <c r="L7" i="2"/>
  <c r="U7" i="2" s="1" a="1"/>
  <c r="L6" i="2"/>
  <c r="U6" i="2" s="1" a="1"/>
  <c r="L5" i="2"/>
  <c r="U5" i="2" s="1" a="1"/>
  <c r="L4" i="2"/>
  <c r="U4" i="2" s="1" a="1"/>
  <c r="L3" i="2"/>
  <c r="U3" i="2" s="1" a="1"/>
  <c r="L2" i="2"/>
  <c r="T2" i="2" l="1"/>
  <c r="U2" i="2" a="1"/>
  <c r="U987" i="2" a="1"/>
  <c r="N840" i="2"/>
  <c r="T840" i="2"/>
  <c r="N839" i="2"/>
  <c r="T839" i="2"/>
  <c r="N838" i="2"/>
  <c r="T838" i="2"/>
  <c r="N837" i="2"/>
  <c r="T837" i="2"/>
  <c r="N836" i="2"/>
  <c r="T836" i="2"/>
  <c r="N835" i="2"/>
  <c r="T835" i="2"/>
  <c r="N834" i="2"/>
  <c r="T834" i="2"/>
  <c r="N832" i="2"/>
  <c r="T832" i="2"/>
  <c r="N831" i="2"/>
  <c r="T831" i="2"/>
  <c r="N830" i="2"/>
  <c r="T830" i="2"/>
  <c r="N829" i="2"/>
  <c r="T829" i="2"/>
  <c r="N828" i="2"/>
  <c r="T828" i="2"/>
  <c r="N827" i="2"/>
  <c r="T827" i="2"/>
  <c r="N826" i="2"/>
  <c r="T826" i="2"/>
  <c r="N825" i="2"/>
  <c r="T825" i="2"/>
  <c r="N824" i="2"/>
  <c r="T824" i="2"/>
  <c r="N823" i="2"/>
  <c r="T823" i="2"/>
  <c r="N822" i="2"/>
  <c r="T822" i="2"/>
  <c r="N821" i="2"/>
  <c r="T821" i="2"/>
  <c r="N820" i="2"/>
  <c r="T820" i="2"/>
  <c r="N819" i="2"/>
  <c r="T819" i="2"/>
  <c r="N818" i="2"/>
  <c r="T818" i="2"/>
  <c r="N817" i="2"/>
  <c r="T817" i="2"/>
  <c r="N816" i="2"/>
  <c r="T816" i="2"/>
  <c r="N815" i="2"/>
  <c r="T815" i="2"/>
  <c r="N814" i="2"/>
  <c r="T814" i="2"/>
  <c r="N813" i="2"/>
  <c r="T813" i="2"/>
  <c r="N812" i="2"/>
  <c r="T812" i="2"/>
  <c r="N811" i="2"/>
  <c r="T811" i="2"/>
  <c r="N810" i="2"/>
  <c r="T810" i="2"/>
  <c r="N809" i="2"/>
  <c r="T809" i="2"/>
  <c r="N808" i="2"/>
  <c r="T808" i="2"/>
  <c r="N807" i="2"/>
  <c r="T807" i="2"/>
  <c r="N806" i="2"/>
  <c r="T806" i="2"/>
  <c r="N805" i="2"/>
  <c r="T805" i="2"/>
  <c r="N804" i="2"/>
  <c r="T804" i="2"/>
  <c r="N803" i="2"/>
  <c r="T803" i="2"/>
  <c r="N802" i="2"/>
  <c r="T802" i="2"/>
  <c r="N801" i="2"/>
  <c r="T801" i="2"/>
  <c r="N800" i="2"/>
  <c r="T800" i="2"/>
  <c r="N799" i="2"/>
  <c r="T799" i="2"/>
  <c r="N798" i="2"/>
  <c r="T798" i="2"/>
  <c r="N797" i="2"/>
  <c r="T797" i="2"/>
  <c r="N796" i="2"/>
  <c r="T796" i="2"/>
  <c r="N795" i="2"/>
  <c r="T795" i="2"/>
  <c r="N794" i="2"/>
  <c r="T794" i="2"/>
  <c r="N793" i="2"/>
  <c r="T793" i="2"/>
  <c r="N792" i="2"/>
  <c r="T792" i="2"/>
  <c r="N791" i="2"/>
  <c r="T791" i="2"/>
  <c r="N790" i="2"/>
  <c r="T790" i="2"/>
  <c r="N789" i="2"/>
  <c r="T789" i="2"/>
  <c r="N788" i="2"/>
  <c r="T788" i="2"/>
  <c r="N787" i="2"/>
  <c r="T787" i="2"/>
  <c r="N786" i="2"/>
  <c r="T786" i="2"/>
  <c r="N785" i="2"/>
  <c r="T785" i="2"/>
  <c r="N784" i="2"/>
  <c r="T784" i="2"/>
  <c r="N783" i="2"/>
  <c r="T783" i="2"/>
  <c r="N782" i="2"/>
  <c r="T782" i="2"/>
  <c r="N781" i="2"/>
  <c r="T781" i="2"/>
  <c r="N780" i="2"/>
  <c r="T780" i="2"/>
  <c r="N779" i="2"/>
  <c r="T779" i="2"/>
  <c r="N778" i="2"/>
  <c r="T778" i="2"/>
  <c r="N777" i="2"/>
  <c r="T777" i="2"/>
  <c r="N776" i="2"/>
  <c r="T776" i="2"/>
  <c r="N775" i="2"/>
  <c r="T775" i="2"/>
  <c r="N774" i="2"/>
  <c r="T774" i="2"/>
  <c r="N773" i="2"/>
  <c r="T773" i="2"/>
  <c r="N772" i="2"/>
  <c r="T772" i="2"/>
  <c r="N771" i="2"/>
  <c r="T771" i="2"/>
  <c r="N770" i="2"/>
  <c r="T770" i="2"/>
  <c r="N769" i="2"/>
  <c r="T769" i="2"/>
  <c r="N768" i="2"/>
  <c r="T768" i="2"/>
  <c r="N767" i="2"/>
  <c r="T767" i="2"/>
  <c r="N766" i="2"/>
  <c r="T766" i="2"/>
  <c r="N765" i="2"/>
  <c r="T765" i="2"/>
  <c r="N764" i="2"/>
  <c r="T764" i="2"/>
  <c r="N763" i="2"/>
  <c r="T763" i="2"/>
  <c r="N762" i="2"/>
  <c r="T762" i="2"/>
  <c r="N761" i="2"/>
  <c r="T761" i="2"/>
  <c r="N760" i="2"/>
  <c r="T760" i="2"/>
  <c r="N759" i="2"/>
  <c r="T759" i="2"/>
  <c r="N758" i="2"/>
  <c r="T758" i="2"/>
  <c r="N756" i="2"/>
  <c r="T756" i="2"/>
  <c r="N755" i="2"/>
  <c r="T755" i="2"/>
  <c r="N754" i="2"/>
  <c r="T754" i="2"/>
  <c r="N753" i="2"/>
  <c r="T753" i="2"/>
  <c r="N752" i="2"/>
  <c r="T752" i="2"/>
  <c r="N751" i="2"/>
  <c r="T751" i="2"/>
  <c r="N750" i="2"/>
  <c r="T750" i="2"/>
  <c r="N749" i="2"/>
  <c r="T749" i="2"/>
  <c r="N748" i="2"/>
  <c r="T748" i="2"/>
  <c r="N747" i="2"/>
  <c r="T747" i="2"/>
  <c r="N746" i="2"/>
  <c r="T746" i="2"/>
  <c r="N745" i="2"/>
  <c r="T745" i="2"/>
  <c r="N744" i="2"/>
  <c r="T744" i="2"/>
  <c r="N743" i="2"/>
  <c r="T743" i="2"/>
  <c r="N742" i="2"/>
  <c r="T742" i="2"/>
  <c r="N741" i="2"/>
  <c r="T741" i="2"/>
  <c r="N740" i="2"/>
  <c r="T740" i="2"/>
  <c r="N739" i="2"/>
  <c r="T739" i="2"/>
  <c r="N738" i="2"/>
  <c r="T738" i="2"/>
  <c r="N737" i="2"/>
  <c r="T737" i="2"/>
  <c r="N736" i="2"/>
  <c r="T736" i="2"/>
  <c r="N735" i="2"/>
  <c r="T735" i="2"/>
  <c r="N734" i="2"/>
  <c r="T734" i="2"/>
  <c r="N733" i="2"/>
  <c r="T733" i="2"/>
  <c r="N732" i="2"/>
  <c r="T732" i="2"/>
  <c r="N731" i="2"/>
  <c r="T731" i="2"/>
  <c r="N730" i="2"/>
  <c r="T730" i="2"/>
  <c r="N729" i="2"/>
  <c r="T729" i="2"/>
  <c r="N728" i="2"/>
  <c r="T728" i="2"/>
  <c r="N727" i="2"/>
  <c r="T727" i="2"/>
  <c r="N726" i="2"/>
  <c r="T726" i="2"/>
  <c r="N725" i="2"/>
  <c r="T725" i="2"/>
  <c r="N724" i="2"/>
  <c r="T724" i="2"/>
  <c r="N723" i="2"/>
  <c r="T723" i="2"/>
  <c r="N722" i="2"/>
  <c r="T722" i="2"/>
  <c r="N721" i="2"/>
  <c r="T721" i="2"/>
  <c r="N720" i="2"/>
  <c r="T720" i="2"/>
  <c r="N719" i="2"/>
  <c r="T719" i="2"/>
  <c r="N718" i="2"/>
  <c r="T718" i="2"/>
  <c r="N717" i="2"/>
  <c r="T717" i="2"/>
  <c r="N716" i="2"/>
  <c r="T716" i="2"/>
  <c r="N715" i="2"/>
  <c r="T715" i="2"/>
  <c r="N714" i="2"/>
  <c r="T714" i="2"/>
  <c r="N713" i="2"/>
  <c r="T713" i="2"/>
  <c r="N712" i="2"/>
  <c r="T712" i="2"/>
  <c r="N711" i="2"/>
  <c r="T711" i="2"/>
  <c r="N710" i="2"/>
  <c r="T710" i="2"/>
  <c r="N709" i="2"/>
  <c r="T709" i="2"/>
  <c r="N708" i="2"/>
  <c r="T708" i="2"/>
  <c r="N707" i="2"/>
  <c r="T707" i="2"/>
  <c r="N706" i="2"/>
  <c r="T706" i="2"/>
  <c r="N705" i="2"/>
  <c r="T705" i="2"/>
  <c r="N704" i="2"/>
  <c r="T704" i="2"/>
  <c r="N703" i="2"/>
  <c r="T703" i="2"/>
  <c r="N702" i="2"/>
  <c r="T702" i="2"/>
  <c r="N701" i="2"/>
  <c r="T701" i="2"/>
  <c r="N700" i="2"/>
  <c r="T700" i="2"/>
  <c r="N699" i="2"/>
  <c r="T699" i="2"/>
  <c r="N698" i="2"/>
  <c r="T698" i="2"/>
  <c r="N697" i="2"/>
  <c r="T697" i="2"/>
  <c r="N696" i="2"/>
  <c r="T696" i="2"/>
  <c r="N695" i="2"/>
  <c r="T695" i="2"/>
  <c r="N694" i="2"/>
  <c r="T694" i="2"/>
  <c r="N693" i="2"/>
  <c r="T693" i="2"/>
  <c r="N692" i="2"/>
  <c r="T692" i="2"/>
  <c r="N691" i="2"/>
  <c r="T691" i="2"/>
  <c r="N690" i="2"/>
  <c r="T690" i="2"/>
  <c r="N689" i="2"/>
  <c r="T689" i="2"/>
  <c r="N688" i="2"/>
  <c r="T688" i="2"/>
  <c r="N687" i="2"/>
  <c r="T687" i="2"/>
  <c r="N686" i="2"/>
  <c r="T686" i="2"/>
  <c r="N685" i="2"/>
  <c r="T685" i="2"/>
  <c r="N684" i="2"/>
  <c r="T684" i="2"/>
  <c r="N683" i="2"/>
  <c r="T683" i="2"/>
  <c r="N682" i="2"/>
  <c r="T682" i="2"/>
  <c r="N681" i="2"/>
  <c r="T681" i="2"/>
  <c r="N680" i="2"/>
  <c r="T680" i="2"/>
  <c r="N679" i="2"/>
  <c r="T679" i="2"/>
  <c r="N678" i="2"/>
  <c r="T678" i="2"/>
  <c r="N677" i="2"/>
  <c r="T677" i="2"/>
  <c r="N676" i="2"/>
  <c r="T676" i="2"/>
  <c r="N675" i="2"/>
  <c r="T675" i="2"/>
  <c r="N674" i="2"/>
  <c r="T674" i="2"/>
  <c r="N673" i="2"/>
  <c r="T673" i="2"/>
  <c r="N671" i="2"/>
  <c r="T671" i="2"/>
  <c r="N670" i="2"/>
  <c r="T670" i="2"/>
  <c r="N669" i="2"/>
  <c r="T669" i="2"/>
  <c r="N668" i="2"/>
  <c r="T668" i="2"/>
  <c r="N667" i="2"/>
  <c r="T667" i="2"/>
  <c r="N666" i="2"/>
  <c r="T666" i="2"/>
  <c r="N665" i="2"/>
  <c r="T665" i="2"/>
  <c r="N664" i="2"/>
  <c r="T664" i="2"/>
  <c r="N663" i="2"/>
  <c r="T663" i="2"/>
  <c r="N662" i="2"/>
  <c r="T662" i="2"/>
  <c r="N661" i="2"/>
  <c r="T661" i="2"/>
  <c r="N660" i="2"/>
  <c r="T660" i="2"/>
  <c r="N659" i="2"/>
  <c r="T659" i="2"/>
  <c r="N658" i="2"/>
  <c r="T658" i="2"/>
  <c r="N657" i="2"/>
  <c r="T657" i="2"/>
  <c r="N656" i="2"/>
  <c r="T656" i="2"/>
  <c r="N655" i="2"/>
  <c r="T655" i="2"/>
  <c r="N654" i="2"/>
  <c r="T654" i="2"/>
  <c r="N653" i="2"/>
  <c r="T653" i="2"/>
  <c r="N1001" i="2"/>
  <c r="T1001" i="2"/>
  <c r="N1000" i="2"/>
  <c r="T1000" i="2"/>
  <c r="N999" i="2"/>
  <c r="T999" i="2"/>
  <c r="N998" i="2"/>
  <c r="T998" i="2"/>
  <c r="N997" i="2"/>
  <c r="T997" i="2"/>
  <c r="N996" i="2"/>
  <c r="T996" i="2"/>
  <c r="N995" i="2"/>
  <c r="T995" i="2"/>
  <c r="N994" i="2"/>
  <c r="T994" i="2"/>
  <c r="N993" i="2"/>
  <c r="T993" i="2"/>
  <c r="N992" i="2"/>
  <c r="T992" i="2"/>
  <c r="N991" i="2"/>
  <c r="T991" i="2"/>
  <c r="N990" i="2"/>
  <c r="T990" i="2"/>
  <c r="N989" i="2"/>
  <c r="T989" i="2"/>
  <c r="N988" i="2"/>
  <c r="T988" i="2"/>
  <c r="N987" i="2"/>
  <c r="T987" i="2"/>
  <c r="N986" i="2"/>
  <c r="T986" i="2"/>
  <c r="N985" i="2"/>
  <c r="T985" i="2"/>
  <c r="N984" i="2"/>
  <c r="T984" i="2"/>
  <c r="N983" i="2"/>
  <c r="T983" i="2"/>
  <c r="N982" i="2"/>
  <c r="T982" i="2"/>
  <c r="N981" i="2"/>
  <c r="T981" i="2"/>
  <c r="N980" i="2"/>
  <c r="T980" i="2"/>
  <c r="N979" i="2"/>
  <c r="T979" i="2"/>
  <c r="N978" i="2"/>
  <c r="T978" i="2"/>
  <c r="N977" i="2"/>
  <c r="T977" i="2"/>
  <c r="N976" i="2"/>
  <c r="T976" i="2"/>
  <c r="N975" i="2"/>
  <c r="T975" i="2"/>
  <c r="N974" i="2"/>
  <c r="T974" i="2"/>
  <c r="N973" i="2"/>
  <c r="T973" i="2"/>
  <c r="N972" i="2"/>
  <c r="T972" i="2"/>
  <c r="N971" i="2"/>
  <c r="T971" i="2"/>
  <c r="N970" i="2"/>
  <c r="T970" i="2"/>
  <c r="N969" i="2"/>
  <c r="T969" i="2"/>
  <c r="N968" i="2"/>
  <c r="T968" i="2"/>
  <c r="N967" i="2"/>
  <c r="T967" i="2"/>
  <c r="N966" i="2"/>
  <c r="T966" i="2"/>
  <c r="N965" i="2"/>
  <c r="T965" i="2"/>
  <c r="N964" i="2"/>
  <c r="T964" i="2"/>
  <c r="N963" i="2"/>
  <c r="T963" i="2"/>
  <c r="N962" i="2"/>
  <c r="T962" i="2"/>
  <c r="N961" i="2"/>
  <c r="T961" i="2"/>
  <c r="N960" i="2"/>
  <c r="T960" i="2"/>
  <c r="N959" i="2"/>
  <c r="T959" i="2"/>
  <c r="N958" i="2"/>
  <c r="T958" i="2"/>
  <c r="N957" i="2"/>
  <c r="T957" i="2"/>
  <c r="N956" i="2"/>
  <c r="T956" i="2"/>
  <c r="N955" i="2"/>
  <c r="T955" i="2"/>
  <c r="N954" i="2"/>
  <c r="T954" i="2"/>
  <c r="N953" i="2"/>
  <c r="T953" i="2"/>
  <c r="N952" i="2"/>
  <c r="T952" i="2"/>
  <c r="N951" i="2"/>
  <c r="T951" i="2"/>
  <c r="N950" i="2"/>
  <c r="T950" i="2"/>
  <c r="N949" i="2"/>
  <c r="T949" i="2"/>
  <c r="N948" i="2"/>
  <c r="T948" i="2"/>
  <c r="N947" i="2"/>
  <c r="T947" i="2"/>
  <c r="N946" i="2"/>
  <c r="T946" i="2"/>
  <c r="N945" i="2"/>
  <c r="T945" i="2"/>
  <c r="N944" i="2"/>
  <c r="T944" i="2"/>
  <c r="N943" i="2"/>
  <c r="T943" i="2"/>
  <c r="N942" i="2"/>
  <c r="T942" i="2"/>
  <c r="N941" i="2"/>
  <c r="T941" i="2"/>
  <c r="N940" i="2"/>
  <c r="T940" i="2"/>
  <c r="N937" i="2"/>
  <c r="T937" i="2"/>
  <c r="N934" i="2"/>
  <c r="T934" i="2"/>
  <c r="N933" i="2"/>
  <c r="T933" i="2"/>
  <c r="N932" i="2"/>
  <c r="T932" i="2"/>
  <c r="N930" i="2"/>
  <c r="T930" i="2"/>
  <c r="N929" i="2"/>
  <c r="T929" i="2"/>
  <c r="N926" i="2"/>
  <c r="T926" i="2"/>
  <c r="N921" i="2"/>
  <c r="T921" i="2"/>
  <c r="N920" i="2"/>
  <c r="T920" i="2"/>
  <c r="N919" i="2"/>
  <c r="T919" i="2"/>
  <c r="N918" i="2"/>
  <c r="T918" i="2"/>
  <c r="N917" i="2"/>
  <c r="T917" i="2"/>
  <c r="N916" i="2"/>
  <c r="T916" i="2"/>
  <c r="N915" i="2"/>
  <c r="T915" i="2"/>
  <c r="N914" i="2"/>
  <c r="T914" i="2"/>
  <c r="N913" i="2"/>
  <c r="T913" i="2"/>
  <c r="N912" i="2"/>
  <c r="T912" i="2"/>
  <c r="N911" i="2"/>
  <c r="T911" i="2"/>
  <c r="N910" i="2"/>
  <c r="T910" i="2"/>
  <c r="N909" i="2"/>
  <c r="T909" i="2"/>
  <c r="N908" i="2"/>
  <c r="T908" i="2"/>
  <c r="N907" i="2"/>
  <c r="T907" i="2"/>
  <c r="N906" i="2"/>
  <c r="T906" i="2"/>
  <c r="N905" i="2"/>
  <c r="T905" i="2"/>
  <c r="N904" i="2"/>
  <c r="T904" i="2"/>
  <c r="N903" i="2"/>
  <c r="T903" i="2"/>
  <c r="N902" i="2"/>
  <c r="T902" i="2"/>
  <c r="N901" i="2"/>
  <c r="T901" i="2"/>
  <c r="N900" i="2"/>
  <c r="T900" i="2"/>
  <c r="N899" i="2"/>
  <c r="T899" i="2"/>
  <c r="N898" i="2"/>
  <c r="T898" i="2"/>
  <c r="N897" i="2"/>
  <c r="T897" i="2"/>
  <c r="N896" i="2"/>
  <c r="T896" i="2"/>
  <c r="N895" i="2"/>
  <c r="T895" i="2"/>
  <c r="N894" i="2"/>
  <c r="T894" i="2"/>
  <c r="N893" i="2"/>
  <c r="T893" i="2"/>
  <c r="N892" i="2"/>
  <c r="T892" i="2"/>
  <c r="N891" i="2"/>
  <c r="T891" i="2"/>
  <c r="N890" i="2"/>
  <c r="T890" i="2"/>
  <c r="N889" i="2"/>
  <c r="T889" i="2"/>
  <c r="N888" i="2"/>
  <c r="T888" i="2"/>
  <c r="N887" i="2"/>
  <c r="T887" i="2"/>
  <c r="N886" i="2"/>
  <c r="T886" i="2"/>
  <c r="N885" i="2"/>
  <c r="T885" i="2"/>
  <c r="N884" i="2"/>
  <c r="T884" i="2"/>
  <c r="N883" i="2"/>
  <c r="T883" i="2"/>
  <c r="N882" i="2"/>
  <c r="T882" i="2"/>
  <c r="N881" i="2"/>
  <c r="T881" i="2"/>
  <c r="N880" i="2"/>
  <c r="T880" i="2"/>
  <c r="N879" i="2"/>
  <c r="T879" i="2"/>
  <c r="N878" i="2"/>
  <c r="T878" i="2"/>
  <c r="N877" i="2"/>
  <c r="T877" i="2"/>
  <c r="N876" i="2"/>
  <c r="T876" i="2"/>
  <c r="N875" i="2"/>
  <c r="T875" i="2"/>
  <c r="N874" i="2"/>
  <c r="T874" i="2"/>
  <c r="N873" i="2"/>
  <c r="T873" i="2"/>
  <c r="N872" i="2"/>
  <c r="T872" i="2"/>
  <c r="N871" i="2"/>
  <c r="T871" i="2"/>
  <c r="N870" i="2"/>
  <c r="T870" i="2"/>
  <c r="N869" i="2"/>
  <c r="T869" i="2"/>
  <c r="N868" i="2"/>
  <c r="T868" i="2"/>
  <c r="N867" i="2"/>
  <c r="T867" i="2"/>
  <c r="N866" i="2"/>
  <c r="T866" i="2"/>
  <c r="N865" i="2"/>
  <c r="T865" i="2"/>
  <c r="N864" i="2"/>
  <c r="T864" i="2"/>
  <c r="N863" i="2"/>
  <c r="T863" i="2"/>
  <c r="N862" i="2"/>
  <c r="T862" i="2"/>
  <c r="N861" i="2"/>
  <c r="T861" i="2"/>
  <c r="N860" i="2"/>
  <c r="T860" i="2"/>
  <c r="N859" i="2"/>
  <c r="T859" i="2"/>
  <c r="N858" i="2"/>
  <c r="T858" i="2"/>
  <c r="N857" i="2"/>
  <c r="T857" i="2"/>
  <c r="N856" i="2"/>
  <c r="T856" i="2"/>
  <c r="N855" i="2"/>
  <c r="T855" i="2"/>
  <c r="N854" i="2"/>
  <c r="T854" i="2"/>
  <c r="N853" i="2"/>
  <c r="T853" i="2"/>
  <c r="N852" i="2"/>
  <c r="T852" i="2"/>
  <c r="N851" i="2"/>
  <c r="T851" i="2"/>
  <c r="N850" i="2"/>
  <c r="T850" i="2"/>
  <c r="N849" i="2"/>
  <c r="T849" i="2"/>
  <c r="N848" i="2"/>
  <c r="T848" i="2"/>
  <c r="N847" i="2"/>
  <c r="T847" i="2"/>
  <c r="N846" i="2"/>
  <c r="T846" i="2"/>
  <c r="N845" i="2"/>
  <c r="T845" i="2"/>
  <c r="N844" i="2"/>
  <c r="T844" i="2"/>
  <c r="N843" i="2"/>
  <c r="T843" i="2"/>
  <c r="N842" i="2"/>
  <c r="T842" i="2"/>
  <c r="N841" i="2"/>
  <c r="T841" i="2"/>
  <c r="N652" i="2"/>
  <c r="T652" i="2"/>
  <c r="N651" i="2"/>
  <c r="T651" i="2"/>
  <c r="N650" i="2"/>
  <c r="T650" i="2"/>
  <c r="N649" i="2"/>
  <c r="T649" i="2"/>
  <c r="N648" i="2"/>
  <c r="T648" i="2"/>
  <c r="N647" i="2"/>
  <c r="T647" i="2"/>
  <c r="N646" i="2"/>
  <c r="T646" i="2"/>
  <c r="N645" i="2"/>
  <c r="T645" i="2"/>
  <c r="N644" i="2"/>
  <c r="T644" i="2"/>
  <c r="N643" i="2"/>
  <c r="T643" i="2"/>
  <c r="N642" i="2"/>
  <c r="T642" i="2"/>
  <c r="N641" i="2"/>
  <c r="T641" i="2"/>
  <c r="N640" i="2"/>
  <c r="T640" i="2"/>
  <c r="N639" i="2"/>
  <c r="T639" i="2"/>
  <c r="N638" i="2"/>
  <c r="T638" i="2"/>
  <c r="N637" i="2"/>
  <c r="T637" i="2"/>
  <c r="N636" i="2"/>
  <c r="T636" i="2"/>
  <c r="N635" i="2"/>
  <c r="T635" i="2"/>
  <c r="N634" i="2"/>
  <c r="T634" i="2"/>
  <c r="N633" i="2"/>
  <c r="T633" i="2"/>
  <c r="N632" i="2"/>
  <c r="T632" i="2"/>
  <c r="N631" i="2"/>
  <c r="T631" i="2"/>
  <c r="N630" i="2"/>
  <c r="T630" i="2"/>
  <c r="N629" i="2"/>
  <c r="T629" i="2"/>
  <c r="N628" i="2"/>
  <c r="T628" i="2"/>
  <c r="N627" i="2"/>
  <c r="T627" i="2"/>
  <c r="N626" i="2"/>
  <c r="T626" i="2"/>
  <c r="N625" i="2"/>
  <c r="T625" i="2"/>
  <c r="N624" i="2"/>
  <c r="T624" i="2"/>
  <c r="N623" i="2"/>
  <c r="T623" i="2"/>
  <c r="N622" i="2"/>
  <c r="T622" i="2"/>
  <c r="N621" i="2"/>
  <c r="T621" i="2"/>
  <c r="N620" i="2"/>
  <c r="T620" i="2"/>
  <c r="N619" i="2"/>
  <c r="T619" i="2"/>
  <c r="N618" i="2"/>
  <c r="T618" i="2"/>
  <c r="N617" i="2"/>
  <c r="T617" i="2"/>
  <c r="N616" i="2"/>
  <c r="T616" i="2"/>
  <c r="N615" i="2"/>
  <c r="T615" i="2"/>
  <c r="N614" i="2"/>
  <c r="T614" i="2"/>
  <c r="N613" i="2"/>
  <c r="T613" i="2"/>
  <c r="N612" i="2"/>
  <c r="T612" i="2"/>
  <c r="N611" i="2"/>
  <c r="T611" i="2"/>
  <c r="N610" i="2"/>
  <c r="T610" i="2"/>
  <c r="N609" i="2"/>
  <c r="T609" i="2"/>
  <c r="N608" i="2"/>
  <c r="T608" i="2"/>
  <c r="N607" i="2"/>
  <c r="T607" i="2"/>
  <c r="N606" i="2"/>
  <c r="T606" i="2"/>
  <c r="N605" i="2"/>
  <c r="T605" i="2"/>
  <c r="N604" i="2"/>
  <c r="T604" i="2"/>
  <c r="N603" i="2"/>
  <c r="T603" i="2"/>
  <c r="N602" i="2"/>
  <c r="T602" i="2"/>
  <c r="N601" i="2"/>
  <c r="T601" i="2"/>
  <c r="N600" i="2"/>
  <c r="T600" i="2"/>
  <c r="N599" i="2"/>
  <c r="T599" i="2"/>
  <c r="N598" i="2"/>
  <c r="T598" i="2"/>
  <c r="N597" i="2"/>
  <c r="T597" i="2"/>
  <c r="N596" i="2"/>
  <c r="T596" i="2"/>
  <c r="N595" i="2"/>
  <c r="T595" i="2"/>
  <c r="N594" i="2"/>
  <c r="T594" i="2"/>
  <c r="N593" i="2"/>
  <c r="T593" i="2"/>
  <c r="N592" i="2"/>
  <c r="T592" i="2"/>
  <c r="N591" i="2"/>
  <c r="T591" i="2"/>
  <c r="N590" i="2"/>
  <c r="T590" i="2"/>
  <c r="N589" i="2"/>
  <c r="T589" i="2"/>
  <c r="N588" i="2"/>
  <c r="T588" i="2"/>
  <c r="N587" i="2"/>
  <c r="T587" i="2"/>
  <c r="N586" i="2"/>
  <c r="T586" i="2"/>
  <c r="N585" i="2"/>
  <c r="T585" i="2"/>
  <c r="N584" i="2"/>
  <c r="T584" i="2"/>
  <c r="N583" i="2"/>
  <c r="T583" i="2"/>
  <c r="N582" i="2"/>
  <c r="T582" i="2"/>
  <c r="N581" i="2"/>
  <c r="T581" i="2"/>
  <c r="N580" i="2"/>
  <c r="T580" i="2"/>
  <c r="N579" i="2"/>
  <c r="T579" i="2"/>
  <c r="N578" i="2"/>
  <c r="T578" i="2"/>
  <c r="N576" i="2"/>
  <c r="T576" i="2"/>
  <c r="N575" i="2"/>
  <c r="T575" i="2"/>
  <c r="N574" i="2"/>
  <c r="T574" i="2"/>
  <c r="N573" i="2"/>
  <c r="T573" i="2"/>
  <c r="N572" i="2"/>
  <c r="T572" i="2"/>
  <c r="N571" i="2"/>
  <c r="T571" i="2"/>
  <c r="N570" i="2"/>
  <c r="T570" i="2"/>
  <c r="N569" i="2"/>
  <c r="T569" i="2"/>
  <c r="N568" i="2"/>
  <c r="T568" i="2"/>
  <c r="N567" i="2"/>
  <c r="T567" i="2"/>
  <c r="N566" i="2"/>
  <c r="T566" i="2"/>
  <c r="N565" i="2"/>
  <c r="T565" i="2"/>
  <c r="N564" i="2"/>
  <c r="T564" i="2"/>
  <c r="N563" i="2"/>
  <c r="T563" i="2"/>
  <c r="N562" i="2"/>
  <c r="T562" i="2"/>
  <c r="N561" i="2"/>
  <c r="T561" i="2"/>
  <c r="N560" i="2"/>
  <c r="T560" i="2"/>
  <c r="N559" i="2"/>
  <c r="T559" i="2"/>
  <c r="N558" i="2"/>
  <c r="T558" i="2"/>
  <c r="N557" i="2"/>
  <c r="T557" i="2"/>
  <c r="N556" i="2"/>
  <c r="T556" i="2"/>
  <c r="N555" i="2"/>
  <c r="T555" i="2"/>
  <c r="N554" i="2"/>
  <c r="T554" i="2"/>
  <c r="N553" i="2"/>
  <c r="T553" i="2"/>
  <c r="N552" i="2"/>
  <c r="T552" i="2"/>
  <c r="N551" i="2"/>
  <c r="T551" i="2"/>
  <c r="N550" i="2"/>
  <c r="T550" i="2"/>
  <c r="N549" i="2"/>
  <c r="T549" i="2"/>
  <c r="N548" i="2"/>
  <c r="T548" i="2"/>
  <c r="N547" i="2"/>
  <c r="T547" i="2"/>
  <c r="N546" i="2"/>
  <c r="T546" i="2"/>
  <c r="N545" i="2"/>
  <c r="T545" i="2"/>
  <c r="N544" i="2"/>
  <c r="T544" i="2"/>
  <c r="N543" i="2"/>
  <c r="T543" i="2"/>
  <c r="N542" i="2"/>
  <c r="T542" i="2"/>
  <c r="N541" i="2"/>
  <c r="T541" i="2"/>
  <c r="N540" i="2"/>
  <c r="T540" i="2"/>
  <c r="N539" i="2"/>
  <c r="T539" i="2"/>
  <c r="N538" i="2"/>
  <c r="T538" i="2"/>
  <c r="N537" i="2"/>
  <c r="T537" i="2"/>
  <c r="N536" i="2"/>
  <c r="T536" i="2"/>
  <c r="N535" i="2"/>
  <c r="T535" i="2"/>
  <c r="N534" i="2"/>
  <c r="T534" i="2"/>
  <c r="N533" i="2"/>
  <c r="T533" i="2"/>
  <c r="N532" i="2"/>
  <c r="T532" i="2"/>
  <c r="N531" i="2"/>
  <c r="T531" i="2"/>
  <c r="N530" i="2"/>
  <c r="T530" i="2"/>
  <c r="N529" i="2"/>
  <c r="T529" i="2"/>
  <c r="N528" i="2"/>
  <c r="T528" i="2"/>
  <c r="N527" i="2"/>
  <c r="T527" i="2"/>
  <c r="N526" i="2"/>
  <c r="T526" i="2"/>
  <c r="N525" i="2"/>
  <c r="T525" i="2"/>
  <c r="N524" i="2"/>
  <c r="T524" i="2"/>
  <c r="N523" i="2"/>
  <c r="T523" i="2"/>
  <c r="N522" i="2"/>
  <c r="T522" i="2"/>
  <c r="N521" i="2"/>
  <c r="T521" i="2"/>
  <c r="N520" i="2"/>
  <c r="T520" i="2"/>
  <c r="N519" i="2"/>
  <c r="T519" i="2"/>
  <c r="N518" i="2"/>
  <c r="T518" i="2"/>
  <c r="N517" i="2"/>
  <c r="T517" i="2"/>
  <c r="N516" i="2"/>
  <c r="T516" i="2"/>
  <c r="N515" i="2"/>
  <c r="T515" i="2"/>
  <c r="N514" i="2"/>
  <c r="T514" i="2"/>
  <c r="N513" i="2"/>
  <c r="T513" i="2"/>
  <c r="N512" i="2"/>
  <c r="T512" i="2"/>
  <c r="N511" i="2"/>
  <c r="T511" i="2"/>
  <c r="N510" i="2"/>
  <c r="T510" i="2"/>
  <c r="N509" i="2"/>
  <c r="T509" i="2"/>
  <c r="N508" i="2"/>
  <c r="T508" i="2"/>
  <c r="N507" i="2"/>
  <c r="T507" i="2"/>
  <c r="N506" i="2"/>
  <c r="T506" i="2"/>
  <c r="N503" i="2"/>
  <c r="T503" i="2"/>
  <c r="N502" i="2"/>
  <c r="T502" i="2"/>
  <c r="N501" i="2"/>
  <c r="T501" i="2"/>
  <c r="N500" i="2"/>
  <c r="T500" i="2"/>
  <c r="N499" i="2"/>
  <c r="T499" i="2"/>
  <c r="N498" i="2"/>
  <c r="T498" i="2"/>
  <c r="N497" i="2"/>
  <c r="T497" i="2"/>
  <c r="N496" i="2"/>
  <c r="T496" i="2"/>
  <c r="N495" i="2"/>
  <c r="T495" i="2"/>
  <c r="N494" i="2"/>
  <c r="T494" i="2"/>
  <c r="N493" i="2"/>
  <c r="T493" i="2"/>
  <c r="N492" i="2"/>
  <c r="T492" i="2"/>
  <c r="N491" i="2"/>
  <c r="T491" i="2"/>
  <c r="N490" i="2"/>
  <c r="T490" i="2"/>
  <c r="N489" i="2"/>
  <c r="T489" i="2"/>
  <c r="N488" i="2"/>
  <c r="T488" i="2"/>
  <c r="N487" i="2"/>
  <c r="T487" i="2"/>
  <c r="N486" i="2"/>
  <c r="T486" i="2"/>
  <c r="N485" i="2"/>
  <c r="T485" i="2"/>
  <c r="N484" i="2"/>
  <c r="T484" i="2"/>
  <c r="N483" i="2"/>
  <c r="T483" i="2"/>
  <c r="N482" i="2"/>
  <c r="T482" i="2"/>
  <c r="N481" i="2"/>
  <c r="T481" i="2"/>
  <c r="N480" i="2"/>
  <c r="T480" i="2"/>
  <c r="N479" i="2"/>
  <c r="T479" i="2"/>
  <c r="N478" i="2"/>
  <c r="T478" i="2"/>
  <c r="N477" i="2"/>
  <c r="T477" i="2"/>
  <c r="N476" i="2"/>
  <c r="T476" i="2"/>
  <c r="N475" i="2"/>
  <c r="T475" i="2"/>
  <c r="N474" i="2"/>
  <c r="T474" i="2"/>
  <c r="N473" i="2"/>
  <c r="T473" i="2"/>
  <c r="N472" i="2"/>
  <c r="T472" i="2"/>
  <c r="N471" i="2"/>
  <c r="T471" i="2"/>
  <c r="N470" i="2"/>
  <c r="T470" i="2"/>
  <c r="N469" i="2"/>
  <c r="T469" i="2"/>
  <c r="N468" i="2"/>
  <c r="T468" i="2"/>
  <c r="N467" i="2"/>
  <c r="T467" i="2"/>
  <c r="N466" i="2"/>
  <c r="T466" i="2"/>
  <c r="N465" i="2"/>
  <c r="T465" i="2"/>
  <c r="N464" i="2"/>
  <c r="T464" i="2"/>
  <c r="N463" i="2"/>
  <c r="T463" i="2"/>
  <c r="N462" i="2"/>
  <c r="T462" i="2"/>
  <c r="N461" i="2"/>
  <c r="T461" i="2"/>
  <c r="N460" i="2"/>
  <c r="T460" i="2"/>
  <c r="N459" i="2"/>
  <c r="T459" i="2"/>
  <c r="N458" i="2"/>
  <c r="T458" i="2"/>
  <c r="N457" i="2"/>
  <c r="T457" i="2"/>
  <c r="N456" i="2"/>
  <c r="T456" i="2"/>
  <c r="N455" i="2"/>
  <c r="T455" i="2"/>
  <c r="N454" i="2"/>
  <c r="T454" i="2"/>
  <c r="N453" i="2"/>
  <c r="T453" i="2"/>
  <c r="N452" i="2"/>
  <c r="T452" i="2"/>
  <c r="N451" i="2"/>
  <c r="T451" i="2"/>
  <c r="N450" i="2"/>
  <c r="T450" i="2"/>
  <c r="N449" i="2"/>
  <c r="T449" i="2"/>
  <c r="N448" i="2"/>
  <c r="T448" i="2"/>
  <c r="N447" i="2"/>
  <c r="T447" i="2"/>
  <c r="N446" i="2"/>
  <c r="T446" i="2"/>
  <c r="N445" i="2"/>
  <c r="T445" i="2"/>
  <c r="N444" i="2"/>
  <c r="T444" i="2"/>
  <c r="N443" i="2"/>
  <c r="T443" i="2"/>
  <c r="N442" i="2"/>
  <c r="T442" i="2"/>
  <c r="N441" i="2"/>
  <c r="T441" i="2"/>
  <c r="N440" i="2"/>
  <c r="T440" i="2"/>
  <c r="N439" i="2"/>
  <c r="T439" i="2"/>
  <c r="N438" i="2"/>
  <c r="T438" i="2"/>
  <c r="N437" i="2"/>
  <c r="T437" i="2"/>
  <c r="N436" i="2"/>
  <c r="T436" i="2"/>
  <c r="N435" i="2"/>
  <c r="T435" i="2"/>
  <c r="N434" i="2"/>
  <c r="T434" i="2"/>
  <c r="N433" i="2"/>
  <c r="T433" i="2"/>
  <c r="N432" i="2"/>
  <c r="T432" i="2"/>
  <c r="N431" i="2"/>
  <c r="T431" i="2"/>
  <c r="N430" i="2"/>
  <c r="T430" i="2"/>
  <c r="N429" i="2"/>
  <c r="T429" i="2"/>
  <c r="N428" i="2"/>
  <c r="T428" i="2"/>
  <c r="N427" i="2"/>
  <c r="T427" i="2"/>
  <c r="N426" i="2"/>
  <c r="T426" i="2"/>
  <c r="N425" i="2"/>
  <c r="T425" i="2"/>
  <c r="N424" i="2"/>
  <c r="T424" i="2"/>
  <c r="N423" i="2"/>
  <c r="T423" i="2"/>
  <c r="N422" i="2"/>
  <c r="T422" i="2"/>
  <c r="N421" i="2"/>
  <c r="T421" i="2"/>
  <c r="N420" i="2"/>
  <c r="T420" i="2"/>
  <c r="N419" i="2"/>
  <c r="T419" i="2"/>
  <c r="N418" i="2"/>
  <c r="T418" i="2"/>
  <c r="N417" i="2"/>
  <c r="T417" i="2"/>
  <c r="N416" i="2"/>
  <c r="T416" i="2"/>
  <c r="N415" i="2"/>
  <c r="T415" i="2"/>
  <c r="N414" i="2"/>
  <c r="T414" i="2"/>
  <c r="N413" i="2"/>
  <c r="T413" i="2"/>
  <c r="N412" i="2"/>
  <c r="T412" i="2"/>
  <c r="N411" i="2"/>
  <c r="T411" i="2"/>
  <c r="N410" i="2"/>
  <c r="T410" i="2"/>
  <c r="N409" i="2"/>
  <c r="T409" i="2"/>
  <c r="N408" i="2"/>
  <c r="T408" i="2"/>
  <c r="N407" i="2"/>
  <c r="T407" i="2"/>
  <c r="N406" i="2"/>
  <c r="T406" i="2"/>
  <c r="N405" i="2"/>
  <c r="T405" i="2"/>
  <c r="N404" i="2"/>
  <c r="T404" i="2"/>
  <c r="N403" i="2"/>
  <c r="T403" i="2"/>
  <c r="N402" i="2"/>
  <c r="T402" i="2"/>
  <c r="N401" i="2"/>
  <c r="T401" i="2"/>
  <c r="N400" i="2"/>
  <c r="T400" i="2"/>
  <c r="N399" i="2"/>
  <c r="T399" i="2"/>
  <c r="N398" i="2"/>
  <c r="T398" i="2"/>
  <c r="N397" i="2"/>
  <c r="T397" i="2"/>
  <c r="N396" i="2"/>
  <c r="T396" i="2"/>
  <c r="N395" i="2"/>
  <c r="T395" i="2"/>
  <c r="N394" i="2"/>
  <c r="T394" i="2"/>
  <c r="N393" i="2"/>
  <c r="T393" i="2"/>
  <c r="N392" i="2"/>
  <c r="T392" i="2"/>
  <c r="N391" i="2"/>
  <c r="T391" i="2"/>
  <c r="N390" i="2"/>
  <c r="T390" i="2"/>
  <c r="N389" i="2"/>
  <c r="T389" i="2"/>
  <c r="N388" i="2"/>
  <c r="T388" i="2"/>
  <c r="N387" i="2"/>
  <c r="T387" i="2"/>
  <c r="N386" i="2"/>
  <c r="T386" i="2"/>
  <c r="N385" i="2"/>
  <c r="T385" i="2"/>
  <c r="N384" i="2"/>
  <c r="T384" i="2"/>
  <c r="N383" i="2"/>
  <c r="T383" i="2"/>
  <c r="N382" i="2"/>
  <c r="T382" i="2"/>
  <c r="N381" i="2"/>
  <c r="T381" i="2"/>
  <c r="N380" i="2"/>
  <c r="T380" i="2"/>
  <c r="N379" i="2"/>
  <c r="T379" i="2"/>
  <c r="N378" i="2"/>
  <c r="T378" i="2"/>
  <c r="N377" i="2"/>
  <c r="T377" i="2"/>
  <c r="N376" i="2"/>
  <c r="T376" i="2"/>
  <c r="N375" i="2"/>
  <c r="T375" i="2"/>
  <c r="N374" i="2"/>
  <c r="T374" i="2"/>
  <c r="N373" i="2"/>
  <c r="T373" i="2"/>
  <c r="N372" i="2"/>
  <c r="T372" i="2"/>
  <c r="N371" i="2"/>
  <c r="T371" i="2"/>
  <c r="N370" i="2"/>
  <c r="T370" i="2"/>
  <c r="N369" i="2"/>
  <c r="T369" i="2"/>
  <c r="N368" i="2"/>
  <c r="T368" i="2"/>
  <c r="N367" i="2"/>
  <c r="T367" i="2"/>
  <c r="N366" i="2"/>
  <c r="T366" i="2"/>
  <c r="N365" i="2"/>
  <c r="T365" i="2"/>
  <c r="N364" i="2"/>
  <c r="T364" i="2"/>
  <c r="N363" i="2"/>
  <c r="T363" i="2"/>
  <c r="N362" i="2"/>
  <c r="T362" i="2"/>
  <c r="N361" i="2"/>
  <c r="T361" i="2"/>
  <c r="N360" i="2"/>
  <c r="T360" i="2"/>
  <c r="N359" i="2"/>
  <c r="T359" i="2"/>
  <c r="N358" i="2"/>
  <c r="T358" i="2"/>
  <c r="N357" i="2"/>
  <c r="T357" i="2"/>
  <c r="N356" i="2"/>
  <c r="T356" i="2"/>
  <c r="N355" i="2"/>
  <c r="T355" i="2"/>
  <c r="N354" i="2"/>
  <c r="T354" i="2"/>
  <c r="N353" i="2"/>
  <c r="T353" i="2"/>
  <c r="N352" i="2"/>
  <c r="T352" i="2"/>
  <c r="N351" i="2"/>
  <c r="T351" i="2"/>
  <c r="N350" i="2"/>
  <c r="T350" i="2"/>
  <c r="N349" i="2"/>
  <c r="T349" i="2"/>
  <c r="N348" i="2"/>
  <c r="T348" i="2"/>
  <c r="N347" i="2"/>
  <c r="T347" i="2"/>
  <c r="N346" i="2"/>
  <c r="T346" i="2"/>
  <c r="N345" i="2"/>
  <c r="T345" i="2"/>
  <c r="N344" i="2"/>
  <c r="T344" i="2"/>
  <c r="N343" i="2"/>
  <c r="T343" i="2"/>
  <c r="N342" i="2"/>
  <c r="T342" i="2"/>
  <c r="N341" i="2"/>
  <c r="T341" i="2"/>
  <c r="N340" i="2"/>
  <c r="T340" i="2"/>
  <c r="N339" i="2"/>
  <c r="T339" i="2"/>
  <c r="N338" i="2"/>
  <c r="T338" i="2"/>
  <c r="N337" i="2"/>
  <c r="T337" i="2"/>
  <c r="N336" i="2"/>
  <c r="T336" i="2"/>
  <c r="N335" i="2"/>
  <c r="T335" i="2"/>
  <c r="N334" i="2"/>
  <c r="T334" i="2"/>
  <c r="N333" i="2"/>
  <c r="T333" i="2"/>
  <c r="N332" i="2"/>
  <c r="T332" i="2"/>
  <c r="N331" i="2"/>
  <c r="T331" i="2"/>
  <c r="N330" i="2"/>
  <c r="T330" i="2"/>
  <c r="N329" i="2"/>
  <c r="T329" i="2"/>
  <c r="N328" i="2"/>
  <c r="T328" i="2"/>
  <c r="N327" i="2"/>
  <c r="T327" i="2"/>
  <c r="N326" i="2"/>
  <c r="T326" i="2"/>
  <c r="N325" i="2"/>
  <c r="T325" i="2"/>
  <c r="N324" i="2"/>
  <c r="T324" i="2"/>
  <c r="N322" i="2"/>
  <c r="T322" i="2"/>
  <c r="N321" i="2"/>
  <c r="T321" i="2"/>
  <c r="N320" i="2"/>
  <c r="T320" i="2"/>
  <c r="N319" i="2"/>
  <c r="T319" i="2"/>
  <c r="N318" i="2"/>
  <c r="T318" i="2"/>
  <c r="N317" i="2"/>
  <c r="T317" i="2"/>
  <c r="N316" i="2"/>
  <c r="T316" i="2"/>
  <c r="N315" i="2"/>
  <c r="T315" i="2"/>
  <c r="N314" i="2"/>
  <c r="T314" i="2"/>
  <c r="N313" i="2"/>
  <c r="T313" i="2"/>
  <c r="N312" i="2"/>
  <c r="T312" i="2"/>
  <c r="N311" i="2"/>
  <c r="T311" i="2"/>
  <c r="N310" i="2"/>
  <c r="T310" i="2"/>
  <c r="N309" i="2"/>
  <c r="T309" i="2"/>
  <c r="N308" i="2"/>
  <c r="T308" i="2"/>
  <c r="N307" i="2"/>
  <c r="T307" i="2"/>
  <c r="N306" i="2"/>
  <c r="T306" i="2"/>
  <c r="N305" i="2"/>
  <c r="T305" i="2"/>
  <c r="N304" i="2"/>
  <c r="T304" i="2"/>
  <c r="N303" i="2"/>
  <c r="T303" i="2"/>
  <c r="N302" i="2"/>
  <c r="T302" i="2"/>
  <c r="N301" i="2"/>
  <c r="T301" i="2"/>
  <c r="N300" i="2"/>
  <c r="T300" i="2"/>
  <c r="N299" i="2"/>
  <c r="T299" i="2"/>
  <c r="N298" i="2"/>
  <c r="T298" i="2"/>
  <c r="N297" i="2"/>
  <c r="T297" i="2"/>
  <c r="N296" i="2"/>
  <c r="T296" i="2"/>
  <c r="N295" i="2"/>
  <c r="T295" i="2"/>
  <c r="N294" i="2"/>
  <c r="T294" i="2"/>
  <c r="N293" i="2"/>
  <c r="T293" i="2"/>
  <c r="N292" i="2"/>
  <c r="T292" i="2"/>
  <c r="N291" i="2"/>
  <c r="T291" i="2"/>
  <c r="N290" i="2"/>
  <c r="T290" i="2"/>
  <c r="N289" i="2"/>
  <c r="T289" i="2"/>
  <c r="N288" i="2"/>
  <c r="T288" i="2"/>
  <c r="N287" i="2"/>
  <c r="T287" i="2"/>
  <c r="N286" i="2"/>
  <c r="T286" i="2"/>
  <c r="N285" i="2"/>
  <c r="T285" i="2"/>
  <c r="N284" i="2"/>
  <c r="T284" i="2"/>
  <c r="N283" i="2"/>
  <c r="T283" i="2"/>
  <c r="N282" i="2"/>
  <c r="T282" i="2"/>
  <c r="N281" i="2"/>
  <c r="T281" i="2"/>
  <c r="N280" i="2"/>
  <c r="T280" i="2"/>
  <c r="N279" i="2"/>
  <c r="T279" i="2"/>
  <c r="N278" i="2"/>
  <c r="T278" i="2"/>
  <c r="N277" i="2"/>
  <c r="T277" i="2"/>
  <c r="N276" i="2"/>
  <c r="T276" i="2"/>
  <c r="N275" i="2"/>
  <c r="T275" i="2"/>
  <c r="N274" i="2"/>
  <c r="T274" i="2"/>
  <c r="N273" i="2"/>
  <c r="T273" i="2"/>
  <c r="N272" i="2"/>
  <c r="T272" i="2"/>
  <c r="N271" i="2"/>
  <c r="T271" i="2"/>
  <c r="N270" i="2"/>
  <c r="T270" i="2"/>
  <c r="N269" i="2"/>
  <c r="T269" i="2"/>
  <c r="N268" i="2"/>
  <c r="T268" i="2"/>
  <c r="N267" i="2"/>
  <c r="T267" i="2"/>
  <c r="N266" i="2"/>
  <c r="T266" i="2"/>
  <c r="N265" i="2"/>
  <c r="T265" i="2"/>
  <c r="N264" i="2"/>
  <c r="T264" i="2"/>
  <c r="N263" i="2"/>
  <c r="T263" i="2"/>
  <c r="N262" i="2"/>
  <c r="T262" i="2"/>
  <c r="N261" i="2"/>
  <c r="T261" i="2"/>
  <c r="N260" i="2"/>
  <c r="T260" i="2"/>
  <c r="N259" i="2"/>
  <c r="T259" i="2"/>
  <c r="N258" i="2"/>
  <c r="T258" i="2"/>
  <c r="N257" i="2"/>
  <c r="T257" i="2"/>
  <c r="N256" i="2"/>
  <c r="T256" i="2"/>
  <c r="N255" i="2"/>
  <c r="T255" i="2"/>
  <c r="N254" i="2"/>
  <c r="T254" i="2"/>
  <c r="N253" i="2"/>
  <c r="T253" i="2"/>
  <c r="N252" i="2"/>
  <c r="T252" i="2"/>
  <c r="N251" i="2"/>
  <c r="T251" i="2"/>
  <c r="N250" i="2"/>
  <c r="T250" i="2"/>
  <c r="N249" i="2"/>
  <c r="T249" i="2"/>
  <c r="N248" i="2"/>
  <c r="T248" i="2"/>
  <c r="N247" i="2"/>
  <c r="T247" i="2"/>
  <c r="N246" i="2"/>
  <c r="T246" i="2"/>
  <c r="N245" i="2"/>
  <c r="T245" i="2"/>
  <c r="N244" i="2"/>
  <c r="T244" i="2"/>
  <c r="N243" i="2"/>
  <c r="T243" i="2"/>
  <c r="N242" i="2"/>
  <c r="T242" i="2"/>
  <c r="N241" i="2"/>
  <c r="T241" i="2"/>
  <c r="N240" i="2"/>
  <c r="T240" i="2"/>
  <c r="N239" i="2"/>
  <c r="T239" i="2"/>
  <c r="N238" i="2"/>
  <c r="T238" i="2"/>
  <c r="N236" i="2"/>
  <c r="T236" i="2"/>
  <c r="N235" i="2"/>
  <c r="T235" i="2"/>
  <c r="N234" i="2"/>
  <c r="T234" i="2"/>
  <c r="N233" i="2"/>
  <c r="T233" i="2"/>
  <c r="N232" i="2"/>
  <c r="T232" i="2"/>
  <c r="N231" i="2"/>
  <c r="T231" i="2"/>
  <c r="N230" i="2"/>
  <c r="T230" i="2"/>
  <c r="N229" i="2"/>
  <c r="T229" i="2"/>
  <c r="N228" i="2"/>
  <c r="T228" i="2"/>
  <c r="N227" i="2"/>
  <c r="T227" i="2"/>
  <c r="N226" i="2"/>
  <c r="T226" i="2"/>
  <c r="N225" i="2"/>
  <c r="T225" i="2"/>
  <c r="N224" i="2"/>
  <c r="T224" i="2"/>
  <c r="N223" i="2"/>
  <c r="T223" i="2"/>
  <c r="N222" i="2"/>
  <c r="T222" i="2"/>
  <c r="N221" i="2"/>
  <c r="T221" i="2"/>
  <c r="N220" i="2"/>
  <c r="T220" i="2"/>
  <c r="N219" i="2"/>
  <c r="T219" i="2"/>
  <c r="N218" i="2"/>
  <c r="T218" i="2"/>
  <c r="N217" i="2"/>
  <c r="T217" i="2"/>
  <c r="N216" i="2"/>
  <c r="T216" i="2"/>
  <c r="N215" i="2"/>
  <c r="T215" i="2"/>
  <c r="N214" i="2"/>
  <c r="T214" i="2"/>
  <c r="N213" i="2"/>
  <c r="T213" i="2"/>
  <c r="N212" i="2"/>
  <c r="T212" i="2"/>
  <c r="N211" i="2"/>
  <c r="T211" i="2"/>
  <c r="N210" i="2"/>
  <c r="T210" i="2"/>
  <c r="N209" i="2"/>
  <c r="T209" i="2"/>
  <c r="N208" i="2"/>
  <c r="T208" i="2"/>
  <c r="N207" i="2"/>
  <c r="T207" i="2"/>
  <c r="N206" i="2"/>
  <c r="T206" i="2"/>
  <c r="N205" i="2"/>
  <c r="T205" i="2"/>
  <c r="N204" i="2"/>
  <c r="T204" i="2"/>
  <c r="N203" i="2"/>
  <c r="T203" i="2"/>
  <c r="N202" i="2"/>
  <c r="T202" i="2"/>
  <c r="N201" i="2"/>
  <c r="T201" i="2"/>
  <c r="N200" i="2"/>
  <c r="T200" i="2"/>
  <c r="N199" i="2"/>
  <c r="T199" i="2"/>
  <c r="N198" i="2"/>
  <c r="T198" i="2"/>
  <c r="N197" i="2"/>
  <c r="T197" i="2"/>
  <c r="N196" i="2"/>
  <c r="T196" i="2"/>
  <c r="N195" i="2"/>
  <c r="T195" i="2"/>
  <c r="N194" i="2"/>
  <c r="T194" i="2"/>
  <c r="N193" i="2"/>
  <c r="T193" i="2"/>
  <c r="N192" i="2"/>
  <c r="T192" i="2"/>
  <c r="N191" i="2"/>
  <c r="T191" i="2"/>
  <c r="N190" i="2"/>
  <c r="T190" i="2"/>
  <c r="N189" i="2"/>
  <c r="T189" i="2"/>
  <c r="N188" i="2"/>
  <c r="T188" i="2"/>
  <c r="N187" i="2"/>
  <c r="T187" i="2"/>
  <c r="N186" i="2"/>
  <c r="T186" i="2"/>
  <c r="N185" i="2"/>
  <c r="T185" i="2"/>
  <c r="N184" i="2"/>
  <c r="T184" i="2"/>
  <c r="N183" i="2"/>
  <c r="T183" i="2"/>
  <c r="N182" i="2"/>
  <c r="T182" i="2"/>
  <c r="N181" i="2"/>
  <c r="T181" i="2"/>
  <c r="N180" i="2"/>
  <c r="T180" i="2"/>
  <c r="N179" i="2"/>
  <c r="T179" i="2"/>
  <c r="N178" i="2"/>
  <c r="T178" i="2"/>
  <c r="N177" i="2"/>
  <c r="T177" i="2"/>
  <c r="N176" i="2"/>
  <c r="T176" i="2"/>
  <c r="N175" i="2"/>
  <c r="T175" i="2"/>
  <c r="N174" i="2"/>
  <c r="T174" i="2"/>
  <c r="N173" i="2"/>
  <c r="T173" i="2"/>
  <c r="N172" i="2"/>
  <c r="T172" i="2"/>
  <c r="N171" i="2"/>
  <c r="T171" i="2"/>
  <c r="N170" i="2"/>
  <c r="T170" i="2"/>
  <c r="N169" i="2"/>
  <c r="T169" i="2"/>
  <c r="N168" i="2"/>
  <c r="T168" i="2"/>
  <c r="N167" i="2"/>
  <c r="T167" i="2"/>
  <c r="N166" i="2"/>
  <c r="T166" i="2"/>
  <c r="N165" i="2"/>
  <c r="T165" i="2"/>
  <c r="N163" i="2"/>
  <c r="T163" i="2"/>
  <c r="N162" i="2"/>
  <c r="T162" i="2"/>
  <c r="N161" i="2"/>
  <c r="T161" i="2"/>
  <c r="N160" i="2"/>
  <c r="T160" i="2"/>
  <c r="N159" i="2"/>
  <c r="T159" i="2"/>
  <c r="N158" i="2"/>
  <c r="T158" i="2"/>
  <c r="N157" i="2"/>
  <c r="T157" i="2"/>
  <c r="N156" i="2"/>
  <c r="T156" i="2"/>
  <c r="N155" i="2"/>
  <c r="T155" i="2"/>
  <c r="N154" i="2"/>
  <c r="T154" i="2"/>
  <c r="N153" i="2"/>
  <c r="T153" i="2"/>
  <c r="N152" i="2"/>
  <c r="T152" i="2"/>
  <c r="N151" i="2"/>
  <c r="T151" i="2"/>
  <c r="N150" i="2"/>
  <c r="T150" i="2"/>
  <c r="N149" i="2"/>
  <c r="T149" i="2"/>
  <c r="N148" i="2"/>
  <c r="T148" i="2"/>
  <c r="N147" i="2"/>
  <c r="T147" i="2"/>
  <c r="N146" i="2"/>
  <c r="T146" i="2"/>
  <c r="N145" i="2"/>
  <c r="T145" i="2"/>
  <c r="N144" i="2"/>
  <c r="T144" i="2"/>
  <c r="N143" i="2"/>
  <c r="T143" i="2"/>
  <c r="N142" i="2"/>
  <c r="T142" i="2"/>
  <c r="N141" i="2"/>
  <c r="T141" i="2"/>
  <c r="N140" i="2"/>
  <c r="T140" i="2"/>
  <c r="N139" i="2"/>
  <c r="T139" i="2"/>
  <c r="N138" i="2"/>
  <c r="T138" i="2"/>
  <c r="N137" i="2"/>
  <c r="T137" i="2"/>
  <c r="N136" i="2"/>
  <c r="T136" i="2"/>
  <c r="N135" i="2"/>
  <c r="T135" i="2"/>
  <c r="N134" i="2"/>
  <c r="T134" i="2"/>
  <c r="N133" i="2"/>
  <c r="T133" i="2"/>
  <c r="N132" i="2"/>
  <c r="T132" i="2"/>
  <c r="N131" i="2"/>
  <c r="T131" i="2"/>
  <c r="N130" i="2"/>
  <c r="T130" i="2"/>
  <c r="N129" i="2"/>
  <c r="T129" i="2"/>
  <c r="N128" i="2"/>
  <c r="T128" i="2"/>
  <c r="N127" i="2"/>
  <c r="T127" i="2"/>
  <c r="N126" i="2"/>
  <c r="T126" i="2"/>
  <c r="N125" i="2"/>
  <c r="T125" i="2"/>
  <c r="N124" i="2"/>
  <c r="T124" i="2"/>
  <c r="N123" i="2"/>
  <c r="T123" i="2"/>
  <c r="N122" i="2"/>
  <c r="T122" i="2"/>
  <c r="N121" i="2"/>
  <c r="T121" i="2"/>
  <c r="N120" i="2"/>
  <c r="T120" i="2"/>
  <c r="N119" i="2"/>
  <c r="T119" i="2"/>
  <c r="N118" i="2"/>
  <c r="T118" i="2"/>
  <c r="N117" i="2"/>
  <c r="T117" i="2"/>
  <c r="N116" i="2"/>
  <c r="T116" i="2"/>
  <c r="N115" i="2"/>
  <c r="T115" i="2"/>
  <c r="N114" i="2"/>
  <c r="T114" i="2"/>
  <c r="N113" i="2"/>
  <c r="T113" i="2"/>
  <c r="N112" i="2"/>
  <c r="T112" i="2"/>
  <c r="N111" i="2"/>
  <c r="T111" i="2"/>
  <c r="N110" i="2"/>
  <c r="T110" i="2"/>
  <c r="N109" i="2"/>
  <c r="T109" i="2"/>
  <c r="N108" i="2"/>
  <c r="T108" i="2"/>
  <c r="N107" i="2"/>
  <c r="T107" i="2"/>
  <c r="N106" i="2"/>
  <c r="T106" i="2"/>
  <c r="N105" i="2"/>
  <c r="T105" i="2"/>
  <c r="N104" i="2"/>
  <c r="T104" i="2"/>
  <c r="N103" i="2"/>
  <c r="T103" i="2"/>
  <c r="N102" i="2"/>
  <c r="T102" i="2"/>
  <c r="N101" i="2"/>
  <c r="T101" i="2"/>
  <c r="N100" i="2"/>
  <c r="T100" i="2"/>
  <c r="N99" i="2"/>
  <c r="T99" i="2"/>
  <c r="N98" i="2"/>
  <c r="T98" i="2"/>
  <c r="N97" i="2"/>
  <c r="T97" i="2"/>
  <c r="N96" i="2"/>
  <c r="T96" i="2"/>
  <c r="N95" i="2"/>
  <c r="T95" i="2"/>
  <c r="N94" i="2"/>
  <c r="T94" i="2"/>
  <c r="N93" i="2"/>
  <c r="T93" i="2"/>
  <c r="N92" i="2"/>
  <c r="T92" i="2"/>
  <c r="N91" i="2"/>
  <c r="T91" i="2"/>
  <c r="N90" i="2"/>
  <c r="T90" i="2"/>
  <c r="N89" i="2"/>
  <c r="T89" i="2"/>
  <c r="N88" i="2"/>
  <c r="T88" i="2"/>
  <c r="N87" i="2"/>
  <c r="T87" i="2"/>
  <c r="N86" i="2"/>
  <c r="T86" i="2"/>
  <c r="N85" i="2"/>
  <c r="T85" i="2"/>
  <c r="N84" i="2"/>
  <c r="T84" i="2"/>
  <c r="N83" i="2"/>
  <c r="T83" i="2"/>
  <c r="N82" i="2"/>
  <c r="T82" i="2"/>
  <c r="N81" i="2"/>
  <c r="T81" i="2"/>
  <c r="N80" i="2"/>
  <c r="T80" i="2"/>
  <c r="N79" i="2"/>
  <c r="T79" i="2"/>
  <c r="N77" i="2"/>
  <c r="T77" i="2"/>
  <c r="N76" i="2"/>
  <c r="T76" i="2"/>
  <c r="N75" i="2"/>
  <c r="T75" i="2"/>
  <c r="N74" i="2"/>
  <c r="T74" i="2"/>
  <c r="N73" i="2"/>
  <c r="T73" i="2"/>
  <c r="N72" i="2"/>
  <c r="T72" i="2"/>
  <c r="N71" i="2"/>
  <c r="T71" i="2"/>
  <c r="N70" i="2"/>
  <c r="T70" i="2"/>
  <c r="N69" i="2"/>
  <c r="T69" i="2"/>
  <c r="N68" i="2"/>
  <c r="T68" i="2"/>
  <c r="N67" i="2"/>
  <c r="T67" i="2"/>
  <c r="N66" i="2"/>
  <c r="T66" i="2"/>
  <c r="N65" i="2"/>
  <c r="T65" i="2"/>
  <c r="N64" i="2"/>
  <c r="T64" i="2"/>
  <c r="N63" i="2"/>
  <c r="T63" i="2"/>
  <c r="N62" i="2"/>
  <c r="T62" i="2"/>
  <c r="N61" i="2"/>
  <c r="T61" i="2"/>
  <c r="N60" i="2"/>
  <c r="T60" i="2"/>
  <c r="N59" i="2"/>
  <c r="T59" i="2"/>
  <c r="N58" i="2"/>
  <c r="T58" i="2"/>
  <c r="N57" i="2"/>
  <c r="T57" i="2"/>
  <c r="N56" i="2"/>
  <c r="T56" i="2"/>
  <c r="N55" i="2"/>
  <c r="T55" i="2"/>
  <c r="N54" i="2"/>
  <c r="T54" i="2"/>
  <c r="N53" i="2"/>
  <c r="T53" i="2"/>
  <c r="N52" i="2"/>
  <c r="T52" i="2"/>
  <c r="N51" i="2"/>
  <c r="T51" i="2"/>
  <c r="N50" i="2"/>
  <c r="T50" i="2"/>
  <c r="N49" i="2"/>
  <c r="T49" i="2"/>
  <c r="N48" i="2"/>
  <c r="T48" i="2"/>
  <c r="N47" i="2"/>
  <c r="T47" i="2"/>
  <c r="N46" i="2"/>
  <c r="T46" i="2"/>
  <c r="N45" i="2"/>
  <c r="T45" i="2"/>
  <c r="N44" i="2"/>
  <c r="T44" i="2"/>
  <c r="N43" i="2"/>
  <c r="T43" i="2"/>
  <c r="N42" i="2"/>
  <c r="T42" i="2"/>
  <c r="N41" i="2"/>
  <c r="T41" i="2"/>
  <c r="N40" i="2"/>
  <c r="T40" i="2"/>
  <c r="N39" i="2"/>
  <c r="T39" i="2"/>
  <c r="N38" i="2"/>
  <c r="T38" i="2"/>
  <c r="N37" i="2"/>
  <c r="T37" i="2"/>
  <c r="N36" i="2"/>
  <c r="T36" i="2"/>
  <c r="N35" i="2"/>
  <c r="T35" i="2"/>
  <c r="N34" i="2"/>
  <c r="T34" i="2"/>
  <c r="N33" i="2"/>
  <c r="T33" i="2"/>
  <c r="N32" i="2"/>
  <c r="T32" i="2"/>
  <c r="N31" i="2"/>
  <c r="T31" i="2"/>
  <c r="N30" i="2"/>
  <c r="T30" i="2"/>
  <c r="N29" i="2"/>
  <c r="T29" i="2"/>
  <c r="N28" i="2"/>
  <c r="T28" i="2"/>
  <c r="N27" i="2"/>
  <c r="T27" i="2"/>
  <c r="N26" i="2"/>
  <c r="T26" i="2"/>
  <c r="N25" i="2"/>
  <c r="T25" i="2"/>
  <c r="N24" i="2"/>
  <c r="T24" i="2"/>
  <c r="N23" i="2"/>
  <c r="T23" i="2"/>
  <c r="N22" i="2"/>
  <c r="T22" i="2"/>
  <c r="N21" i="2"/>
  <c r="T21" i="2"/>
  <c r="N20" i="2"/>
  <c r="T20" i="2"/>
  <c r="N19" i="2"/>
  <c r="T19" i="2"/>
  <c r="N18" i="2"/>
  <c r="T18" i="2"/>
  <c r="N17" i="2"/>
  <c r="T17" i="2"/>
  <c r="N16" i="2"/>
  <c r="T16" i="2"/>
  <c r="N15" i="2"/>
  <c r="T15" i="2"/>
  <c r="N14" i="2"/>
  <c r="T14" i="2"/>
  <c r="N13" i="2"/>
  <c r="T13" i="2"/>
  <c r="N12" i="2"/>
  <c r="T12" i="2"/>
  <c r="N11" i="2"/>
  <c r="T11" i="2"/>
  <c r="N10" i="2"/>
  <c r="T10" i="2"/>
  <c r="N9" i="2"/>
  <c r="T9" i="2"/>
  <c r="N8" i="2"/>
  <c r="T8" i="2"/>
  <c r="N7" i="2"/>
  <c r="T7" i="2"/>
  <c r="N6" i="2"/>
  <c r="T6" i="2"/>
  <c r="N5" i="2"/>
  <c r="T5" i="2"/>
  <c r="N4" i="2"/>
  <c r="T4" i="2"/>
  <c r="N3" i="2"/>
  <c r="T3" i="2"/>
  <c r="N323" i="2"/>
  <c r="B35" i="3"/>
  <c r="N237" i="2"/>
  <c r="B34" i="3"/>
  <c r="N164" i="2"/>
  <c r="B33" i="3"/>
  <c r="N78" i="2"/>
  <c r="N2" i="2"/>
  <c r="B31" i="3"/>
  <c r="N672" i="2"/>
  <c r="B39" i="3"/>
  <c r="N577" i="2"/>
  <c r="B38" i="3"/>
  <c r="N504" i="2"/>
  <c r="B36" i="3"/>
  <c r="N833" i="2"/>
  <c r="B41" i="3"/>
  <c r="N757" i="2"/>
  <c r="B40" i="3"/>
  <c r="N505" i="2"/>
  <c r="B37" i="3"/>
  <c r="B53" i="3"/>
  <c r="N939" i="2"/>
  <c r="N938" i="2"/>
  <c r="B26" i="3"/>
  <c r="N936" i="2"/>
  <c r="B47" i="3"/>
  <c r="B14" i="3"/>
  <c r="N935" i="2"/>
  <c r="N931" i="2"/>
  <c r="B52" i="3"/>
  <c r="B25" i="3"/>
  <c r="B46" i="3"/>
  <c r="N928" i="2"/>
  <c r="B15" i="3"/>
  <c r="N927" i="2"/>
  <c r="N925" i="2"/>
  <c r="B48" i="3"/>
  <c r="N924" i="2"/>
  <c r="B51" i="3"/>
  <c r="B16" i="3"/>
  <c r="B23" i="3"/>
  <c r="B24" i="3"/>
  <c r="N923" i="2"/>
  <c r="B50" i="3"/>
  <c r="B22" i="3"/>
  <c r="B17" i="3"/>
  <c r="B42" i="3"/>
  <c r="N922" i="2"/>
  <c r="B4" i="3"/>
  <c r="B8" i="3" s="1"/>
  <c r="B49" i="3"/>
  <c r="C31" i="3"/>
  <c r="C35" i="3"/>
  <c r="C34" i="3"/>
  <c r="C32" i="3"/>
  <c r="C41" i="3" l="1"/>
  <c r="C38" i="3"/>
  <c r="C33" i="3"/>
  <c r="C39" i="3"/>
  <c r="C47" i="3"/>
  <c r="C14" i="3"/>
  <c r="E14" i="3" s="1"/>
  <c r="C52" i="3"/>
  <c r="C25" i="3"/>
  <c r="E25" i="3" s="1"/>
  <c r="C36" i="3"/>
  <c r="B5" i="3"/>
  <c r="B6" i="3" s="1"/>
  <c r="C26" i="3"/>
  <c r="E26" i="3" s="1"/>
  <c r="C46" i="3"/>
  <c r="C40" i="3"/>
  <c r="C53" i="3"/>
  <c r="C22" i="3"/>
  <c r="E22" i="3" s="1"/>
  <c r="C37" i="3"/>
  <c r="C16" i="3"/>
  <c r="E16" i="3" s="1"/>
  <c r="C17" i="3"/>
  <c r="E17" i="3" s="1"/>
  <c r="C48" i="3"/>
  <c r="C24" i="3"/>
  <c r="E24" i="3" s="1"/>
  <c r="C23" i="3"/>
  <c r="E23" i="3" s="1"/>
  <c r="C51" i="3"/>
  <c r="C49" i="3"/>
  <c r="C42" i="3"/>
  <c r="C15" i="3"/>
  <c r="C5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<sst xmlns="http://schemas.openxmlformats.org/spreadsheetml/2006/main" count="18257" uniqueCount="1526">
  <si>
    <t>Meaning</t>
  </si>
  <si>
    <t>Order ID</t>
  </si>
  <si>
    <t>Order Date</t>
  </si>
  <si>
    <t>Customer ID</t>
  </si>
  <si>
    <t>Segment</t>
  </si>
  <si>
    <t>Region</t>
  </si>
  <si>
    <t>State</t>
  </si>
  <si>
    <t>Category</t>
  </si>
  <si>
    <t>Product</t>
  </si>
  <si>
    <t>Quantity</t>
  </si>
  <si>
    <t>Unit Price</t>
  </si>
  <si>
    <t>Discount %</t>
  </si>
  <si>
    <t>Sales</t>
  </si>
  <si>
    <t>Unit Cost</t>
  </si>
  <si>
    <t>Profit</t>
  </si>
  <si>
    <t>Payment Method</t>
  </si>
  <si>
    <t>Sales Rep</t>
  </si>
  <si>
    <t>Rating</t>
  </si>
  <si>
    <t>ORD-10001</t>
  </si>
  <si>
    <t>CUST-0384</t>
  </si>
  <si>
    <t>Small Business</t>
  </si>
  <si>
    <t>North</t>
  </si>
  <si>
    <t>Delhi</t>
  </si>
  <si>
    <t>Clothing</t>
  </si>
  <si>
    <t>Jeans</t>
  </si>
  <si>
    <t>UPI</t>
  </si>
  <si>
    <t>Meera Reddy</t>
  </si>
  <si>
    <t>ORD-10002</t>
  </si>
  <si>
    <t>CUST-0222</t>
  </si>
  <si>
    <t>West</t>
  </si>
  <si>
    <t>Gujarat</t>
  </si>
  <si>
    <t>Home &amp; Kitchen</t>
  </si>
  <si>
    <t>Vacuum Cleaner</t>
  </si>
  <si>
    <t>Vikram Singh</t>
  </si>
  <si>
    <t>ORD-10003</t>
  </si>
  <si>
    <t>CUST-0241</t>
  </si>
  <si>
    <t>East</t>
  </si>
  <si>
    <t>Bihar</t>
  </si>
  <si>
    <t>Electronics</t>
  </si>
  <si>
    <t>Smartwatch</t>
  </si>
  <si>
    <t>Cash</t>
  </si>
  <si>
    <t>ORD-10004</t>
  </si>
  <si>
    <t>CUST-0083</t>
  </si>
  <si>
    <t>Corporate</t>
  </si>
  <si>
    <t>Sneakers</t>
  </si>
  <si>
    <t>ORD-10005</t>
  </si>
  <si>
    <t>CUST-0264</t>
  </si>
  <si>
    <t>Consumer</t>
  </si>
  <si>
    <t>West Bengal</t>
  </si>
  <si>
    <t>Sports</t>
  </si>
  <si>
    <t>Yoga Mat</t>
  </si>
  <si>
    <t>Net Banking</t>
  </si>
  <si>
    <t>ORD-10006</t>
  </si>
  <si>
    <t>CUST-0148</t>
  </si>
  <si>
    <t>Maharashtra</t>
  </si>
  <si>
    <t>Headphones</t>
  </si>
  <si>
    <t>Priya Nair</t>
  </si>
  <si>
    <t>ORD-10007</t>
  </si>
  <si>
    <t>CUST-0059</t>
  </si>
  <si>
    <t>Haryana</t>
  </si>
  <si>
    <t>Credit Card</t>
  </si>
  <si>
    <t>Rohan Mehta</t>
  </si>
  <si>
    <t>ORD-10008</t>
  </si>
  <si>
    <t>CUST-0098</t>
  </si>
  <si>
    <t>Cookware Set</t>
  </si>
  <si>
    <t>ORD-10009</t>
  </si>
  <si>
    <t>CUST-0301</t>
  </si>
  <si>
    <t>Furniture</t>
  </si>
  <si>
    <t>Sofa</t>
  </si>
  <si>
    <t>ORD-10010</t>
  </si>
  <si>
    <t>CUST-0123</t>
  </si>
  <si>
    <t>Jacket</t>
  </si>
  <si>
    <t>Sneha Iyer</t>
  </si>
  <si>
    <t>ORD-10011</t>
  </si>
  <si>
    <t>CUST-0334</t>
  </si>
  <si>
    <t>Aarav Sharma</t>
  </si>
  <si>
    <t>ORD-10012</t>
  </si>
  <si>
    <t>CUST-0370</t>
  </si>
  <si>
    <t>Bicycle</t>
  </si>
  <si>
    <t>ORD-10013</t>
  </si>
  <si>
    <t>CUST-0195</t>
  </si>
  <si>
    <t>Punjab</t>
  </si>
  <si>
    <t>ORD-10014</t>
  </si>
  <si>
    <t>CUST-0052</t>
  </si>
  <si>
    <t>Debit Card</t>
  </si>
  <si>
    <t>ORD-10015</t>
  </si>
  <si>
    <t>CUST-0093</t>
  </si>
  <si>
    <t>South</t>
  </si>
  <si>
    <t>Karnataka</t>
  </si>
  <si>
    <t>Laptop</t>
  </si>
  <si>
    <t>ORD-10016</t>
  </si>
  <si>
    <t>CUST-0342</t>
  </si>
  <si>
    <t>Tamil Nadu</t>
  </si>
  <si>
    <t>Desk</t>
  </si>
  <si>
    <t>ORD-10017</t>
  </si>
  <si>
    <t>CUST-0234</t>
  </si>
  <si>
    <t>Tablet</t>
  </si>
  <si>
    <t>Karan Patel</t>
  </si>
  <si>
    <t>ORD-10018</t>
  </si>
  <si>
    <t>CUST-0141</t>
  </si>
  <si>
    <t>ORD-10019</t>
  </si>
  <si>
    <t>CUST-0348</t>
  </si>
  <si>
    <t>ORD-10020</t>
  </si>
  <si>
    <t>CUST-0168</t>
  </si>
  <si>
    <t>ORD-10021</t>
  </si>
  <si>
    <t>CUST-0152</t>
  </si>
  <si>
    <t>ORD-10022</t>
  </si>
  <si>
    <t>CUST-0008</t>
  </si>
  <si>
    <t>Rajasthan</t>
  </si>
  <si>
    <t>Smartphone</t>
  </si>
  <si>
    <t>ORD-10023</t>
  </si>
  <si>
    <t>CUST-0318</t>
  </si>
  <si>
    <t>ORD-10024</t>
  </si>
  <si>
    <t>CUST-0156</t>
  </si>
  <si>
    <t>ORD-10025</t>
  </si>
  <si>
    <t>CUST-0213</t>
  </si>
  <si>
    <t>ORD-10026</t>
  </si>
  <si>
    <t>CUST-0051</t>
  </si>
  <si>
    <t>Ananya Das</t>
  </si>
  <si>
    <t>ORD-10027</t>
  </si>
  <si>
    <t>CUST-0011</t>
  </si>
  <si>
    <t>Office Chair</t>
  </si>
  <si>
    <t>ORD-10028</t>
  </si>
  <si>
    <t>CUST-0169</t>
  </si>
  <si>
    <t>Kerala</t>
  </si>
  <si>
    <t>Coffee Maker</t>
  </si>
  <si>
    <t>ORD-10029</t>
  </si>
  <si>
    <t>CUST-0184</t>
  </si>
  <si>
    <t>Dumbbell Set</t>
  </si>
  <si>
    <t>ORD-10030</t>
  </si>
  <si>
    <t>CUST-0304</t>
  </si>
  <si>
    <t>ORD-10031</t>
  </si>
  <si>
    <t>CUST-0219</t>
  </si>
  <si>
    <t>ORD-10032</t>
  </si>
  <si>
    <t>CUST-0365</t>
  </si>
  <si>
    <t>T-Shirt</t>
  </si>
  <si>
    <t>ORD-10033</t>
  </si>
  <si>
    <t>CUST-0174</t>
  </si>
  <si>
    <t>ORD-10034</t>
  </si>
  <si>
    <t>CUST-0044</t>
  </si>
  <si>
    <t>Bookshelf</t>
  </si>
  <si>
    <t>ORD-10035</t>
  </si>
  <si>
    <t>CUST-0341</t>
  </si>
  <si>
    <t>ORD-10036</t>
  </si>
  <si>
    <t>CUST-0391</t>
  </si>
  <si>
    <t>ORD-10037</t>
  </si>
  <si>
    <t>CUST-0159</t>
  </si>
  <si>
    <t>Blender</t>
  </si>
  <si>
    <t>ORD-10038</t>
  </si>
  <si>
    <t>CUST-0215</t>
  </si>
  <si>
    <t>ORD-10039</t>
  </si>
  <si>
    <t>CUST-0218</t>
  </si>
  <si>
    <t>ORD-10040</t>
  </si>
  <si>
    <t>ORD-10041</t>
  </si>
  <si>
    <t>CUST-0255</t>
  </si>
  <si>
    <t>ORD-10042</t>
  </si>
  <si>
    <t>CUST-0224</t>
  </si>
  <si>
    <t>ORD-10043</t>
  </si>
  <si>
    <t>CUST-0317</t>
  </si>
  <si>
    <t>ORD-10044</t>
  </si>
  <si>
    <t>CUST-0399</t>
  </si>
  <si>
    <t>ORD-10045</t>
  </si>
  <si>
    <t>CUST-0089</t>
  </si>
  <si>
    <t>ORD-10046</t>
  </si>
  <si>
    <t>CUST-0326</t>
  </si>
  <si>
    <t>ORD-10047</t>
  </si>
  <si>
    <t>CUST-0232</t>
  </si>
  <si>
    <t>ORD-10048</t>
  </si>
  <si>
    <t>CUST-0022</t>
  </si>
  <si>
    <t>ORD-10049</t>
  </si>
  <si>
    <t>CUST-0021</t>
  </si>
  <si>
    <t>ORD-10050</t>
  </si>
  <si>
    <t>CUST-0324</t>
  </si>
  <si>
    <t>ORD-10051</t>
  </si>
  <si>
    <t>CUST-0180</t>
  </si>
  <si>
    <t>ORD-10052</t>
  </si>
  <si>
    <t>CUST-0379</t>
  </si>
  <si>
    <t>ORD-10053</t>
  </si>
  <si>
    <t>CUST-0116</t>
  </si>
  <si>
    <t>ORD-10054</t>
  </si>
  <si>
    <t>CUST-0355</t>
  </si>
  <si>
    <t>ORD-10055</t>
  </si>
  <si>
    <t>ORD-10056</t>
  </si>
  <si>
    <t>CUST-0129</t>
  </si>
  <si>
    <t>ORD-10057</t>
  </si>
  <si>
    <t>ORD-10058</t>
  </si>
  <si>
    <t>CUST-0015</t>
  </si>
  <si>
    <t>Tennis Racket</t>
  </si>
  <si>
    <t>ORD-10059</t>
  </si>
  <si>
    <t>CUST-0041</t>
  </si>
  <si>
    <t>ORD-10060</t>
  </si>
  <si>
    <t>CUST-0319</t>
  </si>
  <si>
    <t>ORD-10061</t>
  </si>
  <si>
    <t>CUST-0124</t>
  </si>
  <si>
    <t>ORD-10062</t>
  </si>
  <si>
    <t>CUST-0199</t>
  </si>
  <si>
    <t>ORD-10063</t>
  </si>
  <si>
    <t>CUST-0330</t>
  </si>
  <si>
    <t>ORD-10064</t>
  </si>
  <si>
    <t>ORD-10065</t>
  </si>
  <si>
    <t>CUST-0336</t>
  </si>
  <si>
    <t>Odisha</t>
  </si>
  <si>
    <t>ORD-10066</t>
  </si>
  <si>
    <t>ORD-10067</t>
  </si>
  <si>
    <t>ORD-10068</t>
  </si>
  <si>
    <t>CUST-0223</t>
  </si>
  <si>
    <t>ORD-10069</t>
  </si>
  <si>
    <t>CUST-0331</t>
  </si>
  <si>
    <t>ORD-10070</t>
  </si>
  <si>
    <t>CUST-0272</t>
  </si>
  <si>
    <t>ORD-10071</t>
  </si>
  <si>
    <t>CUST-0361</t>
  </si>
  <si>
    <t>ORD-10072</t>
  </si>
  <si>
    <t>CUST-0045</t>
  </si>
  <si>
    <t>ORD-10073</t>
  </si>
  <si>
    <t>CUST-0103</t>
  </si>
  <si>
    <t>ORD-10074</t>
  </si>
  <si>
    <t>CUST-0204</t>
  </si>
  <si>
    <t>ORD-10075</t>
  </si>
  <si>
    <t>CUST-0066</t>
  </si>
  <si>
    <t>ORD-10076</t>
  </si>
  <si>
    <t>CUST-0166</t>
  </si>
  <si>
    <t>ORD-10077</t>
  </si>
  <si>
    <t>CUST-0048</t>
  </si>
  <si>
    <t>ORD-10078</t>
  </si>
  <si>
    <t>CUST-0296</t>
  </si>
  <si>
    <t>ORD-10079</t>
  </si>
  <si>
    <t>CUST-0153</t>
  </si>
  <si>
    <t>ORD-10080</t>
  </si>
  <si>
    <t>CUST-0177</t>
  </si>
  <si>
    <t>ORD-10081</t>
  </si>
  <si>
    <t>CUST-0197</t>
  </si>
  <si>
    <t>ORD-10082</t>
  </si>
  <si>
    <t>CUST-0256</t>
  </si>
  <si>
    <t>ORD-10083</t>
  </si>
  <si>
    <t>CUST-0335</t>
  </si>
  <si>
    <t>ORD-10084</t>
  </si>
  <si>
    <t>CUST-0292</t>
  </si>
  <si>
    <t>ORD-10085</t>
  </si>
  <si>
    <t>ORD-10086</t>
  </si>
  <si>
    <t>ORD-10087</t>
  </si>
  <si>
    <t>CUST-0009</t>
  </si>
  <si>
    <t>ORD-10088</t>
  </si>
  <si>
    <t>CUST-0269</t>
  </si>
  <si>
    <t>ORD-10089</t>
  </si>
  <si>
    <t>CUST-0212</t>
  </si>
  <si>
    <t>ORD-10090</t>
  </si>
  <si>
    <t>CUST-0167</t>
  </si>
  <si>
    <t>ORD-10091</t>
  </si>
  <si>
    <t>CUST-0143</t>
  </si>
  <si>
    <t>ORD-10092</t>
  </si>
  <si>
    <t>ORD-10093</t>
  </si>
  <si>
    <t>ORD-10094</t>
  </si>
  <si>
    <t>ORD-10095</t>
  </si>
  <si>
    <t>CUST-0081</t>
  </si>
  <si>
    <t>ORD-10096</t>
  </si>
  <si>
    <t>CUST-0371</t>
  </si>
  <si>
    <t>ORD-10097</t>
  </si>
  <si>
    <t>CUST-0149</t>
  </si>
  <si>
    <t>ORD-10098</t>
  </si>
  <si>
    <t>CUST-0099</t>
  </si>
  <si>
    <t>ORD-10099</t>
  </si>
  <si>
    <t>CUST-0313</t>
  </si>
  <si>
    <t>ORD-10100</t>
  </si>
  <si>
    <t>CUST-0229</t>
  </si>
  <si>
    <t>ORD-10101</t>
  </si>
  <si>
    <t>CUST-0208</t>
  </si>
  <si>
    <t>ORD-10102</t>
  </si>
  <si>
    <t>CUST-0311</t>
  </si>
  <si>
    <t>ORD-10103</t>
  </si>
  <si>
    <t>CUST-0040</t>
  </si>
  <si>
    <t>ORD-10104</t>
  </si>
  <si>
    <t>CUST-0368</t>
  </si>
  <si>
    <t>ORD-10105</t>
  </si>
  <si>
    <t>CUST-0158</t>
  </si>
  <si>
    <t>ORD-10106</t>
  </si>
  <si>
    <t>CUST-0036</t>
  </si>
  <si>
    <t>ORD-10107</t>
  </si>
  <si>
    <t>CUST-0339</t>
  </si>
  <si>
    <t>ORD-10108</t>
  </si>
  <si>
    <t>CUST-0238</t>
  </si>
  <si>
    <t>ORD-10109</t>
  </si>
  <si>
    <t>ORD-10110</t>
  </si>
  <si>
    <t>CUST-0120</t>
  </si>
  <si>
    <t>ORD-10111</t>
  </si>
  <si>
    <t>CUST-0165</t>
  </si>
  <si>
    <t>ORD-10112</t>
  </si>
  <si>
    <t>CUST-0025</t>
  </si>
  <si>
    <t>ORD-10113</t>
  </si>
  <si>
    <t>CUST-0363</t>
  </si>
  <si>
    <t>ORD-10114</t>
  </si>
  <si>
    <t>CUST-0190</t>
  </si>
  <si>
    <t>ORD-10115</t>
  </si>
  <si>
    <t>ORD-10116</t>
  </si>
  <si>
    <t>CUST-0398</t>
  </si>
  <si>
    <t>ORD-10117</t>
  </si>
  <si>
    <t>CUST-0390</t>
  </si>
  <si>
    <t>ORD-10118</t>
  </si>
  <si>
    <t>ORD-10119</t>
  </si>
  <si>
    <t>CUST-0087</t>
  </si>
  <si>
    <t>ORD-10120</t>
  </si>
  <si>
    <t>CUST-0071</t>
  </si>
  <si>
    <t>ORD-10121</t>
  </si>
  <si>
    <t>CUST-0283</t>
  </si>
  <si>
    <t>ORD-10122</t>
  </si>
  <si>
    <t>CUST-0077</t>
  </si>
  <si>
    <t>ORD-10123</t>
  </si>
  <si>
    <t>CUST-0154</t>
  </si>
  <si>
    <t>ORD-10124</t>
  </si>
  <si>
    <t>CUST-0170</t>
  </si>
  <si>
    <t>ORD-10125</t>
  </si>
  <si>
    <t>CUST-0162</t>
  </si>
  <si>
    <t>ORD-10126</t>
  </si>
  <si>
    <t>CUST-0277</t>
  </si>
  <si>
    <t>ORD-10127</t>
  </si>
  <si>
    <t>CUST-0175</t>
  </si>
  <si>
    <t>ORD-10128</t>
  </si>
  <si>
    <t>CUST-0096</t>
  </si>
  <si>
    <t>ORD-10129</t>
  </si>
  <si>
    <t>ORD-10130</t>
  </si>
  <si>
    <t>CUST-0286</t>
  </si>
  <si>
    <t>ORD-10131</t>
  </si>
  <si>
    <t>ORD-10132</t>
  </si>
  <si>
    <t>CUST-0142</t>
  </si>
  <si>
    <t>ORD-10133</t>
  </si>
  <si>
    <t>CUST-0203</t>
  </si>
  <si>
    <t>ORD-10134</t>
  </si>
  <si>
    <t>ORD-10135</t>
  </si>
  <si>
    <t>CUST-0202</t>
  </si>
  <si>
    <t>ORD-10136</t>
  </si>
  <si>
    <t>ORD-10137</t>
  </si>
  <si>
    <t>CUST-0206</t>
  </si>
  <si>
    <t>ORD-10138</t>
  </si>
  <si>
    <t>CUST-0182</t>
  </si>
  <si>
    <t>ORD-10139</t>
  </si>
  <si>
    <t>CUST-0262</t>
  </si>
  <si>
    <t>ORD-10140</t>
  </si>
  <si>
    <t>CUST-0060</t>
  </si>
  <si>
    <t>ORD-10141</t>
  </si>
  <si>
    <t>CUST-0035</t>
  </si>
  <si>
    <t>ORD-10142</t>
  </si>
  <si>
    <t>CUST-0287</t>
  </si>
  <si>
    <t>ORD-10143</t>
  </si>
  <si>
    <t>ORD-10144</t>
  </si>
  <si>
    <t>CUST-0135</t>
  </si>
  <si>
    <t>ORD-10145</t>
  </si>
  <si>
    <t>CUST-0315</t>
  </si>
  <si>
    <t>ORD-10146</t>
  </si>
  <si>
    <t>CUST-0217</t>
  </si>
  <si>
    <t>ORD-10147</t>
  </si>
  <si>
    <t>CUST-0100</t>
  </si>
  <si>
    <t>ORD-10148</t>
  </si>
  <si>
    <t>CUST-0276</t>
  </si>
  <si>
    <t>ORD-10149</t>
  </si>
  <si>
    <t>CUST-0188</t>
  </si>
  <si>
    <t>ORD-10150</t>
  </si>
  <si>
    <t>ORD-10151</t>
  </si>
  <si>
    <t>CUST-0316</t>
  </si>
  <si>
    <t>ORD-10152</t>
  </si>
  <si>
    <t>ORD-10153</t>
  </si>
  <si>
    <t>ORD-10154</t>
  </si>
  <si>
    <t>CUST-0207</t>
  </si>
  <si>
    <t>ORD-10155</t>
  </si>
  <si>
    <t>CUST-0358</t>
  </si>
  <si>
    <t>ORD-10156</t>
  </si>
  <si>
    <t>CUST-0249</t>
  </si>
  <si>
    <t>ORD-10157</t>
  </si>
  <si>
    <t>CUST-0220</t>
  </si>
  <si>
    <t>ORD-10158</t>
  </si>
  <si>
    <t>CUST-0027</t>
  </si>
  <si>
    <t>ORD-10159</t>
  </si>
  <si>
    <t>CUST-0005</t>
  </si>
  <si>
    <t>ORD-10160</t>
  </si>
  <si>
    <t>CUST-0189</t>
  </si>
  <si>
    <t>ORD-10161</t>
  </si>
  <si>
    <t>CUST-0085</t>
  </si>
  <si>
    <t>ORD-10162</t>
  </si>
  <si>
    <t>CUST-0064</t>
  </si>
  <si>
    <t>ORD-10163</t>
  </si>
  <si>
    <t>CUST-0146</t>
  </si>
  <si>
    <t>ORD-10164</t>
  </si>
  <si>
    <t>ORD-10165</t>
  </si>
  <si>
    <t>CUST-0242</t>
  </si>
  <si>
    <t>ORD-10166</t>
  </si>
  <si>
    <t>ORD-10167</t>
  </si>
  <si>
    <t>CUST-0325</t>
  </si>
  <si>
    <t>ORD-10168</t>
  </si>
  <si>
    <t>ORD-10169</t>
  </si>
  <si>
    <t>CUST-0138</t>
  </si>
  <si>
    <t>ORD-10170</t>
  </si>
  <si>
    <t>ORD-10171</t>
  </si>
  <si>
    <t>ORD-10172</t>
  </si>
  <si>
    <t>CUST-0062</t>
  </si>
  <si>
    <t>ORD-10173</t>
  </si>
  <si>
    <t>ORD-10174</t>
  </si>
  <si>
    <t>ORD-10175</t>
  </si>
  <si>
    <t>CUST-0378</t>
  </si>
  <si>
    <t>ORD-10176</t>
  </si>
  <si>
    <t>CUST-0119</t>
  </si>
  <si>
    <t>ORD-10177</t>
  </si>
  <si>
    <t>CUST-0340</t>
  </si>
  <si>
    <t>ORD-10178</t>
  </si>
  <si>
    <t>CUST-0104</t>
  </si>
  <si>
    <t>ORD-10179</t>
  </si>
  <si>
    <t>ORD-10180</t>
  </si>
  <si>
    <t>ORD-10181</t>
  </si>
  <si>
    <t>CUST-0072</t>
  </si>
  <si>
    <t>ORD-10182</t>
  </si>
  <si>
    <t>CUST-0039</t>
  </si>
  <si>
    <t>ORD-10183</t>
  </si>
  <si>
    <t>ORD-10184</t>
  </si>
  <si>
    <t>CUST-0018</t>
  </si>
  <si>
    <t>ORD-10185</t>
  </si>
  <si>
    <t>CUST-0270</t>
  </si>
  <si>
    <t>ORD-10186</t>
  </si>
  <si>
    <t>ORD-10187</t>
  </si>
  <si>
    <t>ORD-10188</t>
  </si>
  <si>
    <t>ORD-10189</t>
  </si>
  <si>
    <t>CUST-0253</t>
  </si>
  <si>
    <t>ORD-10190</t>
  </si>
  <si>
    <t>CUST-0067</t>
  </si>
  <si>
    <t>ORD-10191</t>
  </si>
  <si>
    <t>ORD-10192</t>
  </si>
  <si>
    <t>CUST-0288</t>
  </si>
  <si>
    <t>ORD-10193</t>
  </si>
  <si>
    <t>CUST-0360</t>
  </si>
  <si>
    <t>ORD-10194</t>
  </si>
  <si>
    <t>CUST-0178</t>
  </si>
  <si>
    <t>ORD-10195</t>
  </si>
  <si>
    <t>CUST-0056</t>
  </si>
  <si>
    <t>ORD-10196</t>
  </si>
  <si>
    <t>CUST-0246</t>
  </si>
  <si>
    <t>ORD-10197</t>
  </si>
  <si>
    <t>ORD-10198</t>
  </si>
  <si>
    <t>ORD-10199</t>
  </si>
  <si>
    <t>CUST-0252</t>
  </si>
  <si>
    <t>ORD-10200</t>
  </si>
  <si>
    <t>CUST-0243</t>
  </si>
  <si>
    <t>ORD-10201</t>
  </si>
  <si>
    <t>ORD-10202</t>
  </si>
  <si>
    <t>ORD-10203</t>
  </si>
  <si>
    <t>ORD-10204</t>
  </si>
  <si>
    <t>CUST-0350</t>
  </si>
  <si>
    <t>ORD-10205</t>
  </si>
  <si>
    <t>CUST-0007</t>
  </si>
  <si>
    <t>ORD-10206</t>
  </si>
  <si>
    <t>CUST-0147</t>
  </si>
  <si>
    <t>ORD-10207</t>
  </si>
  <si>
    <t>CUST-0020</t>
  </si>
  <si>
    <t>ORD-10208</t>
  </si>
  <si>
    <t>CUST-0357</t>
  </si>
  <si>
    <t>ORD-10209</t>
  </si>
  <si>
    <t>CUST-0109</t>
  </si>
  <si>
    <t>ORD-10210</t>
  </si>
  <si>
    <t>ORD-10211</t>
  </si>
  <si>
    <t>ORD-10212</t>
  </si>
  <si>
    <t>CUST-0133</t>
  </si>
  <si>
    <t>ORD-10213</t>
  </si>
  <si>
    <t>ORD-10214</t>
  </si>
  <si>
    <t>CUST-0312</t>
  </si>
  <si>
    <t>ORD-10215</t>
  </si>
  <si>
    <t>ORD-10216</t>
  </si>
  <si>
    <t>ORD-10217</t>
  </si>
  <si>
    <t>CUST-0014</t>
  </si>
  <si>
    <t>ORD-10218</t>
  </si>
  <si>
    <t>CUST-0274</t>
  </si>
  <si>
    <t>ORD-10219</t>
  </si>
  <si>
    <t>CUST-0094</t>
  </si>
  <si>
    <t>ORD-10220</t>
  </si>
  <si>
    <t>CUST-0061</t>
  </si>
  <si>
    <t>ORD-10221</t>
  </si>
  <si>
    <t>ORD-10222</t>
  </si>
  <si>
    <t>CUST-0091</t>
  </si>
  <si>
    <t>ORD-10223</t>
  </si>
  <si>
    <t>ORD-10224</t>
  </si>
  <si>
    <t>CUST-0128</t>
  </si>
  <si>
    <t>ORD-10225</t>
  </si>
  <si>
    <t>ORD-10226</t>
  </si>
  <si>
    <t>CUST-0068</t>
  </si>
  <si>
    <t>ORD-10227</t>
  </si>
  <si>
    <t>ORD-10228</t>
  </si>
  <si>
    <t>CUST-0267</t>
  </si>
  <si>
    <t>ORD-10229</t>
  </si>
  <si>
    <t>CUST-0268</t>
  </si>
  <si>
    <t>ORD-10230</t>
  </si>
  <si>
    <t>CUST-0046</t>
  </si>
  <si>
    <t>ORD-10231</t>
  </si>
  <si>
    <t>ORD-10232</t>
  </si>
  <si>
    <t>CUST-0389</t>
  </si>
  <si>
    <t>ORD-10233</t>
  </si>
  <si>
    <t>ORD-10234</t>
  </si>
  <si>
    <t>ORD-10235</t>
  </si>
  <si>
    <t>ORD-10236</t>
  </si>
  <si>
    <t>CUST-0393</t>
  </si>
  <si>
    <t>ORD-10237</t>
  </si>
  <si>
    <t>ORD-10238</t>
  </si>
  <si>
    <t>ORD-10239</t>
  </si>
  <si>
    <t>CUST-0230</t>
  </si>
  <si>
    <t>ORD-10240</t>
  </si>
  <si>
    <t>CUST-0327</t>
  </si>
  <si>
    <t>ORD-10241</t>
  </si>
  <si>
    <t>CUST-0308</t>
  </si>
  <si>
    <t>ORD-10242</t>
  </si>
  <si>
    <t>CUST-0024</t>
  </si>
  <si>
    <t>ORD-10243</t>
  </si>
  <si>
    <t>CUST-0235</t>
  </si>
  <si>
    <t>ORD-10244</t>
  </si>
  <si>
    <t>ORD-10245</t>
  </si>
  <si>
    <t>ORD-10246</t>
  </si>
  <si>
    <t>CUST-0309</t>
  </si>
  <si>
    <t>ORD-10247</t>
  </si>
  <si>
    <t>CUST-0352</t>
  </si>
  <si>
    <t>ORD-10248</t>
  </si>
  <si>
    <t>CUST-0214</t>
  </si>
  <si>
    <t>ORD-10249</t>
  </si>
  <si>
    <t>CUST-0385</t>
  </si>
  <si>
    <t>ORD-10250</t>
  </si>
  <si>
    <t>ORD-10251</t>
  </si>
  <si>
    <t>CUST-0351</t>
  </si>
  <si>
    <t>ORD-10252</t>
  </si>
  <si>
    <t>ORD-10253</t>
  </si>
  <si>
    <t>CUST-0136</t>
  </si>
  <si>
    <t>ORD-10254</t>
  </si>
  <si>
    <t>ORD-10255</t>
  </si>
  <si>
    <t>CUST-0179</t>
  </si>
  <si>
    <t>ORD-10256</t>
  </si>
  <si>
    <t>CUST-0329</t>
  </si>
  <si>
    <t>ORD-10257</t>
  </si>
  <si>
    <t>CUST-0013</t>
  </si>
  <si>
    <t>ORD-10258</t>
  </si>
  <si>
    <t>ORD-10259</t>
  </si>
  <si>
    <t>ORD-10260</t>
  </si>
  <si>
    <t>CUST-0209</t>
  </si>
  <si>
    <t>ORD-10261</t>
  </si>
  <si>
    <t>CUST-0038</t>
  </si>
  <si>
    <t>ORD-10262</t>
  </si>
  <si>
    <t>ORD-10263</t>
  </si>
  <si>
    <t>ORD-10264</t>
  </si>
  <si>
    <t>CUST-0263</t>
  </si>
  <si>
    <t>ORD-10265</t>
  </si>
  <si>
    <t>ORD-10266</t>
  </si>
  <si>
    <t>ORD-10267</t>
  </si>
  <si>
    <t>CUST-0114</t>
  </si>
  <si>
    <t>ORD-10268</t>
  </si>
  <si>
    <t>ORD-10269</t>
  </si>
  <si>
    <t>CUST-0260</t>
  </si>
  <si>
    <t>ORD-10270</t>
  </si>
  <si>
    <t>CUST-0115</t>
  </si>
  <si>
    <t>ORD-10271</t>
  </si>
  <si>
    <t>ORD-10272</t>
  </si>
  <si>
    <t>CUST-0033</t>
  </si>
  <si>
    <t>ORD-10273</t>
  </si>
  <si>
    <t>ORD-10274</t>
  </si>
  <si>
    <t>ORD-10275</t>
  </si>
  <si>
    <t>ORD-10276</t>
  </si>
  <si>
    <t>ORD-10277</t>
  </si>
  <si>
    <t>CUST-0294</t>
  </si>
  <si>
    <t>ORD-10278</t>
  </si>
  <si>
    <t>ORD-10279</t>
  </si>
  <si>
    <t>ORD-10280</t>
  </si>
  <si>
    <t>ORD-10281</t>
  </si>
  <si>
    <t>ORD-10282</t>
  </si>
  <si>
    <t>ORD-10283</t>
  </si>
  <si>
    <t>CUST-0004</t>
  </si>
  <si>
    <t>ORD-10284</t>
  </si>
  <si>
    <t>CUST-0130</t>
  </si>
  <si>
    <t>ORD-10285</t>
  </si>
  <si>
    <t>ORD-10286</t>
  </si>
  <si>
    <t>ORD-10287</t>
  </si>
  <si>
    <t>ORD-10288</t>
  </si>
  <si>
    <t>CUST-0306</t>
  </si>
  <si>
    <t>ORD-10289</t>
  </si>
  <si>
    <t>ORD-10290</t>
  </si>
  <si>
    <t>CUST-0047</t>
  </si>
  <si>
    <t>ORD-10291</t>
  </si>
  <si>
    <t>ORD-10292</t>
  </si>
  <si>
    <t>CUST-0248</t>
  </si>
  <si>
    <t>ORD-10293</t>
  </si>
  <si>
    <t>ORD-10294</t>
  </si>
  <si>
    <t>CUST-0176</t>
  </si>
  <si>
    <t>ORD-10295</t>
  </si>
  <si>
    <t>ORD-10296</t>
  </si>
  <si>
    <t>ORD-10297</t>
  </si>
  <si>
    <t>ORD-10298</t>
  </si>
  <si>
    <t>ORD-10299</t>
  </si>
  <si>
    <t>ORD-10300</t>
  </si>
  <si>
    <t>ORD-10301</t>
  </si>
  <si>
    <t>CUST-0075</t>
  </si>
  <si>
    <t>ORD-10302</t>
  </si>
  <si>
    <t>CUST-0291</t>
  </si>
  <si>
    <t>ORD-10303</t>
  </si>
  <si>
    <t>ORD-10304</t>
  </si>
  <si>
    <t>CUST-0250</t>
  </si>
  <si>
    <t>ORD-10305</t>
  </si>
  <si>
    <t>CUST-0037</t>
  </si>
  <si>
    <t>ORD-10306</t>
  </si>
  <si>
    <t>CUST-0186</t>
  </si>
  <si>
    <t>ORD-10307</t>
  </si>
  <si>
    <t>CUST-0086</t>
  </si>
  <si>
    <t>ORD-10308</t>
  </si>
  <si>
    <t>ORD-10309</t>
  </si>
  <si>
    <t>ORD-10310</t>
  </si>
  <si>
    <t>ORD-10311</t>
  </si>
  <si>
    <t>CUST-0070</t>
  </si>
  <si>
    <t>ORD-10312</t>
  </si>
  <si>
    <t>ORD-10313</t>
  </si>
  <si>
    <t>CUST-0321</t>
  </si>
  <si>
    <t>ORD-10314</t>
  </si>
  <si>
    <t>ORD-10315</t>
  </si>
  <si>
    <t>CUST-0373</t>
  </si>
  <si>
    <t>ORD-10316</t>
  </si>
  <si>
    <t>ORD-10317</t>
  </si>
  <si>
    <t>CUST-0394</t>
  </si>
  <si>
    <t>ORD-10318</t>
  </si>
  <si>
    <t>CUST-0200</t>
  </si>
  <si>
    <t>ORD-10319</t>
  </si>
  <si>
    <t>CUST-0112</t>
  </si>
  <si>
    <t>ORD-10320</t>
  </si>
  <si>
    <t>CUST-0354</t>
  </si>
  <si>
    <t>ORD-10321</t>
  </si>
  <si>
    <t>CUST-0079</t>
  </si>
  <si>
    <t>ORD-10322</t>
  </si>
  <si>
    <t>ORD-10323</t>
  </si>
  <si>
    <t>ORD-10324</t>
  </si>
  <si>
    <t>ORD-10325</t>
  </si>
  <si>
    <t>ORD-10326</t>
  </si>
  <si>
    <t>CUST-0017</t>
  </si>
  <si>
    <t>ORD-10327</t>
  </si>
  <si>
    <t>ORD-10328</t>
  </si>
  <si>
    <t>ORD-10329</t>
  </si>
  <si>
    <t>ORD-10330</t>
  </si>
  <si>
    <t>CUST-0054</t>
  </si>
  <si>
    <t>ORD-10331</t>
  </si>
  <si>
    <t>CUST-0372</t>
  </si>
  <si>
    <t>ORD-10332</t>
  </si>
  <si>
    <t>ORD-10333</t>
  </si>
  <si>
    <t>ORD-10334</t>
  </si>
  <si>
    <t>CUST-0293</t>
  </si>
  <si>
    <t>ORD-10335</t>
  </si>
  <si>
    <t>ORD-10336</t>
  </si>
  <si>
    <t>CUST-0006</t>
  </si>
  <si>
    <t>ORD-10337</t>
  </si>
  <si>
    <t>ORD-10338</t>
  </si>
  <si>
    <t>ORD-10339</t>
  </si>
  <si>
    <t>CUST-0377</t>
  </si>
  <si>
    <t>ORD-10340</t>
  </si>
  <si>
    <t>ORD-10341</t>
  </si>
  <si>
    <t>ORD-10342</t>
  </si>
  <si>
    <t>CUST-0057</t>
  </si>
  <si>
    <t>ORD-10343</t>
  </si>
  <si>
    <t>CUST-0073</t>
  </si>
  <si>
    <t>ORD-10344</t>
  </si>
  <si>
    <t>ORD-10345</t>
  </si>
  <si>
    <t>CUST-0364</t>
  </si>
  <si>
    <t>ORD-10346</t>
  </si>
  <si>
    <t>CUST-0171</t>
  </si>
  <si>
    <t>ORD-10347</t>
  </si>
  <si>
    <t>CUST-0016</t>
  </si>
  <si>
    <t>ORD-10348</t>
  </si>
  <si>
    <t>CUST-0160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</si>
  <si>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</si>
  <si>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</si>
  <si>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</si>
  <si>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</si>
  <si>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</si>
  <si>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</si>
  <si>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</si>
  <si>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</si>
  <si>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CUST-0314</t>
  </si>
  <si>
    <t>ORD-10357</t>
  </si>
  <si>
    <t>CUST-0092</t>
  </si>
  <si>
    <t>ORD-10358</t>
  </si>
  <si>
    <t>CUST-0362</t>
  </si>
  <si>
    <t>ORD-10359</t>
  </si>
  <si>
    <t>ORD-10360</t>
  </si>
  <si>
    <t>ORD-10361</t>
  </si>
  <si>
    <t>CUST-0233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</si>
  <si>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</si>
  <si>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</si>
  <si>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</si>
  <si>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</si>
  <si>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</si>
  <si>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</si>
  <si>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</si>
  <si>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</si>
  <si>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</si>
  <si>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CUST-0322</t>
  </si>
  <si>
    <t>ORD-10371</t>
  </si>
  <si>
    <t>ORD-10372</t>
  </si>
  <si>
    <t>ORD-10373</t>
  </si>
  <si>
    <t>CUST-0192</t>
  </si>
  <si>
    <t>ORD-10374</t>
  </si>
  <si>
    <t>ORD-10375</t>
  </si>
  <si>
    <t>ORD-10376</t>
  </si>
  <si>
    <t>CUST-0108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</si>
  <si>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</si>
  <si>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</si>
  <si>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</si>
  <si>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</si>
  <si>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</si>
  <si>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</si>
  <si>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</si>
  <si>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</si>
  <si>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CUST-0356</t>
  </si>
  <si>
    <t>ORD-10385</t>
  </si>
  <si>
    <t>ORD-10386</t>
  </si>
  <si>
    <t>CUST-0298</t>
  </si>
  <si>
    <t>ORD-10387</t>
  </si>
  <si>
    <t>ORD-10388</t>
  </si>
  <si>
    <t>CUST-0282</t>
  </si>
  <si>
    <t>ORD-10389</t>
  </si>
  <si>
    <t>CUST-0196</t>
  </si>
  <si>
    <t>ORD-10390</t>
  </si>
  <si>
    <t>CUST-0344</t>
  </si>
  <si>
    <t>ORD-10391</t>
  </si>
  <si>
    <t>ORD-10392</t>
  </si>
  <si>
    <t>ORD-10393</t>
  </si>
  <si>
    <t>ORD-10394</t>
  </si>
  <si>
    <t>ORD-10395</t>
  </si>
  <si>
    <t>CUST-0151</t>
  </si>
  <si>
    <t>ORD-10396</t>
  </si>
  <si>
    <t>ORD-10397</t>
  </si>
  <si>
    <t>CUST-0132</t>
  </si>
  <si>
    <t>ORD-10398</t>
  </si>
  <si>
    <t>ORD-10399</t>
  </si>
  <si>
    <t>ORD-10400</t>
  </si>
  <si>
    <t>CUST-0273</t>
  </si>
  <si>
    <t>ORD-10401</t>
  </si>
  <si>
    <t>ORD-10402</t>
  </si>
  <si>
    <t>CUST-0396</t>
  </si>
  <si>
    <t>ORD-10403</t>
  </si>
  <si>
    <t>ORD-10404</t>
  </si>
  <si>
    <t>CUST-0307</t>
  </si>
  <si>
    <t>ORD-10405</t>
  </si>
  <si>
    <t>CUST-0240</t>
  </si>
  <si>
    <t>ORD-10406</t>
  </si>
  <si>
    <t>ORD-10407</t>
  </si>
  <si>
    <t>ORD-10408</t>
  </si>
  <si>
    <t>ORD-10409</t>
  </si>
  <si>
    <t>CUST-0395</t>
  </si>
  <si>
    <t>ORD-10410</t>
  </si>
  <si>
    <t>ORD-10411</t>
  </si>
  <si>
    <t>ORD-10412</t>
  </si>
  <si>
    <t>ORD-10413</t>
  </si>
  <si>
    <t>CUST-0231</t>
  </si>
  <si>
    <t>ORD-10414</t>
  </si>
  <si>
    <t>CUST-0380</t>
  </si>
  <si>
    <t>ORD-10415</t>
  </si>
  <si>
    <t>ORD-10416</t>
  </si>
  <si>
    <t>CUST-0113</t>
  </si>
  <si>
    <t>ORD-10417</t>
  </si>
  <si>
    <t>CUST-0392</t>
  </si>
  <si>
    <t>ORD-10418</t>
  </si>
  <si>
    <t>ORD-10419</t>
  </si>
  <si>
    <t>ORD-10420</t>
  </si>
  <si>
    <t>CUST-0090</t>
  </si>
  <si>
    <t>ORD-10421</t>
  </si>
  <si>
    <t>ORD-10422</t>
  </si>
  <si>
    <t>ORD-10423</t>
  </si>
  <si>
    <t>ORD-10424</t>
  </si>
  <si>
    <t>ORD-10425</t>
  </si>
  <si>
    <t>ORD-10426</t>
  </si>
  <si>
    <t>CUST-0369</t>
  </si>
  <si>
    <t>ORD-10427</t>
  </si>
  <si>
    <t>ORD-10428</t>
  </si>
  <si>
    <t>CUST-0111</t>
  </si>
  <si>
    <t>ORD-10429</t>
  </si>
  <si>
    <t>CUST-0003</t>
  </si>
  <si>
    <t>ORD-10430</t>
  </si>
  <si>
    <t>CUST-0386</t>
  </si>
  <si>
    <t>ORD-10431</t>
  </si>
  <si>
    <t>CUST-0299</t>
  </si>
  <si>
    <t>ORD-10432</t>
  </si>
  <si>
    <t>ORD-10433</t>
  </si>
  <si>
    <t>CUST-0346</t>
  </si>
  <si>
    <t>ORD-10434</t>
  </si>
  <si>
    <t>CUST-0172</t>
  </si>
  <si>
    <t>ORD-10435</t>
  </si>
  <si>
    <t>ORD-10436</t>
  </si>
  <si>
    <t>ORD-10437</t>
  </si>
  <si>
    <t>ORD-10438</t>
  </si>
  <si>
    <t>ORD-10439</t>
  </si>
  <si>
    <t>CUST-0157</t>
  </si>
  <si>
    <t>ORD-10440</t>
  </si>
  <si>
    <t>ORD-10441</t>
  </si>
  <si>
    <t>ORD-10442</t>
  </si>
  <si>
    <t>ORD-10443</t>
  </si>
  <si>
    <t>CUST-0374</t>
  </si>
  <si>
    <t>ORD-10444</t>
  </si>
  <si>
    <t>CUST-0183</t>
  </si>
  <si>
    <t>ORD-10445</t>
  </si>
  <si>
    <t>ORD-10446</t>
  </si>
  <si>
    <t>CUST-0191</t>
  </si>
  <si>
    <t>ORD-10447</t>
  </si>
  <si>
    <t>ORD-10448</t>
  </si>
  <si>
    <t>CUST-0193</t>
  </si>
  <si>
    <t>ORD-10449</t>
  </si>
  <si>
    <t>CUST-0284</t>
  </si>
  <si>
    <t>ORD-10450</t>
  </si>
  <si>
    <t>ORD-10451</t>
  </si>
  <si>
    <t>CUST-0247</t>
  </si>
  <si>
    <t>ORD-10452</t>
  </si>
  <si>
    <t>CUST-0164</t>
  </si>
  <si>
    <t>ORD-10453</t>
  </si>
  <si>
    <t>ORD-10454</t>
  </si>
  <si>
    <t>CUST-0050</t>
  </si>
  <si>
    <t>ORD-10455</t>
  </si>
  <si>
    <t>ORD-10456</t>
  </si>
  <si>
    <t>ORD-10457</t>
  </si>
  <si>
    <t>CUST-0353</t>
  </si>
  <si>
    <t>ORD-10458</t>
  </si>
  <si>
    <t>ORD-10459</t>
  </si>
  <si>
    <t>ORD-10460</t>
  </si>
  <si>
    <t>CUST-0257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</si>
  <si>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</si>
  <si>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</si>
  <si>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</si>
  <si>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</si>
  <si>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</si>
  <si>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</si>
  <si>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</si>
  <si>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</si>
  <si>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</si>
  <si>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</si>
  <si>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</si>
  <si>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</si>
  <si>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CUST-0029</t>
  </si>
  <si>
    <t>ORD-10473</t>
  </si>
  <si>
    <t>ORD-10474</t>
  </si>
  <si>
    <t>CUST-0127</t>
  </si>
  <si>
    <t>ORD-10475</t>
  </si>
  <si>
    <t>ORD-10476</t>
  </si>
  <si>
    <t>ORD-10477</t>
  </si>
  <si>
    <t>ORD-10478</t>
  </si>
  <si>
    <t>CUST-0173</t>
  </si>
  <si>
    <t>ORD-10479</t>
  </si>
  <si>
    <t>ORD-10480</t>
  </si>
  <si>
    <t>CUST-0381</t>
  </si>
  <si>
    <t>ORD-10481</t>
  </si>
  <si>
    <t>ORD-10482</t>
  </si>
  <si>
    <t>CUST-0121</t>
  </si>
  <si>
    <t>ORD-10483</t>
  </si>
  <si>
    <t>CUST-0082</t>
  </si>
  <si>
    <t>ORD-10484</t>
  </si>
  <si>
    <t>CUST-0161</t>
  </si>
  <si>
    <t>ORD-10485</t>
  </si>
  <si>
    <t>ORD-10486</t>
  </si>
  <si>
    <t>ORD-10487</t>
  </si>
  <si>
    <t>CUST-0359</t>
  </si>
  <si>
    <t>ORD-10488</t>
  </si>
  <si>
    <t>ORD-10489</t>
  </si>
  <si>
    <t>ORD-10490</t>
  </si>
  <si>
    <t>ORD-10491</t>
  </si>
  <si>
    <t>ORD-10492</t>
  </si>
  <si>
    <t>ORD-10493</t>
  </si>
  <si>
    <t>ORD-10494</t>
  </si>
  <si>
    <t>CUST-0145</t>
  </si>
  <si>
    <t>ORD-10495</t>
  </si>
  <si>
    <t>CUST-0332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</si>
  <si>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</si>
  <si>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</si>
  <si>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</si>
  <si>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</si>
  <si>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</si>
  <si>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</si>
  <si>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</si>
  <si>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</si>
  <si>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CUST-0078</t>
  </si>
  <si>
    <t>ORD-10504</t>
  </si>
  <si>
    <t>CUST-0254</t>
  </si>
  <si>
    <t>ORD-10505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</si>
  <si>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</si>
  <si>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</si>
  <si>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</si>
  <si>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</si>
  <si>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</si>
  <si>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</si>
  <si>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</si>
  <si>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</si>
  <si>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</si>
  <si>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CUST-0258</t>
  </si>
  <si>
    <t>ORD-10515</t>
  </si>
  <si>
    <t>ORD-10516</t>
  </si>
  <si>
    <t>ORD-10517</t>
  </si>
  <si>
    <t>CUST-0185</t>
  </si>
  <si>
    <t>ORD-10518</t>
  </si>
  <si>
    <t>CUST-0333</t>
  </si>
  <si>
    <t>ORD-10519</t>
  </si>
  <si>
    <t>ORD-10520</t>
  </si>
  <si>
    <t>ORD-10521</t>
  </si>
  <si>
    <t>ORD-10522</t>
  </si>
  <si>
    <t>CUST-0225</t>
  </si>
  <si>
    <t>ORD-10523</t>
  </si>
  <si>
    <t>ORD-10524</t>
  </si>
  <si>
    <t>ORD-10525</t>
  </si>
  <si>
    <t>ORD-10526</t>
  </si>
  <si>
    <t>ORD-10527</t>
  </si>
  <si>
    <t>CUST-0053</t>
  </si>
  <si>
    <t>ORD-10528</t>
  </si>
  <si>
    <t>CUST-0376</t>
  </si>
  <si>
    <t>ORD-10529</t>
  </si>
  <si>
    <t>ORD-10530</t>
  </si>
  <si>
    <t>ORD-10531</t>
  </si>
  <si>
    <t>ORD-10532</t>
  </si>
  <si>
    <t>CUST-0366</t>
  </si>
  <si>
    <t>ORD-10533</t>
  </si>
  <si>
    <t>ORD-10534</t>
  </si>
  <si>
    <t>ORD-10535</t>
  </si>
  <si>
    <t>ORD-10536</t>
  </si>
  <si>
    <t>ORD-10537</t>
  </si>
  <si>
    <t>CUST-0367</t>
  </si>
  <si>
    <t>ORD-10538</t>
  </si>
  <si>
    <t>CUST-0211</t>
  </si>
  <si>
    <t>ORD-10539</t>
  </si>
  <si>
    <t>ORD-10540</t>
  </si>
  <si>
    <t>ORD-10541</t>
  </si>
  <si>
    <t>ORD-10542</t>
  </si>
  <si>
    <t>CUST-0302</t>
  </si>
  <si>
    <t>ORD-10543</t>
  </si>
  <si>
    <t>CUST-0290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</si>
  <si>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</si>
  <si>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</si>
  <si>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</si>
  <si>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</si>
  <si>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</si>
  <si>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</si>
  <si>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</si>
  <si>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</si>
  <si>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CUST-0010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</si>
  <si>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</si>
  <si>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</si>
  <si>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</si>
  <si>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</si>
  <si>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</si>
  <si>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</si>
  <si>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</si>
  <si>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</si>
  <si>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</si>
  <si>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</si>
  <si>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</si>
  <si>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</si>
  <si>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</si>
  <si>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CUST-0201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</si>
  <si>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</si>
  <si>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</si>
  <si>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</si>
  <si>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</si>
  <si>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</si>
  <si>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</si>
  <si>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</si>
  <si>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</si>
  <si>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</si>
  <si>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</si>
  <si>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</si>
  <si>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</si>
  <si>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</si>
  <si>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</si>
  <si>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</si>
  <si>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CUST-0126</t>
  </si>
  <si>
    <t>ORD-10580</t>
  </si>
  <si>
    <t>CUST-0251</t>
  </si>
  <si>
    <t>ORD-10581</t>
  </si>
  <si>
    <t>ORD-10582</t>
  </si>
  <si>
    <t>ORD-10583</t>
  </si>
  <si>
    <t>CUST-0266</t>
  </si>
  <si>
    <t>ORD-10584</t>
  </si>
  <si>
    <t>ORD-10585</t>
  </si>
  <si>
    <t>ORD-10586</t>
  </si>
  <si>
    <t>ORD-10587</t>
  </si>
  <si>
    <t>ORD-10588</t>
  </si>
  <si>
    <t>ORD-10589</t>
  </si>
  <si>
    <t>ORD-10590</t>
  </si>
  <si>
    <t>CUST-0012</t>
  </si>
  <si>
    <t>ORD-10591</t>
  </si>
  <si>
    <t>ORD-10592</t>
  </si>
  <si>
    <t>ORD-10593</t>
  </si>
  <si>
    <t>CUST-0088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</si>
  <si>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</si>
  <si>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</si>
  <si>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</si>
  <si>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</si>
  <si>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</si>
  <si>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</si>
  <si>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</si>
  <si>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</si>
  <si>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</si>
  <si>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</si>
  <si>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</si>
  <si>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</si>
  <si>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CUST-0320</t>
  </si>
  <si>
    <t>ORD-10606</t>
  </si>
  <si>
    <t>ORD-10607</t>
  </si>
  <si>
    <t>ORD-10608</t>
  </si>
  <si>
    <t>ORD-10609</t>
  </si>
  <si>
    <t>ORD-10610</t>
  </si>
  <si>
    <t>CUST-0105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</si>
  <si>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</si>
  <si>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</si>
  <si>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</si>
  <si>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</si>
  <si>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</si>
  <si>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</si>
  <si>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</si>
  <si>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</si>
  <si>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CUST-0210</t>
  </si>
  <si>
    <t>ORD-10619</t>
  </si>
  <si>
    <t>ORD-10620</t>
  </si>
  <si>
    <t>ORD-10621</t>
  </si>
  <si>
    <t>ORD-10622</t>
  </si>
  <si>
    <t>ORD-10623</t>
  </si>
  <si>
    <t>ORD-10624</t>
  </si>
  <si>
    <t>CUST-0221</t>
  </si>
  <si>
    <t>ORD-10625</t>
  </si>
  <si>
    <t>CUST-0031</t>
  </si>
  <si>
    <t>ORD-10626</t>
  </si>
  <si>
    <t>CUST-0194</t>
  </si>
  <si>
    <t>ORD-10627</t>
  </si>
  <si>
    <t>ORD-10628</t>
  </si>
  <si>
    <t>ORD-10629</t>
  </si>
  <si>
    <t>CUST-0002</t>
  </si>
  <si>
    <t>ORD-10630</t>
  </si>
  <si>
    <t>CUST-0244</t>
  </si>
  <si>
    <t>ORD-10631</t>
  </si>
  <si>
    <t>ORD-10632</t>
  </si>
  <si>
    <t>ORD-10633</t>
  </si>
  <si>
    <t>ORD-10634</t>
  </si>
  <si>
    <t>ORD-10635</t>
  </si>
  <si>
    <t>ORD-10636</t>
  </si>
  <si>
    <t>ORD-10637</t>
  </si>
  <si>
    <t>CUST-0032</t>
  </si>
  <si>
    <t>ORD-10638</t>
  </si>
  <si>
    <t>CUST-0055</t>
  </si>
  <si>
    <t>ORD-10639</t>
  </si>
  <si>
    <t>ORD-10640</t>
  </si>
  <si>
    <t>ORD-10641</t>
  </si>
  <si>
    <t>CUST-0338</t>
  </si>
  <si>
    <t>ORD-10642</t>
  </si>
  <si>
    <t>CUST-0281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</si>
  <si>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</si>
  <si>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</si>
  <si>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</si>
  <si>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</si>
  <si>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</si>
  <si>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</si>
  <si>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</si>
  <si>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</si>
  <si>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</si>
  <si>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</si>
  <si>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CUST-0181</t>
  </si>
  <si>
    <t>ORD-10653</t>
  </si>
  <si>
    <t>ORD-10654</t>
  </si>
  <si>
    <t>CUST-0347</t>
  </si>
  <si>
    <t>ORD-10655</t>
  </si>
  <si>
    <t>ORD-10656</t>
  </si>
  <si>
    <t>ORD-10657</t>
  </si>
  <si>
    <t>ORD-10658</t>
  </si>
  <si>
    <t>ORD-10659</t>
  </si>
  <si>
    <t>CUST-0028</t>
  </si>
  <si>
    <t>ORD-10660</t>
  </si>
  <si>
    <t>ORD-10661</t>
  </si>
  <si>
    <t>ORD-10662</t>
  </si>
  <si>
    <t>ORD-10663</t>
  </si>
  <si>
    <t>CUST-0271</t>
  </si>
  <si>
    <t>ORD-10664</t>
  </si>
  <si>
    <t>ORD-10665</t>
  </si>
  <si>
    <t>CUST-0110</t>
  </si>
  <si>
    <t>ORD-10666</t>
  </si>
  <si>
    <t>ORD-10667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</si>
  <si>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</si>
  <si>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</si>
  <si>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</si>
  <si>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</si>
  <si>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</si>
  <si>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</si>
  <si>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</si>
  <si>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</si>
  <si>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</si>
  <si>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</si>
  <si>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CUST-0187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</si>
  <si>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</si>
  <si>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</si>
  <si>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</si>
  <si>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</si>
  <si>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</si>
  <si>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</si>
  <si>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</si>
  <si>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</si>
  <si>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</si>
  <si>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</si>
  <si>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</si>
  <si>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</si>
  <si>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</si>
  <si>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</si>
  <si>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CUST-0074</t>
  </si>
  <si>
    <t>ORD-10692</t>
  </si>
  <si>
    <t>CUST-0228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</si>
  <si>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</si>
  <si>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</si>
  <si>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</si>
  <si>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</si>
  <si>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</si>
  <si>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</si>
  <si>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</si>
  <si>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</si>
  <si>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</si>
  <si>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</si>
  <si>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</si>
  <si>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</si>
  <si>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</si>
  <si>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</si>
  <si>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</si>
  <si>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</si>
  <si>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</si>
  <si>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CUST-0289</t>
  </si>
  <si>
    <t>ORD-10710</t>
  </si>
  <si>
    <t>ORD-10711</t>
  </si>
  <si>
    <t>ORD-10712</t>
  </si>
  <si>
    <t>ORD-10713</t>
  </si>
  <si>
    <t>ORD-10714</t>
  </si>
  <si>
    <t>ORD-10715</t>
  </si>
  <si>
    <t>CUST-0236</t>
  </si>
  <si>
    <t>ORD-10716</t>
  </si>
  <si>
    <t>ORD-10717</t>
  </si>
  <si>
    <t>ORD-10718</t>
  </si>
  <si>
    <t>ORD-10719</t>
  </si>
  <si>
    <t>ORD-10720</t>
  </si>
  <si>
    <t>ORD-10721</t>
  </si>
  <si>
    <t>CUST-0139</t>
  </si>
  <si>
    <t>ORD-10722</t>
  </si>
  <si>
    <t>CUST-0095</t>
  </si>
  <si>
    <t>ORD-10723</t>
  </si>
  <si>
    <t>ORD-10724</t>
  </si>
  <si>
    <t>ORD-10725</t>
  </si>
  <si>
    <t>ORD-10726</t>
  </si>
  <si>
    <t>ORD-10727</t>
  </si>
  <si>
    <t>ORD-10728</t>
  </si>
  <si>
    <t>CUST-0278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</si>
  <si>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</si>
  <si>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</si>
  <si>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</si>
  <si>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</si>
  <si>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</si>
  <si>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</si>
  <si>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</si>
  <si>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</si>
  <si>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</si>
  <si>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</si>
  <si>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CUST-0107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</si>
  <si>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</si>
  <si>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</si>
  <si>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</si>
  <si>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</si>
  <si>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</si>
  <si>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</si>
  <si>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</si>
  <si>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</si>
  <si>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</si>
  <si>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</si>
  <si>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CUST-0026</t>
  </si>
  <si>
    <t>ORD-10749</t>
  </si>
  <si>
    <t>ORD-10750</t>
  </si>
  <si>
    <t>CUST-0049</t>
  </si>
  <si>
    <t>ORD-10751</t>
  </si>
  <si>
    <t>ORD-10752</t>
  </si>
  <si>
    <t>ORD-10753</t>
  </si>
  <si>
    <t>ORD-10754</t>
  </si>
  <si>
    <t>ORD-10755</t>
  </si>
  <si>
    <t>ORD-10756</t>
  </si>
  <si>
    <t>ORD-10757</t>
  </si>
  <si>
    <t>CUST-0259</t>
  </si>
  <si>
    <t>ORD-10758</t>
  </si>
  <si>
    <t>ORD-10759</t>
  </si>
  <si>
    <t>ORD-10760</t>
  </si>
  <si>
    <t>ORD-10761</t>
  </si>
  <si>
    <t>ORD-10762</t>
  </si>
  <si>
    <t>ORD-10763</t>
  </si>
  <si>
    <t>ORD-10764</t>
  </si>
  <si>
    <t>ORD-10765</t>
  </si>
  <si>
    <t>ORD-10766</t>
  </si>
  <si>
    <t>CUST-0117</t>
  </si>
  <si>
    <t>ORD-10767</t>
  </si>
  <si>
    <t>ORD-10768</t>
  </si>
  <si>
    <t>CUST-0328</t>
  </si>
  <si>
    <t>ORD-10769</t>
  </si>
  <si>
    <t>ORD-10770</t>
  </si>
  <si>
    <t>ORD-10771</t>
  </si>
  <si>
    <t>ORD-10772</t>
  </si>
  <si>
    <t>ORD-10773</t>
  </si>
  <si>
    <t>CUST-0001</t>
  </si>
  <si>
    <t>ORD-10774</t>
  </si>
  <si>
    <t>CUST-0042</t>
  </si>
  <si>
    <t>ORD-10775</t>
  </si>
  <si>
    <t>ORD-10776</t>
  </si>
  <si>
    <t>ORD-10777</t>
  </si>
  <si>
    <t>ORD-10778</t>
  </si>
  <si>
    <t>CUST-0155</t>
  </si>
  <si>
    <t>ORD-10779</t>
  </si>
  <si>
    <t>ORD-10780</t>
  </si>
  <si>
    <t>ORD-10781</t>
  </si>
  <si>
    <t>ORD-10782</t>
  </si>
  <si>
    <t>ORD-10783</t>
  </si>
  <si>
    <t>ORD-10784</t>
  </si>
  <si>
    <t>ORD-10785</t>
  </si>
  <si>
    <t>ORD-10786</t>
  </si>
  <si>
    <t>ORD-10787</t>
  </si>
  <si>
    <t>ORD-10788</t>
  </si>
  <si>
    <t>ORD-10789</t>
  </si>
  <si>
    <t>ORD-10790</t>
  </si>
  <si>
    <t>ORD-10791</t>
  </si>
  <si>
    <t>ORD-10792</t>
  </si>
  <si>
    <t>ORD-10793</t>
  </si>
  <si>
    <t>ORD-10794</t>
  </si>
  <si>
    <t>ORD-10795</t>
  </si>
  <si>
    <t>ORD-10796</t>
  </si>
  <si>
    <t>ORD-10797</t>
  </si>
  <si>
    <t>ORD-10798</t>
  </si>
  <si>
    <t>ORD-10799</t>
  </si>
  <si>
    <t>ORD-10800</t>
  </si>
  <si>
    <t>CUST-0065</t>
  </si>
  <si>
    <t>ORD-10801</t>
  </si>
  <si>
    <t>ORD-10802</t>
  </si>
  <si>
    <t>ORD-10803</t>
  </si>
  <si>
    <t>ORD-10804</t>
  </si>
  <si>
    <t>ORD-10805</t>
  </si>
  <si>
    <t>ORD-10806</t>
  </si>
  <si>
    <t>ORD-10807</t>
  </si>
  <si>
    <t>ORD-10808</t>
  </si>
  <si>
    <t>ORD-10809</t>
  </si>
  <si>
    <t>ORD-10810</t>
  </si>
  <si>
    <t>ORD-10811</t>
  </si>
  <si>
    <t>ORD-10812</t>
  </si>
  <si>
    <t>ORD-10813</t>
  </si>
  <si>
    <t>ORD-10814</t>
  </si>
  <si>
    <t>CUST-0297</t>
  </si>
  <si>
    <t>ORD-10815</t>
  </si>
  <si>
    <t>ORD-10816</t>
  </si>
  <si>
    <t>ORD-10817</t>
  </si>
  <si>
    <t>ORD-10818</t>
  </si>
  <si>
    <t>ORD-10819</t>
  </si>
  <si>
    <t>CUST-0226</t>
  </si>
  <si>
    <t>ORD-10820</t>
  </si>
  <si>
    <t>ORD-10821</t>
  </si>
  <si>
    <t>ORD-10822</t>
  </si>
  <si>
    <t>ORD-10823</t>
  </si>
  <si>
    <t>ORD-10824</t>
  </si>
  <si>
    <t>ORD-10825</t>
  </si>
  <si>
    <t>ORD-10826</t>
  </si>
  <si>
    <t>ORD-10827</t>
  </si>
  <si>
    <t>ORD-10828</t>
  </si>
  <si>
    <t>CUST-0375</t>
  </si>
  <si>
    <t>ORD-10829</t>
  </si>
  <si>
    <t>ORD-10830</t>
  </si>
  <si>
    <t>ORD-10831</t>
  </si>
  <si>
    <t>ORD-10832</t>
  </si>
  <si>
    <t>ORD-10833</t>
  </si>
  <si>
    <t>ORD-10834</t>
  </si>
  <si>
    <t>ORD-10835</t>
  </si>
  <si>
    <t>ORD-10836</t>
  </si>
  <si>
    <t>ORD-10837</t>
  </si>
  <si>
    <t>ORD-10838</t>
  </si>
  <si>
    <t>ORD-10839</t>
  </si>
  <si>
    <t>ORD-10840</t>
  </si>
  <si>
    <t>ORD-10841</t>
  </si>
  <si>
    <t>ORD-10842</t>
  </si>
  <si>
    <t>ORD-10843</t>
  </si>
  <si>
    <t>ORD-10844</t>
  </si>
  <si>
    <t>ORD-10845</t>
  </si>
  <si>
    <t>CUST-0310</t>
  </si>
  <si>
    <t>ORD-10846</t>
  </si>
  <si>
    <t>ORD-10847</t>
  </si>
  <si>
    <t>ORD-10848</t>
  </si>
  <si>
    <t>CUST-0245</t>
  </si>
  <si>
    <t>ORD-10849</t>
  </si>
  <si>
    <t>ORD-10850</t>
  </si>
  <si>
    <t>ORD-10851</t>
  </si>
  <si>
    <t>ORD-10852</t>
  </si>
  <si>
    <t>ORD-10853</t>
  </si>
  <si>
    <t>ORD-10854</t>
  </si>
  <si>
    <t>ORD-10855</t>
  </si>
  <si>
    <t>ORD-10856</t>
  </si>
  <si>
    <t>ORD-10857</t>
  </si>
  <si>
    <t>ORD-10858</t>
  </si>
  <si>
    <t>ORD-10859</t>
  </si>
  <si>
    <t>CUST-0076</t>
  </si>
  <si>
    <t>ORD-10860</t>
  </si>
  <si>
    <t>ORD-10861</t>
  </si>
  <si>
    <t>ORD-10862</t>
  </si>
  <si>
    <t>ORD-10863</t>
  </si>
  <si>
    <t>ORD-10864</t>
  </si>
  <si>
    <t>ORD-10865</t>
  </si>
  <si>
    <t>ORD-10866</t>
  </si>
  <si>
    <t>ORD-10867</t>
  </si>
  <si>
    <t>ORD-10868</t>
  </si>
  <si>
    <t>CUST-0034</t>
  </si>
  <si>
    <t>ORD-10869</t>
  </si>
  <si>
    <t>ORD-10870</t>
  </si>
  <si>
    <t>CUST-0163</t>
  </si>
  <si>
    <t>ORD-10871</t>
  </si>
  <si>
    <t>ORD-10872</t>
  </si>
  <si>
    <t>ORD-10873</t>
  </si>
  <si>
    <t>CUST-0300</t>
  </si>
  <si>
    <t>ORD-10874</t>
  </si>
  <si>
    <t>ORD-10875</t>
  </si>
  <si>
    <t>ORD-10876</t>
  </si>
  <si>
    <t>ORD-10877</t>
  </si>
  <si>
    <t>ORD-10878</t>
  </si>
  <si>
    <t>ORD-10879</t>
  </si>
  <si>
    <t>ORD-10880</t>
  </si>
  <si>
    <t>ORD-10881</t>
  </si>
  <si>
    <t>ORD-10882</t>
  </si>
  <si>
    <t>CUST-0069</t>
  </si>
  <si>
    <t>ORD-10883</t>
  </si>
  <si>
    <t>ORD-10884</t>
  </si>
  <si>
    <t>CUST-0097</t>
  </si>
  <si>
    <t>ORD-10885</t>
  </si>
  <si>
    <t>CUST-0216</t>
  </si>
  <si>
    <t>ORD-10886</t>
  </si>
  <si>
    <t>ORD-10887</t>
  </si>
  <si>
    <t>ORD-10888</t>
  </si>
  <si>
    <t>ORD-10889</t>
  </si>
  <si>
    <t>CUST-0063</t>
  </si>
  <si>
    <t>ORD-10890</t>
  </si>
  <si>
    <t>ORD-10891</t>
  </si>
  <si>
    <t>ORD-10892</t>
  </si>
  <si>
    <t>ORD-10893</t>
  </si>
  <si>
    <t>ORD-10894</t>
  </si>
  <si>
    <t>ORD-10895</t>
  </si>
  <si>
    <t>ORD-10896</t>
  </si>
  <si>
    <t>ORD-10897</t>
  </si>
  <si>
    <t>ORD-10898</t>
  </si>
  <si>
    <t>ORD-10899</t>
  </si>
  <si>
    <t>ORD-10900</t>
  </si>
  <si>
    <t>ORD-10901</t>
  </si>
  <si>
    <t>ORD-10902</t>
  </si>
  <si>
    <t>ORD-10903</t>
  </si>
  <si>
    <t>ORD-10904</t>
  </si>
  <si>
    <t>ORD-10905</t>
  </si>
  <si>
    <t>ORD-10906</t>
  </si>
  <si>
    <t>ORD-10907</t>
  </si>
  <si>
    <t>ORD-10908</t>
  </si>
  <si>
    <t>CUST-0134</t>
  </si>
  <si>
    <t>ORD-10909</t>
  </si>
  <si>
    <t>ORD-10910</t>
  </si>
  <si>
    <t>CUST-0058</t>
  </si>
  <si>
    <t>ORD-10911</t>
  </si>
  <si>
    <t>ORD-10912</t>
  </si>
  <si>
    <t>ORD-10913</t>
  </si>
  <si>
    <t>CUST-0080</t>
  </si>
  <si>
    <t>ORD-10914</t>
  </si>
  <si>
    <t>ORD-10915</t>
  </si>
  <si>
    <t>ORD-10916</t>
  </si>
  <si>
    <t>ORD-10917</t>
  </si>
  <si>
    <t>CUST-0205</t>
  </si>
  <si>
    <t>ORD-10918</t>
  </si>
  <si>
    <t>ORD-10919</t>
  </si>
  <si>
    <t>ORD-10920</t>
  </si>
  <si>
    <t>ORD-10921</t>
  </si>
  <si>
    <t>ORD-10922</t>
  </si>
  <si>
    <t>ORD-10923</t>
  </si>
  <si>
    <t>ORD-10924</t>
  </si>
  <si>
    <t>CUST-0227</t>
  </si>
  <si>
    <t>ORD-10925</t>
  </si>
  <si>
    <t>ORD-10926</t>
  </si>
  <si>
    <t>ORD-10927</t>
  </si>
  <si>
    <t>ORD-10928</t>
  </si>
  <si>
    <t>ORD-10929</t>
  </si>
  <si>
    <t>ORD-10930</t>
  </si>
  <si>
    <t>ORD-10931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</si>
  <si>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</si>
  <si>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</si>
  <si>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</si>
  <si>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</si>
  <si>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</si>
  <si>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</si>
  <si>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</si>
  <si>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</si>
  <si>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</si>
  <si>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</si>
  <si>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</si>
  <si>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ORD-10943</t>
  </si>
  <si>
    <t>ORD-10944</t>
  </si>
  <si>
    <t>ORD-10945</t>
  </si>
  <si>
    <t>ORD-10946</t>
  </si>
  <si>
    <t>ORD-10947</t>
  </si>
  <si>
    <t>CUST-0084</t>
  </si>
  <si>
    <t>ORD-10948</t>
  </si>
  <si>
    <t>ORD-10949</t>
  </si>
  <si>
    <t>ORD-10950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</si>
  <si>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</si>
  <si>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</si>
  <si>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</si>
  <si>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</si>
  <si>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</si>
  <si>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</si>
  <si>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</si>
  <si>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</si>
  <si>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ORD-10959</t>
  </si>
  <si>
    <t>ORD-10960</t>
  </si>
  <si>
    <t>ORD-10961</t>
  </si>
  <si>
    <t>CUST-0125</t>
  </si>
  <si>
    <t>ORD-10962</t>
  </si>
  <si>
    <t>ORD-10963</t>
  </si>
  <si>
    <t>ORD-10964</t>
  </si>
  <si>
    <t>CUST-0131</t>
  </si>
  <si>
    <t>ORD-10965</t>
  </si>
  <si>
    <t>ORD-10966</t>
  </si>
  <si>
    <t>ORD-10967</t>
  </si>
  <si>
    <t>ORD-10968</t>
  </si>
  <si>
    <t>ORD-10969</t>
  </si>
  <si>
    <t>ORD-10970</t>
  </si>
  <si>
    <t>ORD-10971</t>
  </si>
  <si>
    <t>ORD-10972</t>
  </si>
  <si>
    <t>ORD-10973</t>
  </si>
  <si>
    <t>ORD-10974</t>
  </si>
  <si>
    <t>ORD-10975</t>
  </si>
  <si>
    <t>CUST-0388</t>
  </si>
  <si>
    <t>ORD-10976</t>
  </si>
  <si>
    <t>ORD-10977</t>
  </si>
  <si>
    <t>ORD-10978</t>
  </si>
  <si>
    <t>ORD-10979</t>
  </si>
  <si>
    <t>ORD-10980</t>
  </si>
  <si>
    <t>ORD-10981</t>
  </si>
  <si>
    <t>ORD-10982</t>
  </si>
  <si>
    <t>ORD-10983</t>
  </si>
  <si>
    <t>ORD-10984</t>
  </si>
  <si>
    <t>ORD-10985</t>
  </si>
  <si>
    <t>CUST-0397</t>
  </si>
  <si>
    <t>ORD-10986</t>
  </si>
  <si>
    <t>ORD-10987</t>
  </si>
  <si>
    <t>ORD-10988</t>
  </si>
  <si>
    <t>ORD-10989</t>
  </si>
  <si>
    <t>ORD-10990</t>
  </si>
  <si>
    <t>ORD-10991</t>
  </si>
  <si>
    <t>ORD-10992</t>
  </si>
  <si>
    <t>ORD-10993</t>
  </si>
  <si>
    <t>ORD-10994</t>
  </si>
  <si>
    <t>ORD-10995</t>
  </si>
  <si>
    <t>ORD-10996</t>
  </si>
  <si>
    <t>ORD-10997</t>
  </si>
  <si>
    <t>CUST-0261</t>
  </si>
  <si>
    <t>ORD-10998</t>
  </si>
  <si>
    <t>ORD-10999</t>
  </si>
  <si>
    <t>ORD-11000</t>
  </si>
  <si>
    <t>CUST-0140</t>
  </si>
  <si>
    <t>KPIs</t>
  </si>
  <si>
    <t>Total Sales</t>
  </si>
  <si>
    <t>Total Profit</t>
  </si>
  <si>
    <t>Profit Margin</t>
  </si>
  <si>
    <t>Total Orders</t>
  </si>
  <si>
    <t>Avg Order Value</t>
  </si>
  <si>
    <t>Avg Rating</t>
  </si>
  <si>
    <t>Sales by Region</t>
  </si>
  <si>
    <t>Orders</t>
  </si>
  <si>
    <t>Margin</t>
  </si>
  <si>
    <t>Sales by Category</t>
  </si>
  <si>
    <t>Monthly Sales Trend</t>
  </si>
  <si>
    <t>Month</t>
  </si>
  <si>
    <t>Top Sales Reps</t>
  </si>
  <si>
    <t>month</t>
  </si>
  <si>
    <t>month no</t>
  </si>
  <si>
    <t>profit margin</t>
  </si>
  <si>
    <t>Order Size</t>
  </si>
  <si>
    <t>profit/loss</t>
  </si>
  <si>
    <t>order size</t>
  </si>
  <si>
    <t>Total sales</t>
  </si>
  <si>
    <t>Sales Analysis</t>
  </si>
  <si>
    <t>Row Labels</t>
  </si>
  <si>
    <t>Grand Total</t>
  </si>
  <si>
    <t>Sum of Sales</t>
  </si>
  <si>
    <t>Dec</t>
  </si>
  <si>
    <t>Nov</t>
  </si>
  <si>
    <t>Jan</t>
  </si>
  <si>
    <t>Oct</t>
  </si>
  <si>
    <t>Sep</t>
  </si>
  <si>
    <t>Aug</t>
  </si>
  <si>
    <t>Jul</t>
  </si>
  <si>
    <t>Jun</t>
  </si>
  <si>
    <t>May</t>
  </si>
  <si>
    <t>Feb</t>
  </si>
  <si>
    <t>Apr</t>
  </si>
  <si>
    <t>Mar</t>
  </si>
  <si>
    <t>Sum of Profit</t>
  </si>
  <si>
    <t>Count of Order ID</t>
  </si>
  <si>
    <t>2025</t>
  </si>
  <si>
    <t>Sum of Quantity</t>
  </si>
  <si>
    <t>2025 Retail Sales Analysis — Report Summary</t>
  </si>
  <si>
    <t>Report period</t>
  </si>
  <si>
    <t>January–December 2025</t>
  </si>
  <si>
    <t>Data note</t>
  </si>
  <si>
    <t>The Guide identifies these 1,000 retail orders as randomly generated practice data, not real company results.</t>
  </si>
  <si>
    <t>KEY METRICS</t>
  </si>
  <si>
    <t>Metric</t>
  </si>
  <si>
    <t>Result</t>
  </si>
  <si>
    <t>Net sales after discounts.</t>
  </si>
  <si>
    <t>Total profit</t>
  </si>
  <si>
    <t>Sales less quantity multiplied by unit cost.</t>
  </si>
  <si>
    <t>Profit margin</t>
  </si>
  <si>
    <t>Overall profit divided by sales.</t>
  </si>
  <si>
    <t>Order count for the year.</t>
  </si>
  <si>
    <t>Average order value</t>
  </si>
  <si>
    <t>Total sales divided by orders.</t>
  </si>
  <si>
    <t>Average rating</t>
  </si>
  <si>
    <t>Average customer rating on a 1–5 scale.</t>
  </si>
  <si>
    <t>EXECUTIVE FINDINGS</t>
  </si>
  <si>
    <t>Finding</t>
  </si>
  <si>
    <t>What the analysis shows</t>
  </si>
  <si>
    <t>1. Overall</t>
  </si>
  <si>
    <t>The 1,000 orders generated $692,810 in sales and $146,600 in profit, for a 21.2% overall margin. Average order value was $692.81 and average rating was 3.84/5.</t>
  </si>
  <si>
    <t>2. Category</t>
  </si>
  <si>
    <t>Electronics was the largest category by sales at $330,663 (about 47.7% of total), but its margin was lowest at 11.2%. Clothing had the strongest category margin at 44.2%, on $49,083 of sales.</t>
  </si>
  <si>
    <t>3. Region</t>
  </si>
  <si>
    <t>South led sales at $178,929. West delivered the highest regional profit ($39,716) and margin (22.8%); East had the lowest margin at 18.8%.</t>
  </si>
  <si>
    <t>4. Monthly</t>
  </si>
  <si>
    <t>February was the strongest sales month ($65,059); November was the weakest ($50,726). August generated the highest monthly profit ($14,991), while September was lowest ($8,494).</t>
  </si>
  <si>
    <t>5. Sales team</t>
  </si>
  <si>
    <t>Karan Patel led sales with $106,727. Rohan Mehta generated the highest profit at $21,912, showing that the sales leader and profit leader differ.</t>
  </si>
  <si>
    <t>RECOMMENDATIONS</t>
  </si>
  <si>
    <t>1. Improve mix economics</t>
  </si>
  <si>
    <t>Review Electronics product mix, pricing, unit costs, and discounting before prioritizing further volume; focus on profitable growth. Test whether high-margin Clothing and Furniture products can grow without eroding their margins.</t>
  </si>
  <si>
    <t>2. Investigate regional and seasonal gaps</t>
  </si>
  <si>
    <t>Examine East-region discount, cost, and category mix versus West; use the February sales and August profit peaks to inform promotions and inventory planning, then validate against future actual results.</t>
  </si>
  <si>
    <r>
      <t xml:space="preserve">The 1,000 orders generated </t>
    </r>
    <r>
      <rPr>
        <sz val="12"/>
        <color rgb="FF0D0D0D"/>
        <rFont val="Aptos"/>
        <family val="2"/>
      </rPr>
      <t>692,809.63 in sales</t>
    </r>
    <r>
      <rPr>
        <sz val="12"/>
        <color rgb="FF0D0D0D"/>
        <rFont val="Aptos"/>
        <family val="2"/>
      </rPr>
      <t xml:space="preserve"> and </t>
    </r>
    <r>
      <rPr>
        <sz val="12"/>
        <color rgb="FF0D0D0D"/>
        <rFont val="Aptos"/>
        <family val="2"/>
      </rPr>
      <t>146,599.95 in profit</t>
    </r>
    <r>
      <rPr>
        <sz val="12"/>
        <color rgb="FF0D0D0D"/>
        <rFont val="Aptos"/>
        <family val="2"/>
      </rPr>
      <t xml:space="preserve">, for an overall </t>
    </r>
    <r>
      <rPr>
        <sz val="12"/>
        <color rgb="FF0D0D0D"/>
        <rFont val="Aptos"/>
        <family val="2"/>
      </rPr>
      <t>21.2% profit margin</t>
    </r>
    <r>
      <rPr>
        <sz val="12"/>
        <color rgb="FF0D0D0D"/>
        <rFont val="Aptos"/>
        <family val="2"/>
      </rPr>
      <t xml:space="preserve">. Average order value was </t>
    </r>
    <r>
      <rPr>
        <sz val="12"/>
        <color rgb="FF0D0D0D"/>
        <rFont val="Aptos"/>
        <family val="2"/>
      </rPr>
      <t>692.81</t>
    </r>
    <r>
      <rPr>
        <sz val="12"/>
        <color rgb="FF0D0D0D"/>
        <rFont val="Aptos"/>
        <family val="2"/>
      </rPr>
      <t xml:space="preserve">; average customer rating was </t>
    </r>
    <r>
      <rPr>
        <sz val="12"/>
        <color rgb="FF0D0D0D"/>
        <rFont val="Aptos"/>
        <family val="2"/>
      </rPr>
      <t>3.84/5</t>
    </r>
    <r>
      <rPr>
        <sz val="12"/>
        <color rgb="FF0D0D0D"/>
        <rFont val="Aptos"/>
        <family val="2"/>
      </rPr>
      <t>.</t>
    </r>
  </si>
  <si>
    <r>
      <t>Electronics</t>
    </r>
    <r>
      <rPr>
        <sz val="12"/>
        <color rgb="FF0D0D0D"/>
        <rFont val="Aptos"/>
        <family val="2"/>
      </rPr>
      <t xml:space="preserve"> drove the most sales—</t>
    </r>
    <r>
      <rPr>
        <sz val="12"/>
        <color rgb="FF0D0D0D"/>
        <rFont val="Aptos"/>
        <family val="2"/>
      </rPr>
      <t>330,663</t>
    </r>
    <r>
      <rPr>
        <sz val="12"/>
        <color rgb="FF0D0D0D"/>
        <rFont val="Aptos"/>
        <family val="2"/>
      </rPr>
      <t xml:space="preserve">, about </t>
    </r>
    <r>
      <rPr>
        <sz val="12"/>
        <color rgb="FF0D0D0D"/>
        <rFont val="Aptos"/>
        <family val="2"/>
      </rPr>
      <t>47.7% of total</t>
    </r>
    <r>
      <rPr>
        <sz val="12"/>
        <color rgb="FF0D0D0D"/>
        <rFont val="Aptos"/>
        <family val="2"/>
      </rPr>
      <t xml:space="preserve">—but had the lowest category margin at </t>
    </r>
    <r>
      <rPr>
        <sz val="12"/>
        <color rgb="FF0D0D0D"/>
        <rFont val="Aptos"/>
        <family val="2"/>
      </rPr>
      <t>11.2%</t>
    </r>
    <r>
      <rPr>
        <sz val="12"/>
        <color rgb="FF0D0D0D"/>
        <rFont val="Aptos"/>
        <family val="2"/>
      </rPr>
      <t xml:space="preserve">. </t>
    </r>
    <r>
      <rPr>
        <sz val="12"/>
        <color rgb="FF0D0D0D"/>
        <rFont val="Aptos"/>
        <family val="2"/>
      </rPr>
      <t>Clothing</t>
    </r>
    <r>
      <rPr>
        <sz val="12"/>
        <color rgb="FF0D0D0D"/>
        <rFont val="Aptos"/>
        <family val="2"/>
      </rPr>
      <t xml:space="preserve"> had the highest margin at </t>
    </r>
    <r>
      <rPr>
        <sz val="12"/>
        <color rgb="FF0D0D0D"/>
        <rFont val="Aptos"/>
        <family val="2"/>
      </rPr>
      <t>44.2%</t>
    </r>
    <r>
      <rPr>
        <sz val="12"/>
        <color rgb="FF0D0D0D"/>
        <rFont val="Aptos"/>
        <family val="2"/>
      </rPr>
      <t xml:space="preserve">, though sales were </t>
    </r>
    <r>
      <rPr>
        <sz val="12"/>
        <color rgb="FF0D0D0D"/>
        <rFont val="Aptos"/>
        <family val="2"/>
      </rPr>
      <t>49,083</t>
    </r>
  </si>
  <si>
    <r>
      <t xml:space="preserve">By region, </t>
    </r>
    <r>
      <rPr>
        <sz val="12"/>
        <color rgb="FF0D0D0D"/>
        <rFont val="Aptos"/>
        <family val="2"/>
      </rPr>
      <t>South led sales</t>
    </r>
    <r>
      <rPr>
        <sz val="12"/>
        <color rgb="FF0D0D0D"/>
        <rFont val="Aptos"/>
        <family val="2"/>
      </rPr>
      <t xml:space="preserve"> at </t>
    </r>
    <r>
      <rPr>
        <sz val="12"/>
        <color rgb="FF0D0D0D"/>
        <rFont val="Aptos"/>
        <family val="2"/>
      </rPr>
      <t>178,929</t>
    </r>
    <r>
      <rPr>
        <sz val="12"/>
        <color rgb="FF0D0D0D"/>
        <rFont val="Aptos"/>
        <family val="2"/>
      </rPr>
      <t xml:space="preserve">; </t>
    </r>
    <r>
      <rPr>
        <sz val="12"/>
        <color rgb="FF0D0D0D"/>
        <rFont val="Aptos"/>
        <family val="2"/>
      </rPr>
      <t>West led profit</t>
    </r>
    <r>
      <rPr>
        <sz val="12"/>
        <color rgb="FF0D0D0D"/>
        <rFont val="Aptos"/>
        <family val="2"/>
      </rPr>
      <t xml:space="preserve"> at </t>
    </r>
    <r>
      <rPr>
        <sz val="12"/>
        <color rgb="FF0D0D0D"/>
        <rFont val="Aptos"/>
        <family val="2"/>
      </rPr>
      <t>39,716</t>
    </r>
    <r>
      <rPr>
        <sz val="12"/>
        <color rgb="FF0D0D0D"/>
        <rFont val="Aptos"/>
        <family val="2"/>
      </rPr>
      <t xml:space="preserve"> and had the strongest margin at </t>
    </r>
    <r>
      <rPr>
        <sz val="12"/>
        <color rgb="FF0D0D0D"/>
        <rFont val="Aptos"/>
        <family val="2"/>
      </rPr>
      <t>22.8%</t>
    </r>
    <r>
      <rPr>
        <sz val="12"/>
        <color rgb="FF0D0D0D"/>
        <rFont val="Aptos"/>
        <family val="2"/>
      </rPr>
      <t xml:space="preserve">. </t>
    </r>
    <r>
      <rPr>
        <sz val="12"/>
        <color rgb="FF0D0D0D"/>
        <rFont val="Aptos"/>
        <family val="2"/>
      </rPr>
      <t>East</t>
    </r>
    <r>
      <rPr>
        <sz val="12"/>
        <color rgb="FF0D0D0D"/>
        <rFont val="Aptos"/>
        <family val="2"/>
      </rPr>
      <t xml:space="preserve"> had the lowest regional margin at </t>
    </r>
    <r>
      <rPr>
        <sz val="12"/>
        <color rgb="FF0D0D0D"/>
        <rFont val="Aptos"/>
        <family val="2"/>
      </rPr>
      <t>18.8%</t>
    </r>
    <r>
      <rPr>
        <sz val="12"/>
        <color rgb="FF0D0D0D"/>
        <rFont val="Aptos"/>
        <family val="2"/>
      </rPr>
      <t>.</t>
    </r>
  </si>
  <si>
    <r>
      <t>February</t>
    </r>
    <r>
      <rPr>
        <sz val="12"/>
        <color rgb="FF0D0D0D"/>
        <rFont val="Aptos"/>
        <family val="2"/>
      </rPr>
      <t xml:space="preserve"> had the highest sales (</t>
    </r>
    <r>
      <rPr>
        <sz val="12"/>
        <color rgb="FF0D0D0D"/>
        <rFont val="Aptos"/>
        <family val="2"/>
      </rPr>
      <t>65,059</t>
    </r>
    <r>
      <rPr>
        <sz val="12"/>
        <color rgb="FF0D0D0D"/>
        <rFont val="Aptos"/>
        <family val="2"/>
      </rPr>
      <t xml:space="preserve">); </t>
    </r>
    <r>
      <rPr>
        <sz val="12"/>
        <color rgb="FF0D0D0D"/>
        <rFont val="Aptos"/>
        <family val="2"/>
      </rPr>
      <t>November</t>
    </r>
    <r>
      <rPr>
        <sz val="12"/>
        <color rgb="FF0D0D0D"/>
        <rFont val="Aptos"/>
        <family val="2"/>
      </rPr>
      <t xml:space="preserve"> had the lowest (</t>
    </r>
    <r>
      <rPr>
        <sz val="12"/>
        <color rgb="FF0D0D0D"/>
        <rFont val="Aptos"/>
        <family val="2"/>
      </rPr>
      <t>50,726</t>
    </r>
    <r>
      <rPr>
        <sz val="12"/>
        <color rgb="FF0D0D0D"/>
        <rFont val="Aptos"/>
        <family val="2"/>
      </rPr>
      <t xml:space="preserve">. </t>
    </r>
    <r>
      <rPr>
        <sz val="12"/>
        <color rgb="FF0D0D0D"/>
        <rFont val="Aptos"/>
        <family val="2"/>
      </rPr>
      <t>August</t>
    </r>
    <r>
      <rPr>
        <sz val="12"/>
        <color rgb="FF0D0D0D"/>
        <rFont val="Aptos"/>
        <family val="2"/>
      </rPr>
      <t xml:space="preserve"> had the highest profit (</t>
    </r>
    <r>
      <rPr>
        <sz val="12"/>
        <color rgb="FF0D0D0D"/>
        <rFont val="Aptos"/>
        <family val="2"/>
      </rPr>
      <t>14,991</t>
    </r>
    <r>
      <rPr>
        <sz val="12"/>
        <color rgb="FF0D0D0D"/>
        <rFont val="Aptos"/>
        <family val="2"/>
      </rPr>
      <t xml:space="preserve">), while </t>
    </r>
    <r>
      <rPr>
        <sz val="12"/>
        <color rgb="FF0D0D0D"/>
        <rFont val="Aptos"/>
        <family val="2"/>
      </rPr>
      <t>September</t>
    </r>
    <r>
      <rPr>
        <sz val="12"/>
        <color rgb="FF0D0D0D"/>
        <rFont val="Aptos"/>
        <family val="2"/>
      </rPr>
      <t xml:space="preserve"> had the lowest (</t>
    </r>
    <r>
      <rPr>
        <sz val="12"/>
        <color rgb="FF0D0D0D"/>
        <rFont val="Aptos"/>
        <family val="2"/>
      </rPr>
      <t>8,494</t>
    </r>
    <r>
      <rPr>
        <sz val="12"/>
        <color rgb="FF0D0D0D"/>
        <rFont val="Aptos"/>
        <family val="2"/>
      </rPr>
      <t>).</t>
    </r>
  </si>
  <si>
    <r>
      <t>Karan Patel</t>
    </r>
    <r>
      <rPr>
        <sz val="12"/>
        <color rgb="FF0D0D0D"/>
        <rFont val="Aptos"/>
        <family val="2"/>
      </rPr>
      <t xml:space="preserve"> led sales; </t>
    </r>
    <r>
      <rPr>
        <sz val="12"/>
        <color rgb="FF0D0D0D"/>
        <rFont val="Aptos"/>
        <family val="2"/>
      </rPr>
      <t>Rohan Mehta</t>
    </r>
    <r>
      <rPr>
        <sz val="12"/>
        <color rgb="FF0D0D0D"/>
        <rFont val="Aptos"/>
        <family val="2"/>
      </rPr>
      <t xml:space="preserve"> led profit, so the highest-volume seller was not the top profit generator.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</si>
</sst>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#,##0.00;\(#,##0.00\);\-"/>
    <numFmt numFmtId="166" formatCode="0.0%"/>
    <numFmt numFmtId="167" formatCode="mmm\-yyyy"/>
    <numFmt numFmtId="168" formatCode="&quot;₹&quot;#,##0.00"/>
  </numFmts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3"/>
      <color rgb="FF1F4E78"/>
      <name val="Arial"/>
      <family val="2"/>
    </font>
    <font>
      <b/>
      <sz val="15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charset val="1"/>
    </font>
    <font>
      <sz val="11"/>
      <color theme="2" tint="-0.499984740745262"/>
      <name val="Calibri"/>
      <family val="2"/>
      <charset val="1"/>
    </font>
    <font>
      <b/>
      <sz val="16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theme="1"/>
      <name val="Arial Black"/>
      <family val="2"/>
    </font>
    <font>
      <sz val="12"/>
      <color rgb="FF0D0D0D"/>
      <name val="Aptos"/>
      <family val="2"/>
    </font>
    <font>
      <sz val="12"/>
      <color rgb="FF0D0D0D"/>
      <name val="Aptos"/>
      <family val="2"/>
    </font>
    <font>
      <sz val="12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4" fontId="3" fillId="0" borderId="0" xfId="0" applyNumberFormat="1" applyFont="1"/>
    <xf numFmtId="9" fontId="3" fillId="0" borderId="0" xfId="0" applyNumberFormat="1" applyFont="1"/>
    <xf numFmtId="165" fontId="3" fillId="0" borderId="0" xfId="0" applyNumberFormat="1" applyFont="1"/>
    <xf numFmtId="0" fontId="5" fillId="0" borderId="0" xfId="0" applyFont="1"/>
    <xf numFmtId="0" fontId="6" fillId="0" borderId="0" xfId="0" applyFont="1"/>
    <xf numFmtId="3" fontId="7" fillId="0" borderId="0" xfId="0" applyNumberFormat="1" applyFont="1"/>
    <xf numFmtId="0" fontId="8" fillId="0" borderId="0" xfId="0" applyFont="1"/>
    <xf numFmtId="166" fontId="7" fillId="0" borderId="0" xfId="0" applyNumberFormat="1" applyFont="1"/>
    <xf numFmtId="4" fontId="7" fillId="0" borderId="0" xfId="0" applyNumberFormat="1" applyFont="1"/>
    <xf numFmtId="2" fontId="7" fillId="0" borderId="0" xfId="0" applyNumberFormat="1" applyFont="1"/>
    <xf numFmtId="3" fontId="8" fillId="0" borderId="0" xfId="0" applyNumberFormat="1" applyFont="1"/>
    <xf numFmtId="166" fontId="8" fillId="0" borderId="0" xfId="0" applyNumberFormat="1" applyFont="1"/>
    <xf numFmtId="3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7" fontId="8" fillId="0" borderId="0" xfId="0" applyNumberFormat="1" applyFont="1"/>
    <xf numFmtId="166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9" fillId="0" borderId="0" xfId="0" applyFont="1"/>
    <xf numFmtId="165" fontId="0" fillId="0" borderId="0" xfId="0" applyNumberFormat="1"/>
    <xf numFmtId="0" fontId="0" fillId="0" borderId="0" xfId="0" applyAlignment="1">
      <alignment horizontal="left" indent="1"/>
    </xf>
    <xf numFmtId="0" fontId="10" fillId="3" borderId="0" xfId="0" applyFont="1" applyFill="1"/>
    <xf numFmtId="0" fontId="11" fillId="4" borderId="0" xfId="0" applyFont="1" applyFill="1"/>
    <xf numFmtId="0" fontId="12" fillId="4" borderId="0" xfId="0" applyFont="1" applyFill="1"/>
    <xf numFmtId="0" fontId="9" fillId="5" borderId="0" xfId="0" applyFont="1" applyFill="1"/>
    <xf numFmtId="168" fontId="0" fillId="0" borderId="0" xfId="0" applyNumberFormat="1"/>
    <xf numFmtId="3" fontId="0" fillId="0" borderId="0" xfId="0" applyNumberFormat="1"/>
    <xf numFmtId="2" fontId="0" fillId="0" borderId="0" xfId="0" applyNumberFormat="1"/>
    <xf numFmtId="166" fontId="13" fillId="0" borderId="0" xfId="0" applyNumberFormat="1" applyFont="1"/>
    <xf numFmtId="0" fontId="13" fillId="0" borderId="0" xfId="0" applyFont="1"/>
    <xf numFmtId="0" fontId="10" fillId="0" borderId="0" xfId="0" applyFont="1"/>
    <xf numFmtId="0" fontId="0" fillId="0" borderId="0" xfId="0" applyAlignment="1">
      <alignment vertical="top" wrapText="1"/>
    </xf>
    <xf numFmtId="0" fontId="14" fillId="0" borderId="0" xfId="0" applyFont="1"/>
    <xf numFmtId="0" fontId="16" fillId="0" borderId="0" xfId="0" applyFont="1"/>
    <xf numFmtId="0" fontId="15" fillId="0" borderId="0" xfId="0" applyFont="1"/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#,##0.00;\(#,##0.0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Analysis!$A$14:$A$17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Analysis!$B$14:$B$17</c:f>
              <c:numCache>
                <c:formatCode>#,##0</c:formatCode>
                <c:ptCount val="4"/>
                <c:pt idx="0">
                  <c:v>169068.1575</c:v>
                </c:pt>
                <c:pt idx="1">
                  <c:v>178929.03299999982</c:v>
                </c:pt>
                <c:pt idx="2">
                  <c:v>170329.22950000007</c:v>
                </c:pt>
                <c:pt idx="3">
                  <c:v>174483.21350000004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9-4BB3-8B83-284AAD6D6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25485"/>
        <c:axId val="84968360"/>
      </c:barChart>
      <c:catAx>
        <c:axId val="551254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968360"/>
        <c:crosses val="autoZero"/>
        <c:auto val="1"/>
        <c:lblAlgn val="ctr"/>
        <c:lblOffset val="100"/>
        <c:noMultiLvlLbl val="0"/>
      </c:catAx>
      <c:valAx>
        <c:axId val="849683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1254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Analysis!$A$22:$A$26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Analysis!$B$22:$B$26</c:f>
              <c:numCache>
                <c:formatCode>#,##0</c:formatCode>
                <c:ptCount val="5"/>
                <c:pt idx="0">
                  <c:v>330663.06300000026</c:v>
                </c:pt>
                <c:pt idx="1">
                  <c:v>147942.92650000003</c:v>
                </c:pt>
                <c:pt idx="2">
                  <c:v>49082.554499999977</c:v>
                </c:pt>
                <c:pt idx="3">
                  <c:v>94428.272000000041</c:v>
                </c:pt>
                <c:pt idx="4">
                  <c:v>70692.817500000005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6-440A-B86F-266E78F83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6321"/>
        <c:axId val="13138328"/>
      </c:barChart>
      <c:catAx>
        <c:axId val="260632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138328"/>
        <c:crosses val="autoZero"/>
        <c:auto val="1"/>
        <c:lblAlgn val="ctr"/>
        <c:lblOffset val="100"/>
        <c:noMultiLvlLbl val="0"/>
      </c:catAx>
      <c:valAx>
        <c:axId val="1313832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63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Analysis!$B$30</c:f>
              <c:strCache>
                <c:ptCount val="1"/>
                <c:pt idx="0">
                  <c:v>Sales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Analysis!$A$31:$A$42</c:f>
              <c:numCache>
                <c:formatCode>mmm\-yyyy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Analysis!$B$31:$B$42</c:f>
              <c:numCache>
                <c:formatCode>#,##0</c:formatCode>
                <c:ptCount val="12"/>
                <c:pt idx="0">
                  <c:v>57653.931000000019</c:v>
                </c:pt>
                <c:pt idx="1">
                  <c:v>65058.560999999987</c:v>
                </c:pt>
                <c:pt idx="2">
                  <c:v>54263.726999999999</c:v>
                </c:pt>
                <c:pt idx="3">
                  <c:v>63909.560999999994</c:v>
                </c:pt>
                <c:pt idx="4">
                  <c:v>60650.416000000012</c:v>
                </c:pt>
                <c:pt idx="5">
                  <c:v>53418.729499999994</c:v>
                </c:pt>
                <c:pt idx="6">
                  <c:v>55141.331500000008</c:v>
                </c:pt>
                <c:pt idx="7">
                  <c:v>63671.493000000017</c:v>
                </c:pt>
                <c:pt idx="8">
                  <c:v>57260.531500000005</c:v>
                </c:pt>
                <c:pt idx="9">
                  <c:v>59391.194999999978</c:v>
                </c:pt>
                <c:pt idx="10">
                  <c:v>50726.044499999975</c:v>
                </c:pt>
                <c:pt idx="11">
                  <c:v>51664.112499999974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3E-47C2-AF1F-BC3936045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154300"/>
        <c:axId val="78414488"/>
      </c:lineChart>
      <c:dateAx>
        <c:axId val="25154300"/>
        <c:scaling>
          <c:orientation val="minMax"/>
        </c:scaling>
        <c:delete val="0"/>
        <c:axPos val="b"/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414488"/>
        <c:crosses val="autoZero"/>
        <c:auto val="1"/>
        <c:lblOffset val="100"/>
        <c:baseTimeUnit val="months"/>
      </c:dateAx>
      <c:valAx>
        <c:axId val="784144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1543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[Excel_Sales_Project_1000_Rows.xlsx]pivot table!PivotTable1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table'!$A$4:$A$12</c:f>
              <c:strCache>
                <c:ptCount val="8"/>
                <c:pt idx="0">
                  <c:v>Aarav Sharma</c:v>
                </c:pt>
                <c:pt idx="1">
                  <c:v>Ananya Das</c:v>
                </c:pt>
                <c:pt idx="2">
                  <c:v>Karan Patel</c:v>
                </c:pt>
                <c:pt idx="3">
                  <c:v>Meera Reddy</c:v>
                </c:pt>
                <c:pt idx="4">
                  <c:v>Priya Nair</c:v>
                </c:pt>
                <c:pt idx="5">
                  <c:v>Rohan Mehta</c:v>
                </c:pt>
                <c:pt idx="6">
                  <c:v>Sneha Iyer</c:v>
                </c:pt>
                <c:pt idx="7">
                  <c:v>Vikram Singh</c:v>
                </c:pt>
              </c:strCache>
            </c:strRef>
          </c:cat>
          <c:val>
            <c:numRef>
              <c:f>'pivot table'!$B$4:$B$12</c:f>
              <c:numCache>
                <c:formatCode>General</c:formatCode>
                <c:ptCount val="8"/>
                <c:pt idx="0">
                  <c:v>112</c:v>
                </c:pt>
                <c:pt idx="1">
                  <c:v>108</c:v>
                </c:pt>
                <c:pt idx="2">
                  <c:v>138</c:v>
                </c:pt>
                <c:pt idx="3">
                  <c:v>121</c:v>
                </c:pt>
                <c:pt idx="4">
                  <c:v>140</c:v>
                </c:pt>
                <c:pt idx="5">
                  <c:v>128</c:v>
                </c:pt>
                <c:pt idx="6">
                  <c:v>134</c:v>
                </c:pt>
                <c:pt idx="7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2-4B25-8519-D4D0415465C0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table'!$A$4:$A$12</c:f>
              <c:strCache>
                <c:ptCount val="8"/>
                <c:pt idx="0">
                  <c:v>Aarav Sharma</c:v>
                </c:pt>
                <c:pt idx="1">
                  <c:v>Ananya Das</c:v>
                </c:pt>
                <c:pt idx="2">
                  <c:v>Karan Patel</c:v>
                </c:pt>
                <c:pt idx="3">
                  <c:v>Meera Reddy</c:v>
                </c:pt>
                <c:pt idx="4">
                  <c:v>Priya Nair</c:v>
                </c:pt>
                <c:pt idx="5">
                  <c:v>Rohan Mehta</c:v>
                </c:pt>
                <c:pt idx="6">
                  <c:v>Sneha Iyer</c:v>
                </c:pt>
                <c:pt idx="7">
                  <c:v>Vikram Singh</c:v>
                </c:pt>
              </c:strCache>
            </c:strRef>
          </c:cat>
          <c:val>
            <c:numRef>
              <c:f>'pivot table'!$C$4:$C$12</c:f>
              <c:numCache>
                <c:formatCode>#,##0.00</c:formatCode>
                <c:ptCount val="8"/>
                <c:pt idx="0">
                  <c:v>73411.411500000017</c:v>
                </c:pt>
                <c:pt idx="1">
                  <c:v>70757.180499999988</c:v>
                </c:pt>
                <c:pt idx="2">
                  <c:v>106727.4565</c:v>
                </c:pt>
                <c:pt idx="3">
                  <c:v>82557.76400000001</c:v>
                </c:pt>
                <c:pt idx="4">
                  <c:v>97597.533500000005</c:v>
                </c:pt>
                <c:pt idx="5">
                  <c:v>99153.0625</c:v>
                </c:pt>
                <c:pt idx="6">
                  <c:v>83739.372500000027</c:v>
                </c:pt>
                <c:pt idx="7">
                  <c:v>78865.852499999979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22-4B25-8519-D4D0415465C0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table'!$A$4:$A$12</c:f>
              <c:strCache>
                <c:ptCount val="8"/>
                <c:pt idx="0">
                  <c:v>Aarav Sharma</c:v>
                </c:pt>
                <c:pt idx="1">
                  <c:v>Ananya Das</c:v>
                </c:pt>
                <c:pt idx="2">
                  <c:v>Karan Patel</c:v>
                </c:pt>
                <c:pt idx="3">
                  <c:v>Meera Reddy</c:v>
                </c:pt>
                <c:pt idx="4">
                  <c:v>Priya Nair</c:v>
                </c:pt>
                <c:pt idx="5">
                  <c:v>Rohan Mehta</c:v>
                </c:pt>
                <c:pt idx="6">
                  <c:v>Sneha Iyer</c:v>
                </c:pt>
                <c:pt idx="7">
                  <c:v>Vikram Singh</c:v>
                </c:pt>
              </c:strCache>
            </c:strRef>
          </c:cat>
          <c:val>
            <c:numRef>
              <c:f>'pivot table'!$D$4:$D$12</c:f>
              <c:numCache>
                <c:formatCode>#,##0.00;\(#,##0.00\);\-</c:formatCode>
                <c:ptCount val="8"/>
                <c:pt idx="0">
                  <c:v>16418.161499999998</c:v>
                </c:pt>
                <c:pt idx="1">
                  <c:v>15585.4005</c:v>
                </c:pt>
                <c:pt idx="2">
                  <c:v>21688.876500000002</c:v>
                </c:pt>
                <c:pt idx="3">
                  <c:v>19780.793999999998</c:v>
                </c:pt>
                <c:pt idx="4">
                  <c:v>18769.503499999992</c:v>
                </c:pt>
                <c:pt idx="5">
                  <c:v>21912.202499999996</c:v>
                </c:pt>
                <c:pt idx="6">
                  <c:v>15879.062499999993</c:v>
                </c:pt>
                <c:pt idx="7">
                  <c:v>16565.952500000003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22-4B25-8519-D4D041546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4166768"/>
        <c:axId val="2054169168"/>
      </c:barChart>
      <c:catAx>
        <c:axId val="205416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69168"/>
        <c:crosses val="autoZero"/>
        <c:auto val="1"/>
        <c:lblAlgn val="ctr"/>
        <c:lblOffset val="100"/>
        <c:noMultiLvlLbl val="0"/>
      </c:catAx>
      <c:valAx>
        <c:axId val="205416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6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[Excel_Sales_Project_1000_Rows.xlsx]pivot table!PivotTable2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table'!$G$3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table'!$F$4:$F$17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'pivot table'!$G$4:$G$17</c:f>
              <c:numCache>
                <c:formatCode>General</c:formatCode>
                <c:ptCount val="12"/>
                <c:pt idx="0">
                  <c:v>76</c:v>
                </c:pt>
                <c:pt idx="1">
                  <c:v>86</c:v>
                </c:pt>
                <c:pt idx="2">
                  <c:v>73</c:v>
                </c:pt>
                <c:pt idx="3">
                  <c:v>86</c:v>
                </c:pt>
                <c:pt idx="4">
                  <c:v>105</c:v>
                </c:pt>
                <c:pt idx="5">
                  <c:v>77</c:v>
                </c:pt>
                <c:pt idx="6">
                  <c:v>72</c:v>
                </c:pt>
                <c:pt idx="7">
                  <c:v>95</c:v>
                </c:pt>
                <c:pt idx="8">
                  <c:v>65</c:v>
                </c:pt>
                <c:pt idx="9">
                  <c:v>96</c:v>
                </c:pt>
                <c:pt idx="10">
                  <c:v>78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61-40EE-A9F3-D8B7D0A91A2A}"/>
            </c:ext>
          </c:extLst>
        </c:ser>
        <c:ser>
          <c:idx val="1"/>
          <c:order val="1"/>
          <c:tx>
            <c:strRef>
              <c:f>'pivot table'!$H$3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table'!$F$4:$F$17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'pivot table'!$H$4:$H$17</c:f>
              <c:numCache>
                <c:formatCode>#,##0.00;\(#,##0.00\);\-</c:formatCode>
                <c:ptCount val="12"/>
                <c:pt idx="0">
                  <c:v>13836.601000000001</c:v>
                </c:pt>
                <c:pt idx="1">
                  <c:v>11736.741000000004</c:v>
                </c:pt>
                <c:pt idx="2">
                  <c:v>10384.146999999997</c:v>
                </c:pt>
                <c:pt idx="3">
                  <c:v>13819.880999999996</c:v>
                </c:pt>
                <c:pt idx="4">
                  <c:v>12445.135999999997</c:v>
                </c:pt>
                <c:pt idx="5">
                  <c:v>14467.599500000002</c:v>
                </c:pt>
                <c:pt idx="6">
                  <c:v>10426.151499999998</c:v>
                </c:pt>
                <c:pt idx="7">
                  <c:v>14990.563000000004</c:v>
                </c:pt>
                <c:pt idx="8">
                  <c:v>8494.3014999999978</c:v>
                </c:pt>
                <c:pt idx="9">
                  <c:v>12760.105000000001</c:v>
                </c:pt>
                <c:pt idx="10">
                  <c:v>12120.754499999997</c:v>
                </c:pt>
                <c:pt idx="11">
                  <c:v>11117.972499999998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61-40EE-A9F3-D8B7D0A91A2A}"/>
            </c:ext>
          </c:extLst>
        </c:ser>
        <c:ser>
          <c:idx val="2"/>
          <c:order val="2"/>
          <c:tx>
            <c:strRef>
              <c:f>'pivot table'!$I$3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table'!$F$4:$F$17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'pivot table'!$I$4:$I$17</c:f>
              <c:numCache>
                <c:formatCode>#,##0.00</c:formatCode>
                <c:ptCount val="12"/>
                <c:pt idx="0">
                  <c:v>57653.931000000019</c:v>
                </c:pt>
                <c:pt idx="1">
                  <c:v>65058.560999999987</c:v>
                </c:pt>
                <c:pt idx="2">
                  <c:v>54263.726999999999</c:v>
                </c:pt>
                <c:pt idx="3">
                  <c:v>63909.560999999994</c:v>
                </c:pt>
                <c:pt idx="4">
                  <c:v>60650.416000000012</c:v>
                </c:pt>
                <c:pt idx="5">
                  <c:v>53418.729499999994</c:v>
                </c:pt>
                <c:pt idx="6">
                  <c:v>55141.331500000008</c:v>
                </c:pt>
                <c:pt idx="7">
                  <c:v>63671.493000000017</c:v>
                </c:pt>
                <c:pt idx="8">
                  <c:v>57260.531500000005</c:v>
                </c:pt>
                <c:pt idx="9">
                  <c:v>59391.194999999978</c:v>
                </c:pt>
                <c:pt idx="10">
                  <c:v>50726.044499999975</c:v>
                </c:pt>
                <c:pt idx="11">
                  <c:v>51664.112499999974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61-40EE-A9F3-D8B7D0A91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29808"/>
        <c:axId val="170033168"/>
      </c:lineChart>
      <c:catAx>
        <c:axId val="17002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33168"/>
        <c:crosses val="autoZero"/>
        <c:auto val="1"/>
        <c:lblAlgn val="ctr"/>
        <c:lblOffset val="100"/>
        <c:noMultiLvlLbl val="0"/>
      </c:catAx>
      <c:valAx>
        <c:axId val="17003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2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[Excel_Sales_Project_1000_Rows.xlsx]pivot table!PivotTable1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table'!$A$4:$A$12</c:f>
              <c:strCache>
                <c:ptCount val="8"/>
                <c:pt idx="0">
                  <c:v>Aarav Sharma</c:v>
                </c:pt>
                <c:pt idx="1">
                  <c:v>Ananya Das</c:v>
                </c:pt>
                <c:pt idx="2">
                  <c:v>Karan Patel</c:v>
                </c:pt>
                <c:pt idx="3">
                  <c:v>Meera Reddy</c:v>
                </c:pt>
                <c:pt idx="4">
                  <c:v>Priya Nair</c:v>
                </c:pt>
                <c:pt idx="5">
                  <c:v>Rohan Mehta</c:v>
                </c:pt>
                <c:pt idx="6">
                  <c:v>Sneha Iyer</c:v>
                </c:pt>
                <c:pt idx="7">
                  <c:v>Vikram Singh</c:v>
                </c:pt>
              </c:strCache>
            </c:strRef>
          </c:cat>
          <c:val>
            <c:numRef>
              <c:f>'pivot table'!$B$4:$B$12</c:f>
              <c:numCache>
                <c:formatCode>General</c:formatCode>
                <c:ptCount val="8"/>
                <c:pt idx="0">
                  <c:v>112</c:v>
                </c:pt>
                <c:pt idx="1">
                  <c:v>108</c:v>
                </c:pt>
                <c:pt idx="2">
                  <c:v>138</c:v>
                </c:pt>
                <c:pt idx="3">
                  <c:v>121</c:v>
                </c:pt>
                <c:pt idx="4">
                  <c:v>140</c:v>
                </c:pt>
                <c:pt idx="5">
                  <c:v>128</c:v>
                </c:pt>
                <c:pt idx="6">
                  <c:v>134</c:v>
                </c:pt>
                <c:pt idx="7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0-4615-A0E2-AACEAE0298B3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table'!$A$4:$A$12</c:f>
              <c:strCache>
                <c:ptCount val="8"/>
                <c:pt idx="0">
                  <c:v>Aarav Sharma</c:v>
                </c:pt>
                <c:pt idx="1">
                  <c:v>Ananya Das</c:v>
                </c:pt>
                <c:pt idx="2">
                  <c:v>Karan Patel</c:v>
                </c:pt>
                <c:pt idx="3">
                  <c:v>Meera Reddy</c:v>
                </c:pt>
                <c:pt idx="4">
                  <c:v>Priya Nair</c:v>
                </c:pt>
                <c:pt idx="5">
                  <c:v>Rohan Mehta</c:v>
                </c:pt>
                <c:pt idx="6">
                  <c:v>Sneha Iyer</c:v>
                </c:pt>
                <c:pt idx="7">
                  <c:v>Vikram Singh</c:v>
                </c:pt>
              </c:strCache>
            </c:strRef>
          </c:cat>
          <c:val>
            <c:numRef>
              <c:f>'pivot table'!$C$4:$C$12</c:f>
              <c:numCache>
                <c:formatCode>#,##0.00</c:formatCode>
                <c:ptCount val="8"/>
                <c:pt idx="0">
                  <c:v>73411.411500000017</c:v>
                </c:pt>
                <c:pt idx="1">
                  <c:v>70757.180499999988</c:v>
                </c:pt>
                <c:pt idx="2">
                  <c:v>106727.4565</c:v>
                </c:pt>
                <c:pt idx="3">
                  <c:v>82557.76400000001</c:v>
                </c:pt>
                <c:pt idx="4">
                  <c:v>97597.533500000005</c:v>
                </c:pt>
                <c:pt idx="5">
                  <c:v>99153.0625</c:v>
                </c:pt>
                <c:pt idx="6">
                  <c:v>83739.372500000027</c:v>
                </c:pt>
                <c:pt idx="7">
                  <c:v>78865.852499999979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F0-4615-A0E2-AACEAE0298B3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table'!$A$4:$A$12</c:f>
              <c:strCache>
                <c:ptCount val="8"/>
                <c:pt idx="0">
                  <c:v>Aarav Sharma</c:v>
                </c:pt>
                <c:pt idx="1">
                  <c:v>Ananya Das</c:v>
                </c:pt>
                <c:pt idx="2">
                  <c:v>Karan Patel</c:v>
                </c:pt>
                <c:pt idx="3">
                  <c:v>Meera Reddy</c:v>
                </c:pt>
                <c:pt idx="4">
                  <c:v>Priya Nair</c:v>
                </c:pt>
                <c:pt idx="5">
                  <c:v>Rohan Mehta</c:v>
                </c:pt>
                <c:pt idx="6">
                  <c:v>Sneha Iyer</c:v>
                </c:pt>
                <c:pt idx="7">
                  <c:v>Vikram Singh</c:v>
                </c:pt>
              </c:strCache>
            </c:strRef>
          </c:cat>
          <c:val>
            <c:numRef>
              <c:f>'pivot table'!$D$4:$D$12</c:f>
              <c:numCache>
                <c:formatCode>#,##0.00;\(#,##0.00\);\-</c:formatCode>
                <c:ptCount val="8"/>
                <c:pt idx="0">
                  <c:v>16418.161499999998</c:v>
                </c:pt>
                <c:pt idx="1">
                  <c:v>15585.4005</c:v>
                </c:pt>
                <c:pt idx="2">
                  <c:v>21688.876500000002</c:v>
                </c:pt>
                <c:pt idx="3">
                  <c:v>19780.793999999998</c:v>
                </c:pt>
                <c:pt idx="4">
                  <c:v>18769.503499999992</c:v>
                </c:pt>
                <c:pt idx="5">
                  <c:v>21912.202499999996</c:v>
                </c:pt>
                <c:pt idx="6">
                  <c:v>15879.062499999993</c:v>
                </c:pt>
                <c:pt idx="7">
                  <c:v>16565.952500000003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F0-4615-A0E2-AACEAE029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4166768"/>
        <c:axId val="2054169168"/>
      </c:barChart>
      <c:catAx>
        <c:axId val="205416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69168"/>
        <c:crosses val="autoZero"/>
        <c:auto val="1"/>
        <c:lblAlgn val="ctr"/>
        <c:lblOffset val="100"/>
        <c:noMultiLvlLbl val="0"/>
      </c:catAx>
      <c:valAx>
        <c:axId val="205416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6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[Excel_Sales_Project_1000_Rows.xlsx]pivot table!PivotTable2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table'!$G$3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table'!$F$4:$F$17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'pivot table'!$G$4:$G$17</c:f>
              <c:numCache>
                <c:formatCode>General</c:formatCode>
                <c:ptCount val="12"/>
                <c:pt idx="0">
                  <c:v>76</c:v>
                </c:pt>
                <c:pt idx="1">
                  <c:v>86</c:v>
                </c:pt>
                <c:pt idx="2">
                  <c:v>73</c:v>
                </c:pt>
                <c:pt idx="3">
                  <c:v>86</c:v>
                </c:pt>
                <c:pt idx="4">
                  <c:v>105</c:v>
                </c:pt>
                <c:pt idx="5">
                  <c:v>77</c:v>
                </c:pt>
                <c:pt idx="6">
                  <c:v>72</c:v>
                </c:pt>
                <c:pt idx="7">
                  <c:v>95</c:v>
                </c:pt>
                <c:pt idx="8">
                  <c:v>65</c:v>
                </c:pt>
                <c:pt idx="9">
                  <c:v>96</c:v>
                </c:pt>
                <c:pt idx="10">
                  <c:v>78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2-4BBE-AD91-524964149C09}"/>
            </c:ext>
          </c:extLst>
        </c:ser>
        <c:ser>
          <c:idx val="1"/>
          <c:order val="1"/>
          <c:tx>
            <c:strRef>
              <c:f>'pivot table'!$H$3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table'!$F$4:$F$17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'pivot table'!$H$4:$H$17</c:f>
              <c:numCache>
                <c:formatCode>#,##0.00;\(#,##0.00\);\-</c:formatCode>
                <c:ptCount val="12"/>
                <c:pt idx="0">
                  <c:v>13836.601000000001</c:v>
                </c:pt>
                <c:pt idx="1">
                  <c:v>11736.741000000004</c:v>
                </c:pt>
                <c:pt idx="2">
                  <c:v>10384.146999999997</c:v>
                </c:pt>
                <c:pt idx="3">
                  <c:v>13819.880999999996</c:v>
                </c:pt>
                <c:pt idx="4">
                  <c:v>12445.135999999997</c:v>
                </c:pt>
                <c:pt idx="5">
                  <c:v>14467.599500000002</c:v>
                </c:pt>
                <c:pt idx="6">
                  <c:v>10426.151499999998</c:v>
                </c:pt>
                <c:pt idx="7">
                  <c:v>14990.563000000004</c:v>
                </c:pt>
                <c:pt idx="8">
                  <c:v>8494.3014999999978</c:v>
                </c:pt>
                <c:pt idx="9">
                  <c:v>12760.105000000001</c:v>
                </c:pt>
                <c:pt idx="10">
                  <c:v>12120.754499999997</c:v>
                </c:pt>
                <c:pt idx="11">
                  <c:v>11117.972499999998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B2-4BBE-AD91-524964149C09}"/>
            </c:ext>
          </c:extLst>
        </c:ser>
        <c:ser>
          <c:idx val="2"/>
          <c:order val="2"/>
          <c:tx>
            <c:strRef>
              <c:f>'pivot table'!$I$3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table'!$F$4:$F$17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'pivot table'!$I$4:$I$17</c:f>
              <c:numCache>
                <c:formatCode>#,##0.00</c:formatCode>
                <c:ptCount val="12"/>
                <c:pt idx="0">
                  <c:v>57653.931000000019</c:v>
                </c:pt>
                <c:pt idx="1">
                  <c:v>65058.560999999987</c:v>
                </c:pt>
                <c:pt idx="2">
                  <c:v>54263.726999999999</c:v>
                </c:pt>
                <c:pt idx="3">
                  <c:v>63909.560999999994</c:v>
                </c:pt>
                <c:pt idx="4">
                  <c:v>60650.416000000012</c:v>
                </c:pt>
                <c:pt idx="5">
                  <c:v>53418.729499999994</c:v>
                </c:pt>
                <c:pt idx="6">
                  <c:v>55141.331500000008</c:v>
                </c:pt>
                <c:pt idx="7">
                  <c:v>63671.493000000017</c:v>
                </c:pt>
                <c:pt idx="8">
                  <c:v>57260.531500000005</c:v>
                </c:pt>
                <c:pt idx="9">
                  <c:v>59391.194999999978</c:v>
                </c:pt>
                <c:pt idx="10">
                  <c:v>50726.044499999975</c:v>
                </c:pt>
                <c:pt idx="11">
                  <c:v>51664.112499999974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B2-4BBE-AD91-524964149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29808"/>
        <c:axId val="170033168"/>
      </c:lineChart>
      <c:catAx>
        <c:axId val="17002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33168"/>
        <c:crosses val="autoZero"/>
        <c:auto val="1"/>
        <c:lblAlgn val="ctr"/>
        <c:lblOffset val="100"/>
        <c:noMultiLvlLbl val="0"/>
      </c:catAx>
      <c:valAx>
        <c:axId val="17003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2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Analysis!$A$14:$A$17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Analysis!$B$14:$B$17</c:f>
              <c:numCache>
                <c:formatCode>#,##0</c:formatCode>
                <c:ptCount val="4"/>
                <c:pt idx="0">
                  <c:v>169068.1575</c:v>
                </c:pt>
                <c:pt idx="1">
                  <c:v>178929.03299999982</c:v>
                </c:pt>
                <c:pt idx="2">
                  <c:v>170329.22950000007</c:v>
                </c:pt>
                <c:pt idx="3">
                  <c:v>174483.21350000004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A-448C-A9F9-56F353345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25485"/>
        <c:axId val="84968360"/>
      </c:barChart>
      <c:catAx>
        <c:axId val="551254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968360"/>
        <c:crosses val="autoZero"/>
        <c:auto val="1"/>
        <c:lblAlgn val="ctr"/>
        <c:lblOffset val="100"/>
        <c:noMultiLvlLbl val="0"/>
      </c:catAx>
      <c:valAx>
        <c:axId val="849683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1254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Analysis!$A$22:$A$26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Analysis!$B$22:$B$26</c:f>
              <c:numCache>
                <c:formatCode>#,##0</c:formatCode>
                <c:ptCount val="5"/>
                <c:pt idx="0">
                  <c:v>330663.06300000026</c:v>
                </c:pt>
                <c:pt idx="1">
                  <c:v>147942.92650000003</c:v>
                </c:pt>
                <c:pt idx="2">
                  <c:v>49082.554499999977</c:v>
                </c:pt>
                <c:pt idx="3">
                  <c:v>94428.272000000041</c:v>
                </c:pt>
                <c:pt idx="4">
                  <c:v>70692.817500000005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B-4C88-B8A2-5459CC1C6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6321"/>
        <c:axId val="13138328"/>
      </c:barChart>
      <c:catAx>
        <c:axId val="260632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138328"/>
        <c:crosses val="autoZero"/>
        <c:auto val="1"/>
        <c:lblAlgn val="ctr"/>
        <c:lblOffset val="100"/>
        <c:noMultiLvlLbl val="0"/>
      </c:catAx>
      <c:valAx>
        <c:axId val="13138328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63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[Excel_Sales_Project_1000_Rows.xlsx]PIVOT TABLE 1!PivotTable7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 1'!$A$4:$A$25</c:f>
              <c:strCache>
                <c:ptCount val="21"/>
                <c:pt idx="0">
                  <c:v>Laptop</c:v>
                </c:pt>
                <c:pt idx="1">
                  <c:v>Bicycle</c:v>
                </c:pt>
                <c:pt idx="2">
                  <c:v>Blender</c:v>
                </c:pt>
                <c:pt idx="3">
                  <c:v>Bookshelf</c:v>
                </c:pt>
                <c:pt idx="4">
                  <c:v>Coffee Maker</c:v>
                </c:pt>
                <c:pt idx="5">
                  <c:v>Cookware Set</c:v>
                </c:pt>
                <c:pt idx="6">
                  <c:v>Desk</c:v>
                </c:pt>
                <c:pt idx="7">
                  <c:v>Dumbbell Set</c:v>
                </c:pt>
                <c:pt idx="8">
                  <c:v>Headphones</c:v>
                </c:pt>
                <c:pt idx="9">
                  <c:v>Jacket</c:v>
                </c:pt>
                <c:pt idx="10">
                  <c:v>Jeans</c:v>
                </c:pt>
                <c:pt idx="11">
                  <c:v>Office Chair</c:v>
                </c:pt>
                <c:pt idx="12">
                  <c:v>Smartphone</c:v>
                </c:pt>
                <c:pt idx="13">
                  <c:v>Smartwatch</c:v>
                </c:pt>
                <c:pt idx="14">
                  <c:v>Sneakers</c:v>
                </c:pt>
                <c:pt idx="15">
                  <c:v>Sofa</c:v>
                </c:pt>
                <c:pt idx="16">
                  <c:v>Tablet</c:v>
                </c:pt>
                <c:pt idx="17">
                  <c:v>Tennis Racket</c:v>
                </c:pt>
                <c:pt idx="18">
                  <c:v>T-Shirt</c:v>
                </c:pt>
                <c:pt idx="19">
                  <c:v>Vacuum Cleaner</c:v>
                </c:pt>
                <c:pt idx="20">
                  <c:v>Yoga Mat</c:v>
                </c:pt>
              </c:strCache>
            </c:strRef>
          </c:cat>
          <c:val>
            <c:numRef>
              <c:f>'PIVOT TABLE 1'!$B$4:$B$25</c:f>
              <c:numCache>
                <c:formatCode>#,##0.00</c:formatCode>
                <c:ptCount val="21"/>
                <c:pt idx="0">
                  <c:v>108555.22900000002</c:v>
                </c:pt>
                <c:pt idx="1">
                  <c:v>50977.361499999999</c:v>
                </c:pt>
                <c:pt idx="2">
                  <c:v>10418.1405</c:v>
                </c:pt>
                <c:pt idx="3">
                  <c:v>13209.914000000001</c:v>
                </c:pt>
                <c:pt idx="4">
                  <c:v>16507.601499999997</c:v>
                </c:pt>
                <c:pt idx="5">
                  <c:v>29523.106000000003</c:v>
                </c:pt>
                <c:pt idx="6">
                  <c:v>37812.628000000004</c:v>
                </c:pt>
                <c:pt idx="7">
                  <c:v>4770.0130000000008</c:v>
                </c:pt>
                <c:pt idx="8">
                  <c:v>26087.842999999997</c:v>
                </c:pt>
                <c:pt idx="9">
                  <c:v>18609.129000000001</c:v>
                </c:pt>
                <c:pt idx="10">
                  <c:v>9081.4495000000024</c:v>
                </c:pt>
                <c:pt idx="11">
                  <c:v>18364.444999999996</c:v>
                </c:pt>
                <c:pt idx="12">
                  <c:v>82166.046999999977</c:v>
                </c:pt>
                <c:pt idx="13">
                  <c:v>42373.090999999993</c:v>
                </c:pt>
                <c:pt idx="14">
                  <c:v>17456.034499999998</c:v>
                </c:pt>
                <c:pt idx="15">
                  <c:v>78555.939499999993</c:v>
                </c:pt>
                <c:pt idx="16">
                  <c:v>71480.853000000003</c:v>
                </c:pt>
                <c:pt idx="17">
                  <c:v>11901.200999999999</c:v>
                </c:pt>
                <c:pt idx="18">
                  <c:v>3935.9415000000008</c:v>
                </c:pt>
                <c:pt idx="19">
                  <c:v>37979.424000000006</c:v>
                </c:pt>
                <c:pt idx="20">
                  <c:v>3044.2420000000002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6-448C-9B2E-30B8B2ADC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81190320"/>
        <c:axId val="1481187440"/>
        <c:axId val="0"/>
      </c:bar3DChart>
      <c:catAx>
        <c:axId val="148119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187440"/>
        <c:crosses val="autoZero"/>
        <c:auto val="1"/>
        <c:lblAlgn val="ctr"/>
        <c:lblOffset val="100"/>
        <c:noMultiLvlLbl val="0"/>
      </c:catAx>
      <c:valAx>
        <c:axId val="148118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19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[Excel_Sales_Project_1000_Rows.xlsx]PIVOT TABLE 1!PivotTable8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1'!$F$14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1'!$E$15:$E$20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'PIVOT TABLE 1'!$F$15:$F$20</c:f>
              <c:numCache>
                <c:formatCode>#,##0.00</c:formatCode>
                <c:ptCount val="5"/>
                <c:pt idx="0">
                  <c:v>144704.26249999998</c:v>
                </c:pt>
                <c:pt idx="1">
                  <c:v>164123.58449999988</c:v>
                </c:pt>
                <c:pt idx="2">
                  <c:v>142715.86950000006</c:v>
                </c:pt>
                <c:pt idx="3">
                  <c:v>150134.90250000003</c:v>
                </c:pt>
                <c:pt idx="4">
                  <c:v>91131.014500000019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F-45DB-831B-50A27CB86B70}"/>
            </c:ext>
          </c:extLst>
        </c:ser>
        <c:ser>
          <c:idx val="1"/>
          <c:order val="1"/>
          <c:tx>
            <c:strRef>
              <c:f>'PIVOT TABLE 1'!$G$14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1'!$E$15:$E$20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'PIVOT TABLE 1'!$G$15:$G$20</c:f>
              <c:numCache>
                <c:formatCode>General</c:formatCode>
                <c:ptCount val="5"/>
                <c:pt idx="0">
                  <c:v>526</c:v>
                </c:pt>
                <c:pt idx="1">
                  <c:v>699</c:v>
                </c:pt>
                <c:pt idx="2">
                  <c:v>610</c:v>
                </c:pt>
                <c:pt idx="3">
                  <c:v>600</c:v>
                </c:pt>
                <c:pt idx="4">
                  <c:v>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0F-45DB-831B-50A27CB86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971568"/>
        <c:axId val="163972048"/>
      </c:barChart>
      <c:catAx>
        <c:axId val="16397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72048"/>
        <c:crosses val="autoZero"/>
        <c:auto val="1"/>
        <c:lblAlgn val="ctr"/>
        <c:lblOffset val="100"/>
        <c:noMultiLvlLbl val="0"/>
      </c:catAx>
      <c:valAx>
        <c:axId val="16397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7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[Excel_Sales_Project_1000_Rows.xlsx]PIVOT TABLE 1!PivotTable9</c:name>
    <c:fmtId val="2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1'!$F$23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1'!$E$24:$E$36</c:f>
              <c:strCache>
                <c:ptCount val="12"/>
                <c:pt idx="0">
                  <c:v>Bihar</c:v>
                </c:pt>
                <c:pt idx="1">
                  <c:v>Delhi</c:v>
                </c:pt>
                <c:pt idx="2">
                  <c:v>Gujarat</c:v>
                </c:pt>
                <c:pt idx="3">
                  <c:v>Haryana</c:v>
                </c:pt>
                <c:pt idx="4">
                  <c:v>Karnataka</c:v>
                </c:pt>
                <c:pt idx="5">
                  <c:v>Kerala</c:v>
                </c:pt>
                <c:pt idx="6">
                  <c:v>Maharashtra</c:v>
                </c:pt>
                <c:pt idx="7">
                  <c:v>Odisha</c:v>
                </c:pt>
                <c:pt idx="8">
                  <c:v>Punjab</c:v>
                </c:pt>
                <c:pt idx="9">
                  <c:v>Rajasthan</c:v>
                </c:pt>
                <c:pt idx="10">
                  <c:v>Tamil Nadu</c:v>
                </c:pt>
                <c:pt idx="11">
                  <c:v>West Bengal</c:v>
                </c:pt>
              </c:strCache>
            </c:strRef>
          </c:cat>
          <c:val>
            <c:numRef>
              <c:f>'PIVOT TABLE 1'!$F$24:$F$36</c:f>
              <c:numCache>
                <c:formatCode>#,##0.00</c:formatCode>
                <c:ptCount val="12"/>
                <c:pt idx="0">
                  <c:v>60623.980499999991</c:v>
                </c:pt>
                <c:pt idx="1">
                  <c:v>63517.300999999999</c:v>
                </c:pt>
                <c:pt idx="2">
                  <c:v>48501.652500000004</c:v>
                </c:pt>
                <c:pt idx="3">
                  <c:v>53695.371499999987</c:v>
                </c:pt>
                <c:pt idx="4">
                  <c:v>64580.199499999973</c:v>
                </c:pt>
                <c:pt idx="5">
                  <c:v>59303.759500000022</c:v>
                </c:pt>
                <c:pt idx="6">
                  <c:v>50107.029999999992</c:v>
                </c:pt>
                <c:pt idx="7">
                  <c:v>46261.174500000016</c:v>
                </c:pt>
                <c:pt idx="8">
                  <c:v>51855.485000000001</c:v>
                </c:pt>
                <c:pt idx="9">
                  <c:v>75874.531000000032</c:v>
                </c:pt>
                <c:pt idx="10">
                  <c:v>55045.074000000001</c:v>
                </c:pt>
                <c:pt idx="11">
                  <c:v>63444.074499999973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9-4FC6-BA88-F289DF278A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3164256"/>
        <c:axId val="2063163296"/>
      </c:barChart>
      <c:catAx>
        <c:axId val="206316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63296"/>
        <c:crosses val="autoZero"/>
        <c:auto val="1"/>
        <c:lblAlgn val="ctr"/>
        <c:lblOffset val="100"/>
        <c:noMultiLvlLbl val="0"/>
      </c:catAx>
      <c:valAx>
        <c:axId val="206316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6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emf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145440</xdr:rowOff>
    </xdr:from>
    <xdr:to>
      <xdr:col>13</xdr:col>
      <xdr:colOff>398880</xdr:colOff>
      <xdr:row>14</xdr:row>
      <xdr:rowOff>159120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16</xdr:row>
      <xdr:rowOff>116280</xdr:rowOff>
    </xdr:from>
    <xdr:to>
      <xdr:col>13</xdr:col>
      <xdr:colOff>398880</xdr:colOff>
      <xdr:row>29</xdr:row>
      <xdr:rowOff>130320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31</xdr:row>
      <xdr:rowOff>86760</xdr:rowOff>
    </xdr:from>
    <xdr:to>
      <xdr:col>13</xdr:col>
      <xdr:colOff>398880</xdr:colOff>
      <xdr:row>44</xdr:row>
      <xdr:rowOff>115560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42</xdr:row>
      <xdr:rowOff>32732</xdr:rowOff>
    </xdr:from>
    <xdr:to>
      <xdr:col>3</xdr:col>
      <xdr:colOff>800100</xdr:colOff>
      <xdr:row>56</xdr:row>
      <xdr:rowOff>171645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DC2200-CD0A-4A18-A9EC-E45E6FCE0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61</xdr:row>
      <xdr:rowOff>78558</xdr:rowOff>
    </xdr:from>
    <xdr:to>
      <xdr:col>3</xdr:col>
      <xdr:colOff>800100</xdr:colOff>
      <xdr:row>76</xdr:row>
      <xdr:rowOff>60359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58007D-C791-4C4B-BCCC-B7D6F224A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680825</xdr:colOff>
      <xdr:row>87</xdr:row>
      <xdr:rowOff>176753</xdr:rowOff>
    </xdr:from>
    <xdr:to>
      <xdr:col>11</xdr:col>
      <xdr:colOff>360052</xdr:colOff>
      <xdr:row>91</xdr:row>
      <xdr:rowOff>52371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AA2249B-8153-7CE8-1627-4B86F2D896C3}"/>
            </a:ext>
          </a:extLst>
        </xdr:cNvPr>
        <xdr:cNvSpPr txBox="1"/>
      </xdr:nvSpPr>
      <xdr:spPr>
        <a:xfrm>
          <a:off x="2219227" y="16313609"/>
          <a:ext cx="7207578" cy="608814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4000" b="1">
              <a:solidFill>
                <a:schemeClr val="accent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sales dashboard</a:t>
          </a:r>
        </a:p>
        <a:p>
          <a:endParaRPr lang="en-IN" sz="4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955771</xdr:colOff>
      <xdr:row>92</xdr:row>
      <xdr:rowOff>6545</xdr:rowOff>
    </xdr:from>
    <xdr:to>
      <xdr:col>3</xdr:col>
      <xdr:colOff>307679</xdr:colOff>
      <xdr:row>96</xdr:row>
      <xdr:rowOff>39278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6EF48815-71E5-664F-9A1A-F5D8EE24171B}"/>
            </a:ext>
          </a:extLst>
        </xdr:cNvPr>
        <xdr:cNvGrpSpPr/>
      </xdr:nvGrpSpPr>
      <xdr:grpSpPr>
        <a:xfrm>
          <a:off x="2487242" y="17637133"/>
          <a:ext cx="1593084" cy="779792"/>
          <a:chOff x="2003194" y="17164640"/>
          <a:chExt cx="1590774" cy="765928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EF1ABCFE-18FA-E161-E7D0-B412FAC96425}"/>
              </a:ext>
            </a:extLst>
          </xdr:cNvPr>
          <xdr:cNvSpPr/>
        </xdr:nvSpPr>
        <xdr:spPr>
          <a:xfrm>
            <a:off x="2003194" y="17164640"/>
            <a:ext cx="1590774" cy="765928"/>
          </a:xfrm>
          <a:prstGeom prst="round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5CCD8797-9577-F6F1-0133-070C1946D8BB}"/>
              </a:ext>
            </a:extLst>
          </xdr:cNvPr>
          <xdr:cNvSpPr/>
        </xdr:nvSpPr>
        <xdr:spPr>
          <a:xfrm>
            <a:off x="2258506" y="17321752"/>
            <a:ext cx="1047422" cy="471340"/>
          </a:xfrm>
          <a:prstGeom prst="round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N" sz="800" b="1">
                <a:latin typeface="Arial Black" panose="020B0A04020102020204" pitchFamily="34" charset="0"/>
              </a:rPr>
              <a:t>TOTAL</a:t>
            </a:r>
            <a:r>
              <a:rPr lang="en-IN" sz="800" b="1" baseline="0">
                <a:latin typeface="Arial Black" panose="020B0A04020102020204" pitchFamily="34" charset="0"/>
              </a:rPr>
              <a:t> </a:t>
            </a:r>
            <a:r>
              <a:rPr lang="en-IN" sz="800" b="1">
                <a:latin typeface="Arial Black" panose="020B0A04020102020204" pitchFamily="34" charset="0"/>
              </a:rPr>
              <a:t>SALES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N" sz="10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692,810</a:t>
            </a:r>
          </a:p>
        </xdr:txBody>
      </xdr:sp>
    </xdr:grpSp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6350</xdr:colOff>
      <xdr:row>4</xdr:row>
      <xdr:rowOff>6350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75A0ECE-1ECF-FFEC-6F3F-D2B4ABDA2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6700" y="635000"/>
          <a:ext cx="11239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504069</xdr:colOff>
      <xdr:row>92</xdr:row>
      <xdr:rowOff>6548</xdr:rowOff>
    </xdr:from>
    <xdr:to>
      <xdr:col>5</xdr:col>
      <xdr:colOff>418967</xdr:colOff>
      <xdr:row>96</xdr:row>
      <xdr:rowOff>39281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8A7E429D-B4D9-D2EA-43B0-237F13D47128}"/>
            </a:ext>
          </a:extLst>
        </xdr:cNvPr>
        <xdr:cNvGrpSpPr/>
      </xdr:nvGrpSpPr>
      <xdr:grpSpPr>
        <a:xfrm>
          <a:off x="4276716" y="17637136"/>
          <a:ext cx="1595780" cy="779792"/>
          <a:chOff x="4117678" y="17131908"/>
          <a:chExt cx="1590774" cy="765928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0C297535-CB48-F3AE-28BA-E5B03ACA5567}"/>
              </a:ext>
            </a:extLst>
          </xdr:cNvPr>
          <xdr:cNvSpPr/>
        </xdr:nvSpPr>
        <xdr:spPr>
          <a:xfrm>
            <a:off x="4117678" y="17131908"/>
            <a:ext cx="1590774" cy="765928"/>
          </a:xfrm>
          <a:prstGeom prst="round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626B5AFC-1A6D-E44E-E48E-F9A31C54DDE1}"/>
              </a:ext>
            </a:extLst>
          </xdr:cNvPr>
          <xdr:cNvSpPr/>
        </xdr:nvSpPr>
        <xdr:spPr>
          <a:xfrm>
            <a:off x="4287887" y="17302113"/>
            <a:ext cx="1250360" cy="477887"/>
          </a:xfrm>
          <a:prstGeom prst="round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N" sz="800" b="1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rPr>
              <a:t>TOTAL</a:t>
            </a:r>
            <a:r>
              <a:rPr lang="en-IN" sz="1100"/>
              <a:t> </a:t>
            </a:r>
            <a:r>
              <a:rPr lang="en-IN" sz="800" b="1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rPr>
              <a:t>PROFIT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N" sz="800" b="1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rPr>
              <a:t>146,600</a:t>
            </a:r>
          </a:p>
          <a:p>
            <a:pPr algn="l"/>
            <a:endParaRPr lang="en-IN" sz="1100"/>
          </a:p>
        </xdr:txBody>
      </xdr:sp>
    </xdr:grpSp>
    <xdr:clientData/>
  </xdr:twoCellAnchor>
  <xdr:twoCellAnchor>
    <xdr:from>
      <xdr:col>5</xdr:col>
      <xdr:colOff>595720</xdr:colOff>
      <xdr:row>91</xdr:row>
      <xdr:rowOff>157112</xdr:rowOff>
    </xdr:from>
    <xdr:to>
      <xdr:col>8</xdr:col>
      <xdr:colOff>379690</xdr:colOff>
      <xdr:row>96</xdr:row>
      <xdr:rowOff>6546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9D6A9BAA-151C-E80D-CE17-9883165E01B6}"/>
            </a:ext>
          </a:extLst>
        </xdr:cNvPr>
        <xdr:cNvGrpSpPr/>
      </xdr:nvGrpSpPr>
      <xdr:grpSpPr>
        <a:xfrm>
          <a:off x="6049249" y="17600936"/>
          <a:ext cx="1576912" cy="783257"/>
          <a:chOff x="6153607" y="17118814"/>
          <a:chExt cx="1590774" cy="765928"/>
        </a:xfrm>
      </xdr:grpSpPr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A9467E8F-122D-EDEC-3FD9-43636237A0E9}"/>
              </a:ext>
            </a:extLst>
          </xdr:cNvPr>
          <xdr:cNvSpPr/>
        </xdr:nvSpPr>
        <xdr:spPr>
          <a:xfrm>
            <a:off x="6153607" y="17118814"/>
            <a:ext cx="1590774" cy="765928"/>
          </a:xfrm>
          <a:prstGeom prst="round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8E500D3A-3826-85E3-949A-93116A74F4CB}"/>
              </a:ext>
            </a:extLst>
          </xdr:cNvPr>
          <xdr:cNvSpPr/>
        </xdr:nvSpPr>
        <xdr:spPr>
          <a:xfrm>
            <a:off x="6186340" y="17256289"/>
            <a:ext cx="1518763" cy="549897"/>
          </a:xfrm>
          <a:prstGeom prst="round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N" sz="800" b="1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rPr>
              <a:t>TOTAL ORDERS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N" sz="800" b="1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rPr>
              <a:t>1000</a:t>
            </a:r>
          </a:p>
        </xdr:txBody>
      </xdr:sp>
    </xdr:grpSp>
    <xdr:clientData/>
  </xdr:twoCellAnchor>
  <xdr:twoCellAnchor>
    <xdr:from>
      <xdr:col>8</xdr:col>
      <xdr:colOff>549894</xdr:colOff>
      <xdr:row>91</xdr:row>
      <xdr:rowOff>150567</xdr:rowOff>
    </xdr:from>
    <xdr:to>
      <xdr:col>11</xdr:col>
      <xdr:colOff>333863</xdr:colOff>
      <xdr:row>96</xdr:row>
      <xdr:rowOff>1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CA61AE49-82B9-48F2-B521-EB3F7B48068B}"/>
            </a:ext>
          </a:extLst>
        </xdr:cNvPr>
        <xdr:cNvGrpSpPr/>
      </xdr:nvGrpSpPr>
      <xdr:grpSpPr>
        <a:xfrm>
          <a:off x="7796365" y="17594391"/>
          <a:ext cx="1576910" cy="783257"/>
          <a:chOff x="7836029" y="17125362"/>
          <a:chExt cx="1590774" cy="765928"/>
        </a:xfrm>
      </xdr:grpSpPr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911F83E-3933-B7BB-1AED-112609E66607}"/>
              </a:ext>
            </a:extLst>
          </xdr:cNvPr>
          <xdr:cNvSpPr/>
        </xdr:nvSpPr>
        <xdr:spPr>
          <a:xfrm>
            <a:off x="7836029" y="17125362"/>
            <a:ext cx="1590774" cy="765928"/>
          </a:xfrm>
          <a:prstGeom prst="round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9F15C617-1813-86A9-091F-11DB116BF806}"/>
              </a:ext>
            </a:extLst>
          </xdr:cNvPr>
          <xdr:cNvSpPr/>
        </xdr:nvSpPr>
        <xdr:spPr>
          <a:xfrm>
            <a:off x="7966959" y="17210464"/>
            <a:ext cx="1328917" cy="635000"/>
          </a:xfrm>
          <a:prstGeom prst="round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N" sz="800" b="1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rPr>
              <a:t>PROFIT MARGIN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N" sz="800" b="1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rPr>
              <a:t>21%</a:t>
            </a:r>
          </a:p>
        </xdr:txBody>
      </xdr:sp>
    </xdr:grpSp>
    <xdr:clientData/>
  </xdr:twoCellAnchor>
  <xdr:twoCellAnchor>
    <xdr:from>
      <xdr:col>0</xdr:col>
      <xdr:colOff>242216</xdr:colOff>
      <xdr:row>97</xdr:row>
      <xdr:rowOff>39279</xdr:rowOff>
    </xdr:from>
    <xdr:to>
      <xdr:col>3</xdr:col>
      <xdr:colOff>72010</xdr:colOff>
      <xdr:row>110</xdr:row>
      <xdr:rowOff>91649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8AAFE1D-AEA9-4361-97FE-D66EC0B95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261855</xdr:colOff>
      <xdr:row>97</xdr:row>
      <xdr:rowOff>13093</xdr:rowOff>
    </xdr:from>
    <xdr:to>
      <xdr:col>9</xdr:col>
      <xdr:colOff>0</xdr:colOff>
      <xdr:row>110</xdr:row>
      <xdr:rowOff>117835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9312AE90-BCCC-4D0C-A9BA-F8C3ECEC4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9</xdr:col>
      <xdr:colOff>183299</xdr:colOff>
      <xdr:row>97</xdr:row>
      <xdr:rowOff>13093</xdr:rowOff>
    </xdr:from>
    <xdr:to>
      <xdr:col>15</xdr:col>
      <xdr:colOff>529807</xdr:colOff>
      <xdr:row>110</xdr:row>
      <xdr:rowOff>104742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0DA585E-88F1-4741-995C-EB27B92C3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163661</xdr:colOff>
      <xdr:row>111</xdr:row>
      <xdr:rowOff>157113</xdr:rowOff>
    </xdr:from>
    <xdr:to>
      <xdr:col>5</xdr:col>
      <xdr:colOff>448880</xdr:colOff>
      <xdr:row>126</xdr:row>
      <xdr:rowOff>111289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72D1C8C-5C3A-4D03-B54C-AF6BAC94A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208017</xdr:colOff>
      <xdr:row>112</xdr:row>
      <xdr:rowOff>0</xdr:rowOff>
    </xdr:from>
    <xdr:to>
      <xdr:col>15</xdr:col>
      <xdr:colOff>514569</xdr:colOff>
      <xdr:row>126</xdr:row>
      <xdr:rowOff>141249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834FDC3-111E-4081-A9DB-CF90041DE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150394</xdr:colOff>
      <xdr:row>128</xdr:row>
      <xdr:rowOff>16710</xdr:rowOff>
    </xdr:from>
    <xdr:to>
      <xdr:col>4</xdr:col>
      <xdr:colOff>110873</xdr:colOff>
      <xdr:row>142</xdr:row>
      <xdr:rowOff>154220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0941A10-90F1-4A80-B2C6-6C57FC4DF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433413</xdr:colOff>
      <xdr:row>128</xdr:row>
      <xdr:rowOff>30238</xdr:rowOff>
    </xdr:from>
    <xdr:to>
      <xdr:col>15</xdr:col>
      <xdr:colOff>554364</xdr:colOff>
      <xdr:row>143</xdr:row>
      <xdr:rowOff>11692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9A4D7333-56DD-4208-AC9B-904E16D58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21.788884374997" createdVersion="8" refreshedVersion="8" minRefreshableVersion="3" recordCount="1000" xr:uid="{4F7CEAAF-13A6-43BA-9522-FEC165129655}">
  <cacheSource type="worksheet">
    <worksheetSource name="Table1"/>
  </cacheSource>
  <cacheFields count="24">
    <cacheField name="Order ID" numFmtId="0">
      <sharedItems count="1000">
        <s v="ORD-10001"/>
        <s v="ORD-10002"/>
        <s v="ORD-10003"/>
        <s v="ORD-10004"/>
        <s v="ORD-10005"/>
        <s v="ORD-10006"/>
        <s v="ORD-10007"/>
        <s v="ORD-10008"/>
        <s v="ORD-10009"/>
        <s v="ORD-10010"/>
        <s v="ORD-10011"/>
        <s v="ORD-10012"/>
        <s v="ORD-10013"/>
        <s v="ORD-10014"/>
        <s v="ORD-10015"/>
        <s v="ORD-10016"/>
        <s v="ORD-10017"/>
        <s v="ORD-10018"/>
        <s v="ORD-10019"/>
        <s v="ORD-10020"/>
        <s v="ORD-10021"/>
        <s v="ORD-10022"/>
        <s v="ORD-10023"/>
        <s v="ORD-10024"/>
        <s v="ORD-10025"/>
        <s v="ORD-10026"/>
        <s v="ORD-10027"/>
        <s v="ORD-10028"/>
        <s v="ORD-10029"/>
        <s v="ORD-10030"/>
        <s v="ORD-10031"/>
        <s v="ORD-10032"/>
        <s v="ORD-10033"/>
        <s v="ORD-10034"/>
        <s v="ORD-10035"/>
        <s v="ORD-10036"/>
        <s v="ORD-10037"/>
        <s v="ORD-10038"/>
        <s v="ORD-10039"/>
        <s v="ORD-10040"/>
        <s v="ORD-10041"/>
        <s v="ORD-10042"/>
        <s v="ORD-10043"/>
        <s v="ORD-10044"/>
        <s v="ORD-10045"/>
        <s v="ORD-10046"/>
        <s v="ORD-10047"/>
        <s v="ORD-10048"/>
        <s v="ORD-10049"/>
        <s v="ORD-10050"/>
        <s v="ORD-10051"/>
        <s v="ORD-10052"/>
        <s v="ORD-10053"/>
        <s v="ORD-10054"/>
        <s v="ORD-10055"/>
        <s v="ORD-10056"/>
        <s v="ORD-10057"/>
        <s v="ORD-10058"/>
        <s v="ORD-10059"/>
        <s v="ORD-10060"/>
        <s v="ORD-10061"/>
        <s v="ORD-10062"/>
        <s v="ORD-10063"/>
        <s v="ORD-10064"/>
        <s v="ORD-10065"/>
        <s v="ORD-10066"/>
        <s v="ORD-10067"/>
        <s v="ORD-10068"/>
        <s v="ORD-10069"/>
        <s v="ORD-10070"/>
        <s v="ORD-10071"/>
        <s v="ORD-10072"/>
        <s v="ORD-10073"/>
        <s v="ORD-10074"/>
        <s v="ORD-10075"/>
        <s v="ORD-10076"/>
        <s v="ORD-10077"/>
        <s v="ORD-10078"/>
        <s v="ORD-10079"/>
        <s v="ORD-10080"/>
        <s v="ORD-10081"/>
        <s v="ORD-10082"/>
        <s v="ORD-10083"/>
        <s v="ORD-10084"/>
        <s v="ORD-10085"/>
        <s v="ORD-10086"/>
        <s v="ORD-10087"/>
        <s v="ORD-10088"/>
        <s v="ORD-10089"/>
        <s v="ORD-10090"/>
        <s v="ORD-10091"/>
        <s v="ORD-10092"/>
        <s v="ORD-10093"/>
        <s v="ORD-10094"/>
        <s v="ORD-10095"/>
        <s v="ORD-10096"/>
        <s v="ORD-10097"/>
        <s v="ORD-10098"/>
        <s v="ORD-10099"/>
        <s v="ORD-10100"/>
        <s v="ORD-10101"/>
        <s v="ORD-10102"/>
        <s v="ORD-10103"/>
        <s v="ORD-10104"/>
        <s v="ORD-10105"/>
        <s v="ORD-10106"/>
        <s v="ORD-10107"/>
        <s v="ORD-10108"/>
        <s v="ORD-10109"/>
        <s v="ORD-10110"/>
        <s v="ORD-10111"/>
        <s v="ORD-10112"/>
        <s v="ORD-10113"/>
        <s v="ORD-10114"/>
        <s v="ORD-10115"/>
        <s v="ORD-10116"/>
        <s v="ORD-10117"/>
        <s v="ORD-10118"/>
        <s v="ORD-10119"/>
        <s v="ORD-10120"/>
        <s v="ORD-10121"/>
        <s v="ORD-10122"/>
        <s v="ORD-10123"/>
        <s v="ORD-10124"/>
        <s v="ORD-10125"/>
        <s v="ORD-10126"/>
        <s v="ORD-10127"/>
        <s v="ORD-10128"/>
        <s v="ORD-10129"/>
        <s v="ORD-10130"/>
        <s v="ORD-10131"/>
        <s v="ORD-10132"/>
        <s v="ORD-10133"/>
        <s v="ORD-10134"/>
        <s v="ORD-10135"/>
        <s v="ORD-10136"/>
        <s v="ORD-10137"/>
        <s v="ORD-10138"/>
        <s v="ORD-10139"/>
        <s v="ORD-10140"/>
        <s v="ORD-10141"/>
        <s v="ORD-10142"/>
        <s v="ORD-10143"/>
        <s v="ORD-10144"/>
        <s v="ORD-10145"/>
        <s v="ORD-10146"/>
        <s v="ORD-10147"/>
        <s v="ORD-10148"/>
        <s v="ORD-10149"/>
        <s v="ORD-10150"/>
        <s v="ORD-10151"/>
        <s v="ORD-10152"/>
        <s v="ORD-10153"/>
        <s v="ORD-10154"/>
        <s v="ORD-10155"/>
        <s v="ORD-10156"/>
        <s v="ORD-10157"/>
        <s v="ORD-10158"/>
        <s v="ORD-10159"/>
        <s v="ORD-10160"/>
        <s v="ORD-10161"/>
        <s v="ORD-10162"/>
        <s v="ORD-10163"/>
        <s v="ORD-10164"/>
        <s v="ORD-10165"/>
        <s v="ORD-10166"/>
        <s v="ORD-10167"/>
        <s v="ORD-10168"/>
        <s v="ORD-10169"/>
        <s v="ORD-10170"/>
        <s v="ORD-10171"/>
        <s v="ORD-10172"/>
        <s v="ORD-10173"/>
        <s v="ORD-10174"/>
        <s v="ORD-10175"/>
        <s v="ORD-10176"/>
        <s v="ORD-10177"/>
        <s v="ORD-10178"/>
        <s v="ORD-10179"/>
        <s v="ORD-10180"/>
        <s v="ORD-10181"/>
        <s v="ORD-10182"/>
        <s v="ORD-10183"/>
        <s v="ORD-10184"/>
        <s v="ORD-10185"/>
        <s v="ORD-10186"/>
        <s v="ORD-10187"/>
        <s v="ORD-10188"/>
        <s v="ORD-10189"/>
        <s v="ORD-10190"/>
        <s v="ORD-10191"/>
        <s v="ORD-10192"/>
        <s v="ORD-10193"/>
        <s v="ORD-10194"/>
        <s v="ORD-10195"/>
        <s v="ORD-10196"/>
        <s v="ORD-10197"/>
        <s v="ORD-10198"/>
        <s v="ORD-10199"/>
        <s v="ORD-10200"/>
        <s v="ORD-10201"/>
        <s v="ORD-10202"/>
        <s v="ORD-10203"/>
        <s v="ORD-10204"/>
        <s v="ORD-10205"/>
        <s v="ORD-10206"/>
        <s v="ORD-10207"/>
        <s v="ORD-10208"/>
        <s v="ORD-10209"/>
        <s v="ORD-10210"/>
        <s v="ORD-10211"/>
        <s v="ORD-10212"/>
        <s v="ORD-10213"/>
        <s v="ORD-10214"/>
        <s v="ORD-10215"/>
        <s v="ORD-10216"/>
        <s v="ORD-10217"/>
        <s v="ORD-10218"/>
        <s v="ORD-10219"/>
        <s v="ORD-10220"/>
        <s v="ORD-10221"/>
        <s v="ORD-10222"/>
        <s v="ORD-10223"/>
        <s v="ORD-10224"/>
        <s v="ORD-10225"/>
        <s v="ORD-10226"/>
        <s v="ORD-10227"/>
        <s v="ORD-10228"/>
        <s v="ORD-10229"/>
        <s v="ORD-10230"/>
        <s v="ORD-10231"/>
        <s v="ORD-10232"/>
        <s v="ORD-10233"/>
        <s v="ORD-10234"/>
        <s v="ORD-10235"/>
        <s v="ORD-10236"/>
        <s v="ORD-10237"/>
        <s v="ORD-10238"/>
        <s v="ORD-10239"/>
        <s v="ORD-10240"/>
        <s v="ORD-10241"/>
        <s v="ORD-10242"/>
        <s v="ORD-10243"/>
        <s v="ORD-10244"/>
        <s v="ORD-10245"/>
        <s v="ORD-10246"/>
        <s v="ORD-10247"/>
        <s v="ORD-10248"/>
        <s v="ORD-10249"/>
        <s v="ORD-10250"/>
        <s v="ORD-10251"/>
        <s v="ORD-10252"/>
        <s v="ORD-10253"/>
        <s v="ORD-10254"/>
        <s v="ORD-10255"/>
        <s v="ORD-10256"/>
        <s v="ORD-10257"/>
        <s v="ORD-10258"/>
        <s v="ORD-10259"/>
        <s v="ORD-10260"/>
        <s v="ORD-10261"/>
        <s v="ORD-10262"/>
        <s v="ORD-10263"/>
        <s v="ORD-10264"/>
        <s v="ORD-10265"/>
        <s v="ORD-10266"/>
        <s v="ORD-10267"/>
        <s v="ORD-10268"/>
        <s v="ORD-10269"/>
        <s v="ORD-10270"/>
        <s v="ORD-10271"/>
        <s v="ORD-10272"/>
        <s v="ORD-10273"/>
        <s v="ORD-10274"/>
        <s v="ORD-10275"/>
        <s v="ORD-10276"/>
        <s v="ORD-10277"/>
        <s v="ORD-10278"/>
        <s v="ORD-10279"/>
        <s v="ORD-10280"/>
        <s v="ORD-10281"/>
        <s v="ORD-10282"/>
        <s v="ORD-10283"/>
        <s v="ORD-10284"/>
        <s v="ORD-10285"/>
        <s v="ORD-10286"/>
        <s v="ORD-10287"/>
        <s v="ORD-10288"/>
        <s v="ORD-10289"/>
        <s v="ORD-10290"/>
        <s v="ORD-10291"/>
        <s v="ORD-10292"/>
        <s v="ORD-10293"/>
        <s v="ORD-10294"/>
        <s v="ORD-10295"/>
        <s v="ORD-10296"/>
        <s v="ORD-10297"/>
        <s v="ORD-10298"/>
        <s v="ORD-10299"/>
        <s v="ORD-10300"/>
        <s v="ORD-10301"/>
        <s v="ORD-10302"/>
        <s v="ORD-10303"/>
        <s v="ORD-10304"/>
        <s v="ORD-10305"/>
        <s v="ORD-10306"/>
        <s v="ORD-10307"/>
        <s v="ORD-10308"/>
        <s v="ORD-10309"/>
        <s v="ORD-10310"/>
        <s v="ORD-10311"/>
        <s v="ORD-10312"/>
        <s v="ORD-10313"/>
        <s v="ORD-10314"/>
        <s v="ORD-10315"/>
        <s v="ORD-10316"/>
        <s v="ORD-10317"/>
        <s v="ORD-10318"/>
        <s v="ORD-10319"/>
        <s v="ORD-10320"/>
        <s v="ORD-10321"/>
        <s v="ORD-10322"/>
        <s v="ORD-10323"/>
        <s v="ORD-10324"/>
        <s v="ORD-10325"/>
        <s v="ORD-10326"/>
        <s v="ORD-10327"/>
        <s v="ORD-10328"/>
        <s v="ORD-10329"/>
        <s v="ORD-10330"/>
        <s v="ORD-10331"/>
        <s v="ORD-10332"/>
        <s v="ORD-10333"/>
        <s v="ORD-10334"/>
        <s v="ORD-10335"/>
        <s v="ORD-10336"/>
        <s v="ORD-10337"/>
        <s v="ORD-10338"/>
        <s v="ORD-10339"/>
        <s v="ORD-10340"/>
        <s v="ORD-10341"/>
        <s v="ORD-10342"/>
        <s v="ORD-10343"/>
        <s v="ORD-10344"/>
        <s v="ORD-10345"/>
        <s v="ORD-10346"/>
        <s v="ORD-10347"/>
        <s v="ORD-10348"/>
        <s v="ORD-10349"/>
        <s v="ORD-10350"/>
        <s v="ORD-10351"/>
        <s v="ORD-10352"/>
        <s v="ORD-10353"/>
        <s v="ORD-10354"/>
        <s v="ORD-10355"/>
        <s v="ORD-10356"/>
        <s v="ORD-10357"/>
        <s v="ORD-10358"/>
        <s v="ORD-10359"/>
        <s v="ORD-10360"/>
        <s v="ORD-10361"/>
        <s v="ORD-10362"/>
        <s v="ORD-10363"/>
        <s v="ORD-10364"/>
        <s v="ORD-10365"/>
        <s v="ORD-10366"/>
        <s v="ORD-10367"/>
        <s v="ORD-10368"/>
        <s v="ORD-10369"/>
        <s v="ORD-10370"/>
        <s v="ORD-10371"/>
        <s v="ORD-10372"/>
        <s v="ORD-10373"/>
        <s v="ORD-10374"/>
        <s v="ORD-10375"/>
        <s v="ORD-10376"/>
        <s v="ORD-10377"/>
        <s v="ORD-10378"/>
        <s v="ORD-10379"/>
        <s v="ORD-10380"/>
        <s v="ORD-10381"/>
        <s v="ORD-10382"/>
        <s v="ORD-10383"/>
        <s v="ORD-10384"/>
        <s v="ORD-10385"/>
        <s v="ORD-10386"/>
        <s v="ORD-10387"/>
        <s v="ORD-10388"/>
        <s v="ORD-10389"/>
        <s v="ORD-10390"/>
        <s v="ORD-10391"/>
        <s v="ORD-10392"/>
        <s v="ORD-10393"/>
        <s v="ORD-10394"/>
        <s v="ORD-10395"/>
        <s v="ORD-10396"/>
        <s v="ORD-10397"/>
        <s v="ORD-10398"/>
        <s v="ORD-10399"/>
        <s v="ORD-10400"/>
        <s v="ORD-10401"/>
        <s v="ORD-10402"/>
        <s v="ORD-10403"/>
        <s v="ORD-10404"/>
        <s v="ORD-10405"/>
        <s v="ORD-10406"/>
        <s v="ORD-10407"/>
        <s v="ORD-10408"/>
        <s v="ORD-10409"/>
        <s v="ORD-10410"/>
        <s v="ORD-10411"/>
        <s v="ORD-10412"/>
        <s v="ORD-10413"/>
        <s v="ORD-10414"/>
        <s v="ORD-10415"/>
        <s v="ORD-10416"/>
        <s v="ORD-10417"/>
        <s v="ORD-10418"/>
        <s v="ORD-10419"/>
        <s v="ORD-10420"/>
        <s v="ORD-10421"/>
        <s v="ORD-10422"/>
        <s v="ORD-10423"/>
        <s v="ORD-10424"/>
        <s v="ORD-10425"/>
        <s v="ORD-10426"/>
        <s v="ORD-10427"/>
        <s v="ORD-10428"/>
        <s v="ORD-10429"/>
        <s v="ORD-10430"/>
        <s v="ORD-10431"/>
        <s v="ORD-10432"/>
        <s v="ORD-10433"/>
        <s v="ORD-10434"/>
        <s v="ORD-10435"/>
        <s v="ORD-10436"/>
        <s v="ORD-10437"/>
        <s v="ORD-10438"/>
        <s v="ORD-10439"/>
        <s v="ORD-10440"/>
        <s v="ORD-10441"/>
        <s v="ORD-10442"/>
        <s v="ORD-10443"/>
        <s v="ORD-10444"/>
        <s v="ORD-10445"/>
        <s v="ORD-10446"/>
        <s v="ORD-10447"/>
        <s v="ORD-10448"/>
        <s v="ORD-10449"/>
        <s v="ORD-10450"/>
        <s v="ORD-10451"/>
        <s v="ORD-10452"/>
        <s v="ORD-10453"/>
        <s v="ORD-10454"/>
        <s v="ORD-10455"/>
        <s v="ORD-10456"/>
        <s v="ORD-10457"/>
        <s v="ORD-10458"/>
        <s v="ORD-10459"/>
        <s v="ORD-10460"/>
        <s v="ORD-10461"/>
        <s v="ORD-10462"/>
        <s v="ORD-10463"/>
        <s v="ORD-10464"/>
        <s v="ORD-10465"/>
        <s v="ORD-10466"/>
        <s v="ORD-10467"/>
        <s v="ORD-10468"/>
        <s v="ORD-10469"/>
        <s v="ORD-10470"/>
        <s v="ORD-10471"/>
        <s v="ORD-10472"/>
        <s v="ORD-10473"/>
        <s v="ORD-10474"/>
        <s v="ORD-10475"/>
        <s v="ORD-10476"/>
        <s v="ORD-10477"/>
        <s v="ORD-10478"/>
        <s v="ORD-10479"/>
        <s v="ORD-10480"/>
        <s v="ORD-10481"/>
        <s v="ORD-10482"/>
        <s v="ORD-10483"/>
        <s v="ORD-10484"/>
        <s v="ORD-10485"/>
        <s v="ORD-10486"/>
        <s v="ORD-10487"/>
        <s v="ORD-10488"/>
        <s v="ORD-10489"/>
        <s v="ORD-10490"/>
        <s v="ORD-10491"/>
        <s v="ORD-10492"/>
        <s v="ORD-10493"/>
        <s v="ORD-10494"/>
        <s v="ORD-10495"/>
        <s v="ORD-10496"/>
        <s v="ORD-10497"/>
        <s v="ORD-10498"/>
        <s v="ORD-10499"/>
        <s v="ORD-10500"/>
        <s v="ORD-10501"/>
        <s v="ORD-10502"/>
        <s v="ORD-10503"/>
        <s v="ORD-10504"/>
        <s v="ORD-10505"/>
        <s v="ORD-10506"/>
        <s v="ORD-10507"/>
        <s v="ORD-10508"/>
        <s v="ORD-10509"/>
        <s v="ORD-10510"/>
        <s v="ORD-10511"/>
        <s v="ORD-10512"/>
        <s v="ORD-10513"/>
        <s v="ORD-10514"/>
        <s v="ORD-10515"/>
        <s v="ORD-10516"/>
        <s v="ORD-10517"/>
        <s v="ORD-10518"/>
        <s v="ORD-10519"/>
        <s v="ORD-10520"/>
        <s v="ORD-10521"/>
        <s v="ORD-10522"/>
        <s v="ORD-10523"/>
        <s v="ORD-10524"/>
        <s v="ORD-10525"/>
        <s v="ORD-10526"/>
        <s v="ORD-10527"/>
        <s v="ORD-10528"/>
        <s v="ORD-10529"/>
        <s v="ORD-10530"/>
        <s v="ORD-10531"/>
        <s v="ORD-10532"/>
        <s v="ORD-10533"/>
        <s v="ORD-10534"/>
        <s v="ORD-10535"/>
        <s v="ORD-10536"/>
        <s v="ORD-10537"/>
        <s v="ORD-10538"/>
        <s v="ORD-10539"/>
        <s v="ORD-10540"/>
        <s v="ORD-10541"/>
        <s v="ORD-10542"/>
        <s v="ORD-10543"/>
        <s v="ORD-10544"/>
        <s v="ORD-10545"/>
        <s v="ORD-10546"/>
        <s v="ORD-10547"/>
        <s v="ORD-10548"/>
        <s v="ORD-10549"/>
        <s v="ORD-10550"/>
        <s v="ORD-10551"/>
        <s v="ORD-10552"/>
        <s v="ORD-10553"/>
        <s v="ORD-10554"/>
        <s v="ORD-10555"/>
        <s v="ORD-10556"/>
        <s v="ORD-10557"/>
        <s v="ORD-10558"/>
        <s v="ORD-10559"/>
        <s v="ORD-10560"/>
        <s v="ORD-10561"/>
        <s v="ORD-10562"/>
        <s v="ORD-10563"/>
        <s v="ORD-10564"/>
        <s v="ORD-10565"/>
        <s v="ORD-10566"/>
        <s v="ORD-10567"/>
        <s v="ORD-10568"/>
        <s v="ORD-10569"/>
        <s v="ORD-10570"/>
        <s v="ORD-10571"/>
        <s v="ORD-10572"/>
        <s v="ORD-10573"/>
        <s v="ORD-10574"/>
        <s v="ORD-10575"/>
        <s v="ORD-10576"/>
        <s v="ORD-10577"/>
        <s v="ORD-10578"/>
        <s v="ORD-10579"/>
        <s v="ORD-10580"/>
        <s v="ORD-10581"/>
        <s v="ORD-10582"/>
        <s v="ORD-10583"/>
        <s v="ORD-10584"/>
        <s v="ORD-10585"/>
        <s v="ORD-10586"/>
        <s v="ORD-10587"/>
        <s v="ORD-10588"/>
        <s v="ORD-10589"/>
        <s v="ORD-10590"/>
        <s v="ORD-10591"/>
        <s v="ORD-10592"/>
        <s v="ORD-10593"/>
        <s v="ORD-10594"/>
        <s v="ORD-10595"/>
        <s v="ORD-10596"/>
        <s v="ORD-10597"/>
        <s v="ORD-10598"/>
        <s v="ORD-10599"/>
        <s v="ORD-10600"/>
        <s v="ORD-10601"/>
        <s v="ORD-10602"/>
        <s v="ORD-10603"/>
        <s v="ORD-10604"/>
        <s v="ORD-10605"/>
        <s v="ORD-10606"/>
        <s v="ORD-10607"/>
        <s v="ORD-10608"/>
        <s v="ORD-10609"/>
        <s v="ORD-10610"/>
        <s v="ORD-10611"/>
        <s v="ORD-10612"/>
        <s v="ORD-10613"/>
        <s v="ORD-10614"/>
        <s v="ORD-10615"/>
        <s v="ORD-10616"/>
        <s v="ORD-10617"/>
        <s v="ORD-10618"/>
        <s v="ORD-10619"/>
        <s v="ORD-10620"/>
        <s v="ORD-10621"/>
        <s v="ORD-10622"/>
        <s v="ORD-10623"/>
        <s v="ORD-10624"/>
        <s v="ORD-10625"/>
        <s v="ORD-10626"/>
        <s v="ORD-10627"/>
        <s v="ORD-10628"/>
        <s v="ORD-10629"/>
        <s v="ORD-10630"/>
        <s v="ORD-10631"/>
        <s v="ORD-10632"/>
        <s v="ORD-10633"/>
        <s v="ORD-10634"/>
        <s v="ORD-10635"/>
        <s v="ORD-10636"/>
        <s v="ORD-10637"/>
        <s v="ORD-10638"/>
        <s v="ORD-10639"/>
        <s v="ORD-10640"/>
        <s v="ORD-10641"/>
        <s v="ORD-10642"/>
        <s v="ORD-10643"/>
        <s v="ORD-10644"/>
        <s v="ORD-10645"/>
        <s v="ORD-10646"/>
        <s v="ORD-10647"/>
        <s v="ORD-10648"/>
        <s v="ORD-10649"/>
        <s v="ORD-10650"/>
        <s v="ORD-10651"/>
        <s v="ORD-10652"/>
        <s v="ORD-10653"/>
        <s v="ORD-10654"/>
        <s v="ORD-10655"/>
        <s v="ORD-10656"/>
        <s v="ORD-10657"/>
        <s v="ORD-10658"/>
        <s v="ORD-10659"/>
        <s v="ORD-10660"/>
        <s v="ORD-10661"/>
        <s v="ORD-10662"/>
        <s v="ORD-10663"/>
        <s v="ORD-10664"/>
        <s v="ORD-10665"/>
        <s v="ORD-10666"/>
        <s v="ORD-10667"/>
        <s v="ORD-10668"/>
        <s v="ORD-10669"/>
        <s v="ORD-10670"/>
        <s v="ORD-10671"/>
        <s v="ORD-10672"/>
        <s v="ORD-10673"/>
        <s v="ORD-10674"/>
        <s v="ORD-10675"/>
        <s v="ORD-10676"/>
        <s v="ORD-10677"/>
        <s v="ORD-10678"/>
        <s v="ORD-10679"/>
        <s v="ORD-10680"/>
        <s v="ORD-10681"/>
        <s v="ORD-10682"/>
        <s v="ORD-10683"/>
        <s v="ORD-10684"/>
        <s v="ORD-10685"/>
        <s v="ORD-10686"/>
        <s v="ORD-10687"/>
        <s v="ORD-10688"/>
        <s v="ORD-10689"/>
        <s v="ORD-10690"/>
        <s v="ORD-10691"/>
        <s v="ORD-10692"/>
        <s v="ORD-10693"/>
        <s v="ORD-10694"/>
        <s v="ORD-10695"/>
        <s v="ORD-10696"/>
        <s v="ORD-10697"/>
        <s v="ORD-10698"/>
        <s v="ORD-10699"/>
        <s v="ORD-10700"/>
        <s v="ORD-10701"/>
        <s v="ORD-10702"/>
        <s v="ORD-10703"/>
        <s v="ORD-10704"/>
        <s v="ORD-10705"/>
        <s v="ORD-10706"/>
        <s v="ORD-10707"/>
        <s v="ORD-10708"/>
        <s v="ORD-10709"/>
        <s v="ORD-10710"/>
        <s v="ORD-10711"/>
        <s v="ORD-10712"/>
        <s v="ORD-10713"/>
        <s v="ORD-10714"/>
        <s v="ORD-10715"/>
        <s v="ORD-10716"/>
        <s v="ORD-10717"/>
        <s v="ORD-10718"/>
        <s v="ORD-10719"/>
        <s v="ORD-10720"/>
        <s v="ORD-10721"/>
        <s v="ORD-10722"/>
        <s v="ORD-10723"/>
        <s v="ORD-10724"/>
        <s v="ORD-10725"/>
        <s v="ORD-10726"/>
        <s v="ORD-10727"/>
        <s v="ORD-10728"/>
        <s v="ORD-10729"/>
        <s v="ORD-10730"/>
        <s v="ORD-10731"/>
        <s v="ORD-10732"/>
        <s v="ORD-10733"/>
        <s v="ORD-10734"/>
        <s v="ORD-10735"/>
        <s v="ORD-10736"/>
        <s v="ORD-10737"/>
        <s v="ORD-10738"/>
        <s v="ORD-10739"/>
        <s v="ORD-10740"/>
        <s v="ORD-10741"/>
        <s v="ORD-10742"/>
        <s v="ORD-10743"/>
        <s v="ORD-10744"/>
        <s v="ORD-10745"/>
        <s v="ORD-10746"/>
        <s v="ORD-10747"/>
        <s v="ORD-10748"/>
        <s v="ORD-10749"/>
        <s v="ORD-10750"/>
        <s v="ORD-10751"/>
        <s v="ORD-10752"/>
        <s v="ORD-10753"/>
        <s v="ORD-10754"/>
        <s v="ORD-10755"/>
        <s v="ORD-10756"/>
        <s v="ORD-10757"/>
        <s v="ORD-10758"/>
        <s v="ORD-10759"/>
        <s v="ORD-10760"/>
        <s v="ORD-10761"/>
        <s v="ORD-10762"/>
        <s v="ORD-10763"/>
        <s v="ORD-10764"/>
        <s v="ORD-10765"/>
        <s v="ORD-10766"/>
        <s v="ORD-10767"/>
        <s v="ORD-10768"/>
        <s v="ORD-10769"/>
        <s v="ORD-10770"/>
        <s v="ORD-10771"/>
        <s v="ORD-10772"/>
        <s v="ORD-10773"/>
        <s v="ORD-10774"/>
        <s v="ORD-10775"/>
        <s v="ORD-10776"/>
        <s v="ORD-10777"/>
        <s v="ORD-10778"/>
        <s v="ORD-10779"/>
        <s v="ORD-10780"/>
        <s v="ORD-10781"/>
        <s v="ORD-10782"/>
        <s v="ORD-10783"/>
        <s v="ORD-10784"/>
        <s v="ORD-10785"/>
        <s v="ORD-10786"/>
        <s v="ORD-10787"/>
        <s v="ORD-10788"/>
        <s v="ORD-10789"/>
        <s v="ORD-10790"/>
        <s v="ORD-10791"/>
        <s v="ORD-10792"/>
        <s v="ORD-10793"/>
        <s v="ORD-10794"/>
        <s v="ORD-10795"/>
        <s v="ORD-10796"/>
        <s v="ORD-10797"/>
        <s v="ORD-10798"/>
        <s v="ORD-10799"/>
        <s v="ORD-10800"/>
        <s v="ORD-10801"/>
        <s v="ORD-10802"/>
        <s v="ORD-10803"/>
        <s v="ORD-10804"/>
        <s v="ORD-10805"/>
        <s v="ORD-10806"/>
        <s v="ORD-10807"/>
        <s v="ORD-10808"/>
        <s v="ORD-10809"/>
        <s v="ORD-10810"/>
        <s v="ORD-10811"/>
        <s v="ORD-10812"/>
        <s v="ORD-10813"/>
        <s v="ORD-10814"/>
        <s v="ORD-10815"/>
        <s v="ORD-10816"/>
        <s v="ORD-10817"/>
        <s v="ORD-10818"/>
        <s v="ORD-10819"/>
        <s v="ORD-10820"/>
        <s v="ORD-10821"/>
        <s v="ORD-10822"/>
        <s v="ORD-10823"/>
        <s v="ORD-10824"/>
        <s v="ORD-10825"/>
        <s v="ORD-10826"/>
        <s v="ORD-10827"/>
        <s v="ORD-10828"/>
        <s v="ORD-10829"/>
        <s v="ORD-10830"/>
        <s v="ORD-10831"/>
        <s v="ORD-10832"/>
        <s v="ORD-10833"/>
        <s v="ORD-10834"/>
        <s v="ORD-10835"/>
        <s v="ORD-10836"/>
        <s v="ORD-10837"/>
        <s v="ORD-10838"/>
        <s v="ORD-10839"/>
        <s v="ORD-10840"/>
        <s v="ORD-10841"/>
        <s v="ORD-10842"/>
        <s v="ORD-10843"/>
        <s v="ORD-10844"/>
        <s v="ORD-10845"/>
        <s v="ORD-10846"/>
        <s v="ORD-10847"/>
        <s v="ORD-10848"/>
        <s v="ORD-10849"/>
        <s v="ORD-10850"/>
        <s v="ORD-10851"/>
        <s v="ORD-10852"/>
        <s v="ORD-10853"/>
        <s v="ORD-10854"/>
        <s v="ORD-10855"/>
        <s v="ORD-10856"/>
        <s v="ORD-10857"/>
        <s v="ORD-10858"/>
        <s v="ORD-10859"/>
        <s v="ORD-10860"/>
        <s v="ORD-10861"/>
        <s v="ORD-10862"/>
        <s v="ORD-10863"/>
        <s v="ORD-10864"/>
        <s v="ORD-10865"/>
        <s v="ORD-10866"/>
        <s v="ORD-10867"/>
        <s v="ORD-10868"/>
        <s v="ORD-10869"/>
        <s v="ORD-10870"/>
        <s v="ORD-10871"/>
        <s v="ORD-10872"/>
        <s v="ORD-10873"/>
        <s v="ORD-10874"/>
        <s v="ORD-10875"/>
        <s v="ORD-10876"/>
        <s v="ORD-10877"/>
        <s v="ORD-10878"/>
        <s v="ORD-10879"/>
        <s v="ORD-10880"/>
        <s v="ORD-10881"/>
        <s v="ORD-10882"/>
        <s v="ORD-10883"/>
        <s v="ORD-10884"/>
        <s v="ORD-10885"/>
        <s v="ORD-10886"/>
        <s v="ORD-10887"/>
        <s v="ORD-10888"/>
        <s v="ORD-10889"/>
        <s v="ORD-10890"/>
        <s v="ORD-10891"/>
        <s v="ORD-10892"/>
        <s v="ORD-10893"/>
        <s v="ORD-10894"/>
        <s v="ORD-10895"/>
        <s v="ORD-10896"/>
        <s v="ORD-10897"/>
        <s v="ORD-10898"/>
        <s v="ORD-10899"/>
        <s v="ORD-10900"/>
        <s v="ORD-10901"/>
        <s v="ORD-10902"/>
        <s v="ORD-10903"/>
        <s v="ORD-10904"/>
        <s v="ORD-10905"/>
        <s v="ORD-10906"/>
        <s v="ORD-10907"/>
        <s v="ORD-10908"/>
        <s v="ORD-10909"/>
        <s v="ORD-10910"/>
        <s v="ORD-10911"/>
        <s v="ORD-10912"/>
        <s v="ORD-10913"/>
        <s v="ORD-10914"/>
        <s v="ORD-10915"/>
        <s v="ORD-10916"/>
        <s v="ORD-10917"/>
        <s v="ORD-10918"/>
        <s v="ORD-10919"/>
        <s v="ORD-10920"/>
        <s v="ORD-10921"/>
        <s v="ORD-10922"/>
        <s v="ORD-10923"/>
        <s v="ORD-10924"/>
        <s v="ORD-10925"/>
        <s v="ORD-10926"/>
        <s v="ORD-10927"/>
        <s v="ORD-10928"/>
        <s v="ORD-10929"/>
        <s v="ORD-10930"/>
        <s v="ORD-10931"/>
        <s v="ORD-10932"/>
        <s v="ORD-10933"/>
        <s v="ORD-10934"/>
        <s v="ORD-10935"/>
        <s v="ORD-10936"/>
        <s v="ORD-10937"/>
        <s v="ORD-10938"/>
        <s v="ORD-10939"/>
        <s v="ORD-10940"/>
        <s v="ORD-10941"/>
        <s v="ORD-10942"/>
        <s v="ORD-10943"/>
        <s v="ORD-10944"/>
        <s v="ORD-10945"/>
        <s v="ORD-10946"/>
        <s v="ORD-10947"/>
        <s v="ORD-10948"/>
        <s v="ORD-10949"/>
        <s v="ORD-10950"/>
        <s v="ORD-10951"/>
        <s v="ORD-10952"/>
        <s v="ORD-10953"/>
        <s v="ORD-10954"/>
        <s v="ORD-10955"/>
        <s v="ORD-10956"/>
        <s v="ORD-10957"/>
        <s v="ORD-10958"/>
        <s v="ORD-10959"/>
        <s v="ORD-10960"/>
        <s v="ORD-10961"/>
        <s v="ORD-10962"/>
        <s v="ORD-10963"/>
        <s v="ORD-10964"/>
        <s v="ORD-10965"/>
        <s v="ORD-10966"/>
        <s v="ORD-10967"/>
        <s v="ORD-10968"/>
        <s v="ORD-10969"/>
        <s v="ORD-10970"/>
        <s v="ORD-10971"/>
        <s v="ORD-10972"/>
        <s v="ORD-10973"/>
        <s v="ORD-10974"/>
        <s v="ORD-10975"/>
        <s v="ORD-10976"/>
        <s v="ORD-10977"/>
        <s v="ORD-10978"/>
        <s v="ORD-10979"/>
        <s v="ORD-10980"/>
        <s v="ORD-10981"/>
        <s v="ORD-10982"/>
        <s v="ORD-10983"/>
        <s v="ORD-10984"/>
        <s v="ORD-10985"/>
        <s v="ORD-10986"/>
        <s v="ORD-10987"/>
        <s v="ORD-10988"/>
        <s v="ORD-10989"/>
        <s v="ORD-10990"/>
        <s v="ORD-10991"/>
        <s v="ORD-10992"/>
        <s v="ORD-10993"/>
        <s v="ORD-10994"/>
        <s v="ORD-10995"/>
        <s v="ORD-10996"/>
        <s v="ORD-10997"/>
        <s v="ORD-10998"/>
        <s v="ORD-10999"/>
        <s v="ORD-11000"/>
      </sharedItems>
    </cacheField>
    <cacheField name="Order Date" numFmtId="164">
      <sharedItems containsSemiMixedTypes="0" containsNonDate="0" containsDate="1" containsString="0" minDate="2025-01-01T00:00:00" maxDate="2026-01-01T00:00:00" count="344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3T00:00:00"/>
        <d v="2025-01-14T00:00:00"/>
        <d v="2025-01-15T00:00:00"/>
        <d v="2025-01-16T00:00:00"/>
        <d v="2025-01-17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4T00:00:00"/>
        <d v="2025-04-05T00:00:00"/>
        <d v="2025-04-06T00:00:00"/>
        <d v="2025-04-08T00:00:00"/>
        <d v="2025-04-09T00:00:00"/>
        <d v="2025-04-10T00:00:00"/>
        <d v="2025-04-11T00:00:00"/>
        <d v="2025-04-12T00:00:00"/>
        <d v="2025-04-13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3T00:00:00"/>
        <d v="2025-07-04T00:00:00"/>
        <d v="2025-07-05T00:00:00"/>
        <d v="2025-07-06T00:00:00"/>
        <d v="2025-07-08T00:00:00"/>
        <d v="2025-07-09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9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1T00:00:00"/>
        <d v="2025-09-22T00:00:00"/>
        <d v="2025-09-23T00:00:00"/>
        <d v="2025-09-24T00:00:00"/>
        <d v="2025-09-25T00:00:00"/>
        <d v="2025-09-26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1T00:00:00"/>
      </sharedItems>
      <fieldGroup par="23"/>
    </cacheField>
    <cacheField name="Customer ID" numFmtId="0">
      <sharedItems/>
    </cacheField>
    <cacheField name="Segment" numFmtId="0">
      <sharedItems/>
    </cacheField>
    <cacheField name="Region" numFmtId="0">
      <sharedItems count="4">
        <s v="North"/>
        <s v="West"/>
        <s v="East"/>
        <s v="South"/>
      </sharedItems>
    </cacheField>
    <cacheField name="State" numFmtId="0">
      <sharedItems count="12">
        <s v="Delhi"/>
        <s v="Gujarat"/>
        <s v="Bihar"/>
        <s v="West Bengal"/>
        <s v="Maharashtra"/>
        <s v="Haryana"/>
        <s v="Punjab"/>
        <s v="Karnataka"/>
        <s v="Tamil Nadu"/>
        <s v="Rajasthan"/>
        <s v="Kerala"/>
        <s v="Odisha"/>
      </sharedItems>
    </cacheField>
    <cacheField name="Category" numFmtId="0">
      <sharedItems count="5">
        <s v="Clothing"/>
        <s v="Home &amp; Kitchen"/>
        <s v="Electronics"/>
        <s v="Sports"/>
        <s v="Furniture"/>
      </sharedItems>
    </cacheField>
    <cacheField name="Product" numFmtId="0">
      <sharedItems count="21">
        <s v="Jeans"/>
        <s v="Vacuum Cleaner"/>
        <s v="Smartwatch"/>
        <s v="Sneakers"/>
        <s v="Yoga Mat"/>
        <s v="Headphones"/>
        <s v="Cookware Set"/>
        <s v="Sofa"/>
        <s v="Jacket"/>
        <s v="Bicycle"/>
        <s v="Laptop"/>
        <s v="Desk"/>
        <s v="Tablet"/>
        <s v="Smartphone"/>
        <s v="Office Chair"/>
        <s v="Coffee Maker"/>
        <s v="Dumbbell Set"/>
        <s v="T-Shirt"/>
        <s v="Bookshelf"/>
        <s v="Blender"/>
        <s v="Tennis Racket"/>
      </sharedItems>
    </cacheField>
    <cacheField name="Quantity" numFmtId="0">
      <sharedItems containsSemiMixedTypes="0" containsString="0" containsNumber="1" containsInteger="1" minValue="1" maxValue="10"/>
    </cacheField>
    <cacheField name="Unit Price" numFmtId="4">
      <sharedItems containsSemiMixedTypes="0" containsString="0" containsNumber="1" minValue="8.2799999999999994" maxValue="1397.88"/>
    </cacheField>
    <cacheField name="Discount %" numFmtId="9">
      <sharedItems containsSemiMixedTypes="0" containsString="0" containsNumber="1" minValue="0" maxValue="0.2"/>
    </cacheField>
    <cacheField name="Sales" numFmtId="4">
      <sharedItems containsSemiMixedTypes="0" containsString="0" containsNumber="1" minValue="8.0410000000000004" maxValue="8946.4320000000007"/>
    </cacheField>
    <cacheField name="Unit Cost" numFmtId="4">
      <sharedItems containsSemiMixedTypes="0" containsString="0" containsNumber="1" minValue="3.46" maxValue="1234.99"/>
    </cacheField>
    <cacheField name="Profit" numFmtId="165">
      <sharedItems containsSemiMixedTypes="0" containsString="0" containsNumber="1" minValue="-452.36799999999857" maxValue="2574.4319999999998"/>
    </cacheField>
    <cacheField name="Payment Method" numFmtId="0">
      <sharedItems count="5">
        <s v="UPI"/>
        <s v="Cash"/>
        <s v="Net Banking"/>
        <s v="Credit Card"/>
        <s v="Debit Card"/>
      </sharedItems>
    </cacheField>
    <cacheField name="Sales Rep" numFmtId="0">
      <sharedItems count="8">
        <s v="Meera Reddy"/>
        <s v="Vikram Singh"/>
        <s v="Priya Nair"/>
        <s v="Rohan Mehta"/>
        <s v="Sneha Iyer"/>
        <s v="Aarav Sharma"/>
        <s v="Karan Patel"/>
        <s v="Ananya Das"/>
      </sharedItems>
    </cacheField>
    <cacheField name="Rating" numFmtId="0">
      <sharedItems containsSemiMixedTypes="0" containsString="0" containsNumber="1" containsInteger="1" minValue="1" maxValue="5"/>
    </cacheField>
    <cacheField name="month" numFmtId="0">
      <sharedItems/>
    </cacheField>
    <cacheField name="month no" numFmtId="0">
      <sharedItems/>
    </cacheField>
    <cacheField name="profit/loss" numFmtId="0">
      <sharedItems/>
    </cacheField>
    <cacheField name="order size" numFmtId="0">
      <sharedItems/>
    </cacheField>
    <cacheField name="profit margin" numFmtId="0">
      <sharedItems containsSemiMixedTypes="0" containsString="0" containsNumber="1" minValue="-11.845396129131549" maxValue="59.605522682445752"/>
    </cacheField>
    <cacheField name="Months (Order 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Years (Order Date)" numFmtId="0" databaseField="0">
      <fieldGroup base="1">
        <rangePr groupBy="years" startDate="2025-01-01T00:00:00" endDate="2026-01-01T00:00:00"/>
        <groupItems count="4">
          <s v="&lt;01-01-2025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CUST-0384"/>
    <s v="Small Business"/>
    <x v="0"/>
    <x v="0"/>
    <x v="0"/>
    <x v="0"/>
    <n v="1"/>
    <n v="84.05"/>
    <n v="0"/>
    <n v="84.05"/>
    <n v="37.26"/>
    <n v="46.79"/>
    <x v="0"/>
    <x v="0"/>
    <n v="3"/>
    <s v="Jan"/>
    <s v="01"/>
    <s v="profit"/>
    <s v="small"/>
    <n v="55.669244497323021"/>
  </r>
  <r>
    <x v="1"/>
    <x v="0"/>
    <s v="CUST-0222"/>
    <s v="Small Business"/>
    <x v="1"/>
    <x v="1"/>
    <x v="1"/>
    <x v="1"/>
    <n v="1"/>
    <n v="381.08"/>
    <n v="0"/>
    <n v="381.08"/>
    <n v="247.67"/>
    <n v="133.41"/>
    <x v="0"/>
    <x v="1"/>
    <n v="1"/>
    <s v="Jan"/>
    <s v="01"/>
    <s v="profit"/>
    <s v="small"/>
    <n v="35.008397186942375"/>
  </r>
  <r>
    <x v="2"/>
    <x v="0"/>
    <s v="CUST-0241"/>
    <s v="Small Business"/>
    <x v="2"/>
    <x v="2"/>
    <x v="2"/>
    <x v="2"/>
    <n v="1"/>
    <n v="297.24"/>
    <n v="0.1"/>
    <n v="267.51600000000002"/>
    <n v="266.58999999999997"/>
    <n v="0.92600000000004457"/>
    <x v="1"/>
    <x v="1"/>
    <n v="3"/>
    <s v="Jan"/>
    <s v="01"/>
    <s v="profit"/>
    <s v="small"/>
    <n v="0.34614752014834421"/>
  </r>
  <r>
    <x v="3"/>
    <x v="1"/>
    <s v="CUST-0083"/>
    <s v="Corporate"/>
    <x v="1"/>
    <x v="1"/>
    <x v="0"/>
    <x v="3"/>
    <n v="2"/>
    <n v="156.29"/>
    <n v="0"/>
    <n v="312.58"/>
    <n v="83.22"/>
    <n v="146.13999999999999"/>
    <x v="1"/>
    <x v="0"/>
    <n v="3"/>
    <s v="Jan"/>
    <s v="01"/>
    <s v="profit"/>
    <s v="small"/>
    <n v="46.752831275193543"/>
  </r>
  <r>
    <x v="4"/>
    <x v="1"/>
    <s v="CUST-0264"/>
    <s v="Consumer"/>
    <x v="2"/>
    <x v="3"/>
    <x v="3"/>
    <x v="4"/>
    <n v="10"/>
    <n v="29.28"/>
    <n v="0.05"/>
    <n v="278.16000000000003"/>
    <n v="20.12"/>
    <n v="76.960000000000008"/>
    <x v="2"/>
    <x v="0"/>
    <n v="4"/>
    <s v="Jan"/>
    <s v="01"/>
    <s v="profit"/>
    <s v="small"/>
    <n v="27.667529479436297"/>
  </r>
  <r>
    <x v="5"/>
    <x v="1"/>
    <s v="CUST-0148"/>
    <s v="Corporate"/>
    <x v="1"/>
    <x v="4"/>
    <x v="2"/>
    <x v="5"/>
    <n v="1"/>
    <n v="198.11"/>
    <n v="0.05"/>
    <n v="188.2045"/>
    <n v="163.49"/>
    <n v="24.714499999999987"/>
    <x v="1"/>
    <x v="2"/>
    <n v="1"/>
    <s v="Jan"/>
    <s v="01"/>
    <s v="profit"/>
    <s v="small"/>
    <n v="13.131726393364657"/>
  </r>
  <r>
    <x v="6"/>
    <x v="1"/>
    <s v="CUST-0059"/>
    <s v="Corporate"/>
    <x v="0"/>
    <x v="5"/>
    <x v="0"/>
    <x v="0"/>
    <n v="2"/>
    <n v="71.14"/>
    <n v="0"/>
    <n v="142.28"/>
    <n v="40.71"/>
    <n v="60.86"/>
    <x v="3"/>
    <x v="3"/>
    <n v="4"/>
    <s v="Jan"/>
    <s v="01"/>
    <s v="profit"/>
    <s v="small"/>
    <n v="42.774810233342706"/>
  </r>
  <r>
    <x v="7"/>
    <x v="2"/>
    <s v="CUST-0098"/>
    <s v="Small Business"/>
    <x v="1"/>
    <x v="4"/>
    <x v="1"/>
    <x v="6"/>
    <n v="2"/>
    <n v="127.25"/>
    <n v="0"/>
    <n v="254.5"/>
    <n v="83.16"/>
    <n v="88.18"/>
    <x v="2"/>
    <x v="3"/>
    <n v="5"/>
    <s v="Jan"/>
    <s v="01"/>
    <s v="profit"/>
    <s v="small"/>
    <n v="34.648330058939095"/>
  </r>
  <r>
    <x v="8"/>
    <x v="3"/>
    <s v="CUST-0301"/>
    <s v="Small Business"/>
    <x v="2"/>
    <x v="3"/>
    <x v="4"/>
    <x v="7"/>
    <n v="1"/>
    <n v="605.89"/>
    <n v="0"/>
    <n v="605.89"/>
    <n v="389.26"/>
    <n v="216.63"/>
    <x v="1"/>
    <x v="3"/>
    <n v="4"/>
    <s v="Jan"/>
    <s v="01"/>
    <s v="profit"/>
    <s v="medium"/>
    <n v="35.754014755153577"/>
  </r>
  <r>
    <x v="9"/>
    <x v="3"/>
    <s v="CUST-0123"/>
    <s v="Small Business"/>
    <x v="1"/>
    <x v="1"/>
    <x v="0"/>
    <x v="8"/>
    <n v="5"/>
    <n v="141.59"/>
    <n v="0.2"/>
    <n v="566.36"/>
    <n v="72.8"/>
    <n v="202.36"/>
    <x v="1"/>
    <x v="4"/>
    <n v="5"/>
    <s v="Jan"/>
    <s v="01"/>
    <s v="profit"/>
    <s v="medium"/>
    <n v="35.729924429691366"/>
  </r>
  <r>
    <x v="10"/>
    <x v="3"/>
    <s v="CUST-0334"/>
    <s v="Consumer"/>
    <x v="1"/>
    <x v="1"/>
    <x v="0"/>
    <x v="8"/>
    <n v="10"/>
    <n v="175.32"/>
    <n v="0.1"/>
    <n v="1577.8799999999999"/>
    <n v="83.05"/>
    <n v="747.37999999999988"/>
    <x v="1"/>
    <x v="5"/>
    <n v="3"/>
    <s v="Jan"/>
    <s v="01"/>
    <s v="profit"/>
    <s v="medium"/>
    <n v="47.366086140897913"/>
  </r>
  <r>
    <x v="11"/>
    <x v="4"/>
    <s v="CUST-0370"/>
    <s v="Consumer"/>
    <x v="1"/>
    <x v="4"/>
    <x v="3"/>
    <x v="9"/>
    <n v="2"/>
    <n v="715.31"/>
    <n v="0.05"/>
    <n v="1359.0889999999999"/>
    <n v="411.42"/>
    <n v="536.24899999999991"/>
    <x v="1"/>
    <x v="3"/>
    <n v="2"/>
    <s v="Jan"/>
    <s v="01"/>
    <s v="profit"/>
    <s v="medium"/>
    <n v="39.456503584386297"/>
  </r>
  <r>
    <x v="12"/>
    <x v="4"/>
    <s v="CUST-0195"/>
    <s v="Corporate"/>
    <x v="0"/>
    <x v="6"/>
    <x v="1"/>
    <x v="6"/>
    <n v="5"/>
    <n v="111.1"/>
    <n v="0.15"/>
    <n v="472.17500000000001"/>
    <n v="67.930000000000007"/>
    <n v="132.52499999999998"/>
    <x v="1"/>
    <x v="5"/>
    <n v="4"/>
    <s v="Jan"/>
    <s v="01"/>
    <s v="profit"/>
    <s v="small"/>
    <n v="28.066924339492765"/>
  </r>
  <r>
    <x v="13"/>
    <x v="4"/>
    <s v="CUST-0052"/>
    <s v="Corporate"/>
    <x v="1"/>
    <x v="4"/>
    <x v="2"/>
    <x v="5"/>
    <n v="4"/>
    <n v="299.3"/>
    <n v="0.1"/>
    <n v="1077.48"/>
    <n v="235.84"/>
    <n v="134.12"/>
    <x v="4"/>
    <x v="1"/>
    <n v="5"/>
    <s v="Jan"/>
    <s v="01"/>
    <s v="profit"/>
    <s v="medium"/>
    <n v="12.447562831792702"/>
  </r>
  <r>
    <x v="14"/>
    <x v="5"/>
    <s v="CUST-0093"/>
    <s v="Consumer"/>
    <x v="3"/>
    <x v="7"/>
    <x v="2"/>
    <x v="10"/>
    <n v="2"/>
    <n v="870.03"/>
    <n v="0.05"/>
    <n v="1653.0569999999998"/>
    <n v="734.11"/>
    <n v="184.83699999999976"/>
    <x v="4"/>
    <x v="2"/>
    <n v="4"/>
    <s v="Jan"/>
    <s v="01"/>
    <s v="profit"/>
    <s v="medium"/>
    <n v="11.181526105875344"/>
  </r>
  <r>
    <x v="15"/>
    <x v="5"/>
    <s v="CUST-0342"/>
    <s v="Consumer"/>
    <x v="3"/>
    <x v="8"/>
    <x v="4"/>
    <x v="11"/>
    <n v="3"/>
    <n v="358.88"/>
    <n v="0.05"/>
    <n v="1022.8079999999999"/>
    <n v="245.25"/>
    <n v="287.05799999999988"/>
    <x v="1"/>
    <x v="1"/>
    <n v="4"/>
    <s v="Jan"/>
    <s v="01"/>
    <s v="profit"/>
    <s v="medium"/>
    <n v="28.065678015815276"/>
  </r>
  <r>
    <x v="16"/>
    <x v="6"/>
    <s v="CUST-0234"/>
    <s v="Corporate"/>
    <x v="2"/>
    <x v="2"/>
    <x v="2"/>
    <x v="12"/>
    <n v="8"/>
    <n v="669.88"/>
    <n v="0.1"/>
    <n v="4823.1360000000004"/>
    <n v="503.65"/>
    <n v="793.9360000000006"/>
    <x v="4"/>
    <x v="6"/>
    <n v="5"/>
    <s v="Jan"/>
    <s v="01"/>
    <s v="profit"/>
    <s v="large"/>
    <n v="16.460991355002232"/>
  </r>
  <r>
    <x v="17"/>
    <x v="6"/>
    <s v="CUST-0141"/>
    <s v="Consumer"/>
    <x v="2"/>
    <x v="3"/>
    <x v="2"/>
    <x v="12"/>
    <n v="10"/>
    <n v="464.56"/>
    <n v="0.1"/>
    <n v="4181.0400000000009"/>
    <n v="378.05"/>
    <n v="400.54000000000087"/>
    <x v="2"/>
    <x v="5"/>
    <n v="5"/>
    <s v="Jan"/>
    <s v="01"/>
    <s v="profit"/>
    <s v="large"/>
    <n v="9.5799131316610406"/>
  </r>
  <r>
    <x v="18"/>
    <x v="7"/>
    <s v="CUST-0348"/>
    <s v="Small Business"/>
    <x v="2"/>
    <x v="3"/>
    <x v="1"/>
    <x v="6"/>
    <n v="3"/>
    <n v="202.91"/>
    <n v="0.1"/>
    <n v="547.85700000000008"/>
    <n v="142.84"/>
    <n v="119.3370000000001"/>
    <x v="4"/>
    <x v="2"/>
    <n v="5"/>
    <s v="Jan"/>
    <s v="01"/>
    <s v="profit"/>
    <s v="medium"/>
    <n v="21.782508939376534"/>
  </r>
  <r>
    <x v="19"/>
    <x v="7"/>
    <s v="CUST-0168"/>
    <s v="Small Business"/>
    <x v="2"/>
    <x v="2"/>
    <x v="0"/>
    <x v="8"/>
    <n v="1"/>
    <n v="183.01"/>
    <n v="0.15"/>
    <n v="155.55849999999998"/>
    <n v="117.43"/>
    <n v="38.128499999999974"/>
    <x v="1"/>
    <x v="3"/>
    <n v="3"/>
    <s v="Jan"/>
    <s v="01"/>
    <s v="profit"/>
    <s v="small"/>
    <n v="24.510714618616134"/>
  </r>
  <r>
    <x v="20"/>
    <x v="8"/>
    <s v="CUST-0152"/>
    <s v="Small Business"/>
    <x v="3"/>
    <x v="8"/>
    <x v="1"/>
    <x v="6"/>
    <n v="6"/>
    <n v="151.47999999999999"/>
    <n v="0.2"/>
    <n v="727.10399999999993"/>
    <n v="85.93"/>
    <n v="211.52399999999989"/>
    <x v="0"/>
    <x v="2"/>
    <n v="4"/>
    <s v="Jan"/>
    <s v="01"/>
    <s v="profit"/>
    <s v="medium"/>
    <n v="29.091299181410076"/>
  </r>
  <r>
    <x v="21"/>
    <x v="9"/>
    <s v="CUST-0008"/>
    <s v="Corporate"/>
    <x v="1"/>
    <x v="9"/>
    <x v="2"/>
    <x v="13"/>
    <n v="2"/>
    <n v="988.11"/>
    <n v="0.1"/>
    <n v="1778.598"/>
    <n v="781.96"/>
    <n v="214.67799999999988"/>
    <x v="2"/>
    <x v="2"/>
    <n v="4"/>
    <s v="Jan"/>
    <s v="01"/>
    <s v="profit"/>
    <s v="medium"/>
    <n v="12.070068672066419"/>
  </r>
  <r>
    <x v="22"/>
    <x v="9"/>
    <s v="CUST-0318"/>
    <s v="Small Business"/>
    <x v="2"/>
    <x v="3"/>
    <x v="1"/>
    <x v="6"/>
    <n v="3"/>
    <n v="162.76"/>
    <n v="0.05"/>
    <n v="463.86599999999993"/>
    <n v="95.3"/>
    <n v="177.96599999999995"/>
    <x v="0"/>
    <x v="4"/>
    <n v="4"/>
    <s v="Jan"/>
    <s v="01"/>
    <s v="profit"/>
    <s v="small"/>
    <n v="38.365821163870592"/>
  </r>
  <r>
    <x v="23"/>
    <x v="10"/>
    <s v="CUST-0156"/>
    <s v="Corporate"/>
    <x v="1"/>
    <x v="4"/>
    <x v="0"/>
    <x v="3"/>
    <n v="1"/>
    <n v="149.13"/>
    <n v="0.2"/>
    <n v="119.304"/>
    <n v="85.67"/>
    <n v="33.634"/>
    <x v="3"/>
    <x v="2"/>
    <n v="3"/>
    <s v="Jan"/>
    <s v="01"/>
    <s v="profit"/>
    <s v="small"/>
    <n v="28.191846040367462"/>
  </r>
  <r>
    <x v="24"/>
    <x v="10"/>
    <s v="CUST-0213"/>
    <s v="Small Business"/>
    <x v="1"/>
    <x v="9"/>
    <x v="0"/>
    <x v="3"/>
    <n v="4"/>
    <n v="94.44"/>
    <n v="0"/>
    <n v="377.76"/>
    <n v="45.56"/>
    <n v="195.51999999999998"/>
    <x v="3"/>
    <x v="0"/>
    <n v="4"/>
    <s v="Jan"/>
    <s v="01"/>
    <s v="profit"/>
    <s v="small"/>
    <n v="51.757729775518847"/>
  </r>
  <r>
    <x v="25"/>
    <x v="10"/>
    <s v="CUST-0051"/>
    <s v="Small Business"/>
    <x v="1"/>
    <x v="1"/>
    <x v="3"/>
    <x v="9"/>
    <n v="8"/>
    <n v="171.27"/>
    <n v="0.15"/>
    <n v="1164.636"/>
    <n v="115.76"/>
    <n v="238.55599999999993"/>
    <x v="0"/>
    <x v="7"/>
    <n v="2"/>
    <s v="Jan"/>
    <s v="01"/>
    <s v="profit"/>
    <s v="medium"/>
    <n v="20.483309806669205"/>
  </r>
  <r>
    <x v="26"/>
    <x v="11"/>
    <s v="CUST-0011"/>
    <s v="Consumer"/>
    <x v="0"/>
    <x v="5"/>
    <x v="4"/>
    <x v="14"/>
    <n v="1"/>
    <n v="431.13"/>
    <n v="0.1"/>
    <n v="388.017"/>
    <n v="273.83999999999997"/>
    <n v="114.17700000000002"/>
    <x v="0"/>
    <x v="4"/>
    <n v="5"/>
    <s v="Jan"/>
    <s v="01"/>
    <s v="profit"/>
    <s v="small"/>
    <n v="29.425772582129138"/>
  </r>
  <r>
    <x v="27"/>
    <x v="11"/>
    <s v="CUST-0169"/>
    <s v="Consumer"/>
    <x v="3"/>
    <x v="10"/>
    <x v="1"/>
    <x v="15"/>
    <n v="1"/>
    <n v="41.66"/>
    <n v="0.15"/>
    <n v="35.410999999999994"/>
    <n v="24.87"/>
    <n v="10.540999999999993"/>
    <x v="2"/>
    <x v="5"/>
    <n v="3"/>
    <s v="Jan"/>
    <s v="01"/>
    <s v="profit"/>
    <s v="small"/>
    <n v="29.767586343226665"/>
  </r>
  <r>
    <x v="28"/>
    <x v="11"/>
    <s v="CUST-0184"/>
    <s v="Consumer"/>
    <x v="0"/>
    <x v="5"/>
    <x v="3"/>
    <x v="16"/>
    <n v="5"/>
    <n v="92.53"/>
    <n v="0"/>
    <n v="462.65"/>
    <n v="54.62"/>
    <n v="189.55"/>
    <x v="2"/>
    <x v="7"/>
    <n v="1"/>
    <s v="Jan"/>
    <s v="01"/>
    <s v="profit"/>
    <s v="small"/>
    <n v="40.970496055333413"/>
  </r>
  <r>
    <x v="29"/>
    <x v="11"/>
    <s v="CUST-0304"/>
    <s v="Consumer"/>
    <x v="0"/>
    <x v="6"/>
    <x v="4"/>
    <x v="11"/>
    <n v="2"/>
    <n v="476.02"/>
    <n v="0"/>
    <n v="952.04"/>
    <n v="330.73"/>
    <n v="290.57999999999993"/>
    <x v="1"/>
    <x v="4"/>
    <n v="5"/>
    <s v="Jan"/>
    <s v="01"/>
    <s v="profit"/>
    <s v="medium"/>
    <n v="30.521826813999404"/>
  </r>
  <r>
    <x v="30"/>
    <x v="12"/>
    <s v="CUST-0219"/>
    <s v="Small Business"/>
    <x v="0"/>
    <x v="0"/>
    <x v="2"/>
    <x v="2"/>
    <n v="10"/>
    <n v="191.6"/>
    <n v="0.15"/>
    <n v="1628.6"/>
    <n v="153.94999999999999"/>
    <n v="89.099999999999909"/>
    <x v="3"/>
    <x v="0"/>
    <n v="5"/>
    <s v="Jan"/>
    <s v="01"/>
    <s v="profit"/>
    <s v="medium"/>
    <n v="5.4709566498833304"/>
  </r>
  <r>
    <x v="31"/>
    <x v="12"/>
    <s v="CUST-0365"/>
    <s v="Corporate"/>
    <x v="3"/>
    <x v="8"/>
    <x v="0"/>
    <x v="17"/>
    <n v="3"/>
    <n v="16.7"/>
    <n v="0.05"/>
    <n v="47.594999999999992"/>
    <n v="10.24"/>
    <n v="16.874999999999993"/>
    <x v="1"/>
    <x v="1"/>
    <n v="4"/>
    <s v="Jan"/>
    <s v="01"/>
    <s v="profit"/>
    <s v="small"/>
    <n v="35.455404979514647"/>
  </r>
  <r>
    <x v="32"/>
    <x v="12"/>
    <s v="CUST-0174"/>
    <s v="Corporate"/>
    <x v="3"/>
    <x v="8"/>
    <x v="0"/>
    <x v="17"/>
    <n v="2"/>
    <n v="29.41"/>
    <n v="0"/>
    <n v="58.82"/>
    <n v="18.28"/>
    <n v="22.259999999999998"/>
    <x v="1"/>
    <x v="6"/>
    <n v="5"/>
    <s v="Jan"/>
    <s v="01"/>
    <s v="profit"/>
    <s v="small"/>
    <n v="37.844270656239374"/>
  </r>
  <r>
    <x v="33"/>
    <x v="12"/>
    <s v="CUST-0044"/>
    <s v="Consumer"/>
    <x v="3"/>
    <x v="10"/>
    <x v="4"/>
    <x v="18"/>
    <n v="6"/>
    <n v="186.37"/>
    <n v="0"/>
    <n v="1118.22"/>
    <n v="135.13999999999999"/>
    <n v="307.38000000000011"/>
    <x v="1"/>
    <x v="2"/>
    <n v="5"/>
    <s v="Jan"/>
    <s v="01"/>
    <s v="profit"/>
    <s v="medium"/>
    <n v="27.488329666791877"/>
  </r>
  <r>
    <x v="34"/>
    <x v="13"/>
    <s v="CUST-0341"/>
    <s v="Corporate"/>
    <x v="2"/>
    <x v="2"/>
    <x v="4"/>
    <x v="11"/>
    <n v="1"/>
    <n v="387.06"/>
    <n v="0"/>
    <n v="387.06"/>
    <n v="264.25"/>
    <n v="122.81"/>
    <x v="3"/>
    <x v="1"/>
    <n v="4"/>
    <s v="Jan"/>
    <s v="01"/>
    <s v="profit"/>
    <s v="small"/>
    <n v="31.728930915103604"/>
  </r>
  <r>
    <x v="35"/>
    <x v="13"/>
    <s v="CUST-0391"/>
    <s v="Corporate"/>
    <x v="0"/>
    <x v="6"/>
    <x v="4"/>
    <x v="11"/>
    <n v="5"/>
    <n v="194.27"/>
    <n v="0"/>
    <n v="971.35"/>
    <n v="136.68"/>
    <n v="287.94999999999993"/>
    <x v="2"/>
    <x v="4"/>
    <n v="5"/>
    <s v="Jan"/>
    <s v="01"/>
    <s v="profit"/>
    <s v="medium"/>
    <n v="29.644309466206821"/>
  </r>
  <r>
    <x v="36"/>
    <x v="13"/>
    <s v="CUST-0159"/>
    <s v="Corporate"/>
    <x v="2"/>
    <x v="3"/>
    <x v="1"/>
    <x v="19"/>
    <n v="1"/>
    <n v="82.85"/>
    <n v="0.1"/>
    <n v="74.564999999999998"/>
    <n v="51.24"/>
    <n v="23.324999999999996"/>
    <x v="0"/>
    <x v="5"/>
    <n v="3"/>
    <s v="Jan"/>
    <s v="01"/>
    <s v="profit"/>
    <s v="small"/>
    <n v="31.281432307382818"/>
  </r>
  <r>
    <x v="37"/>
    <x v="14"/>
    <s v="CUST-0215"/>
    <s v="Corporate"/>
    <x v="0"/>
    <x v="0"/>
    <x v="2"/>
    <x v="12"/>
    <n v="4"/>
    <n v="188.27"/>
    <n v="0"/>
    <n v="753.08"/>
    <n v="148.52000000000001"/>
    <n v="159"/>
    <x v="0"/>
    <x v="3"/>
    <n v="4"/>
    <s v="Jan"/>
    <s v="01"/>
    <s v="profit"/>
    <s v="medium"/>
    <n v="21.113294736282999"/>
  </r>
  <r>
    <x v="38"/>
    <x v="14"/>
    <s v="CUST-0218"/>
    <s v="Corporate"/>
    <x v="0"/>
    <x v="5"/>
    <x v="1"/>
    <x v="19"/>
    <n v="1"/>
    <n v="108.92"/>
    <n v="0.05"/>
    <n v="103.474"/>
    <n v="78.3"/>
    <n v="25.174000000000007"/>
    <x v="2"/>
    <x v="0"/>
    <n v="4"/>
    <s v="Jan"/>
    <s v="01"/>
    <s v="profit"/>
    <s v="small"/>
    <n v="24.328816900863988"/>
  </r>
  <r>
    <x v="39"/>
    <x v="15"/>
    <s v="CUST-0342"/>
    <s v="Corporate"/>
    <x v="2"/>
    <x v="2"/>
    <x v="2"/>
    <x v="2"/>
    <n v="3"/>
    <n v="122.11"/>
    <n v="0.05"/>
    <n v="348.01349999999996"/>
    <n v="102.02"/>
    <n v="41.953499999999963"/>
    <x v="3"/>
    <x v="4"/>
    <n v="4"/>
    <s v="Jan"/>
    <s v="01"/>
    <s v="profit"/>
    <s v="small"/>
    <n v="12.055135792145984"/>
  </r>
  <r>
    <x v="40"/>
    <x v="15"/>
    <s v="CUST-0255"/>
    <s v="Small Business"/>
    <x v="3"/>
    <x v="8"/>
    <x v="0"/>
    <x v="17"/>
    <n v="1"/>
    <n v="13.52"/>
    <n v="0"/>
    <n v="13.52"/>
    <n v="5.59"/>
    <n v="7.93"/>
    <x v="1"/>
    <x v="3"/>
    <n v="3"/>
    <s v="Jan"/>
    <s v="01"/>
    <s v="profit"/>
    <s v="small"/>
    <n v="58.653846153846153"/>
  </r>
  <r>
    <x v="41"/>
    <x v="15"/>
    <s v="CUST-0224"/>
    <s v="Consumer"/>
    <x v="2"/>
    <x v="3"/>
    <x v="0"/>
    <x v="0"/>
    <n v="2"/>
    <n v="57.52"/>
    <n v="0.1"/>
    <n v="103.536"/>
    <n v="25.4"/>
    <n v="52.736000000000004"/>
    <x v="1"/>
    <x v="2"/>
    <n v="5"/>
    <s v="Jan"/>
    <s v="01"/>
    <s v="profit"/>
    <s v="small"/>
    <n v="50.93494050378613"/>
  </r>
  <r>
    <x v="42"/>
    <x v="15"/>
    <s v="CUST-0317"/>
    <s v="Corporate"/>
    <x v="0"/>
    <x v="6"/>
    <x v="0"/>
    <x v="3"/>
    <n v="1"/>
    <n v="125.14"/>
    <n v="0"/>
    <n v="125.14"/>
    <n v="68.27"/>
    <n v="56.870000000000005"/>
    <x v="0"/>
    <x v="2"/>
    <n v="4"/>
    <s v="Jan"/>
    <s v="01"/>
    <s v="profit"/>
    <s v="small"/>
    <n v="45.445101486335311"/>
  </r>
  <r>
    <x v="43"/>
    <x v="16"/>
    <s v="CUST-0399"/>
    <s v="Consumer"/>
    <x v="1"/>
    <x v="1"/>
    <x v="2"/>
    <x v="12"/>
    <n v="4"/>
    <n v="473.88"/>
    <n v="0"/>
    <n v="1895.52"/>
    <n v="389.25"/>
    <n v="338.52"/>
    <x v="3"/>
    <x v="2"/>
    <n v="4"/>
    <s v="Jan"/>
    <s v="01"/>
    <s v="profit"/>
    <s v="medium"/>
    <n v="17.858951633324889"/>
  </r>
  <r>
    <x v="44"/>
    <x v="17"/>
    <s v="CUST-0089"/>
    <s v="Small Business"/>
    <x v="3"/>
    <x v="7"/>
    <x v="2"/>
    <x v="5"/>
    <n v="1"/>
    <n v="124.8"/>
    <n v="0"/>
    <n v="124.8"/>
    <n v="94.38"/>
    <n v="30.42"/>
    <x v="4"/>
    <x v="2"/>
    <n v="3"/>
    <s v="Jan"/>
    <s v="01"/>
    <s v="profit"/>
    <s v="small"/>
    <n v="24.375000000000004"/>
  </r>
  <r>
    <x v="45"/>
    <x v="17"/>
    <s v="CUST-0326"/>
    <s v="Small Business"/>
    <x v="1"/>
    <x v="9"/>
    <x v="1"/>
    <x v="1"/>
    <n v="6"/>
    <n v="223.1"/>
    <n v="0.05"/>
    <n v="1271.6699999999998"/>
    <n v="142.16999999999999"/>
    <n v="418.64999999999986"/>
    <x v="0"/>
    <x v="7"/>
    <n v="3"/>
    <s v="Jan"/>
    <s v="01"/>
    <s v="profit"/>
    <s v="medium"/>
    <n v="32.921276746325688"/>
  </r>
  <r>
    <x v="46"/>
    <x v="18"/>
    <s v="CUST-0232"/>
    <s v="Consumer"/>
    <x v="0"/>
    <x v="6"/>
    <x v="2"/>
    <x v="12"/>
    <n v="2"/>
    <n v="497.26"/>
    <n v="0"/>
    <n v="994.52"/>
    <n v="388.14"/>
    <n v="218.24"/>
    <x v="3"/>
    <x v="7"/>
    <n v="5"/>
    <s v="Jan"/>
    <s v="01"/>
    <s v="profit"/>
    <s v="medium"/>
    <n v="21.944254514740781"/>
  </r>
  <r>
    <x v="47"/>
    <x v="18"/>
    <s v="CUST-0022"/>
    <s v="Corporate"/>
    <x v="1"/>
    <x v="9"/>
    <x v="2"/>
    <x v="10"/>
    <n v="3"/>
    <n v="1111.26"/>
    <n v="0.1"/>
    <n v="3000.402"/>
    <n v="915.61"/>
    <n v="253.57200000000012"/>
    <x v="2"/>
    <x v="4"/>
    <n v="4"/>
    <s v="Jan"/>
    <s v="01"/>
    <s v="profit"/>
    <s v="large"/>
    <n v="8.4512675301509628"/>
  </r>
  <r>
    <x v="48"/>
    <x v="18"/>
    <s v="CUST-0021"/>
    <s v="Consumer"/>
    <x v="2"/>
    <x v="2"/>
    <x v="0"/>
    <x v="0"/>
    <n v="1"/>
    <n v="87.25"/>
    <n v="0.1"/>
    <n v="78.525000000000006"/>
    <n v="46.89"/>
    <n v="31.635000000000005"/>
    <x v="1"/>
    <x v="0"/>
    <n v="4"/>
    <s v="Jan"/>
    <s v="01"/>
    <s v="profit"/>
    <s v="small"/>
    <n v="40.286532951289402"/>
  </r>
  <r>
    <x v="49"/>
    <x v="19"/>
    <s v="CUST-0324"/>
    <s v="Small Business"/>
    <x v="1"/>
    <x v="1"/>
    <x v="0"/>
    <x v="8"/>
    <n v="3"/>
    <n v="110.25"/>
    <n v="0"/>
    <n v="330.75"/>
    <n v="63.87"/>
    <n v="139.14000000000001"/>
    <x v="0"/>
    <x v="2"/>
    <n v="4"/>
    <s v="Jan"/>
    <s v="01"/>
    <s v="profit"/>
    <s v="small"/>
    <n v="42.06802721088436"/>
  </r>
  <r>
    <x v="50"/>
    <x v="19"/>
    <s v="CUST-0180"/>
    <s v="Corporate"/>
    <x v="3"/>
    <x v="8"/>
    <x v="0"/>
    <x v="3"/>
    <n v="1"/>
    <n v="74.099999999999994"/>
    <n v="0.1"/>
    <n v="66.69"/>
    <n v="34.76"/>
    <n v="31.93"/>
    <x v="1"/>
    <x v="3"/>
    <n v="4"/>
    <s v="Jan"/>
    <s v="01"/>
    <s v="profit"/>
    <s v="small"/>
    <n v="47.878242615084723"/>
  </r>
  <r>
    <x v="51"/>
    <x v="20"/>
    <s v="CUST-0379"/>
    <s v="Small Business"/>
    <x v="2"/>
    <x v="3"/>
    <x v="3"/>
    <x v="9"/>
    <n v="3"/>
    <n v="513.29999999999995"/>
    <n v="0.15"/>
    <n v="1308.9149999999997"/>
    <n v="318.91000000000003"/>
    <n v="352.18499999999972"/>
    <x v="2"/>
    <x v="2"/>
    <n v="4"/>
    <s v="Jan"/>
    <s v="01"/>
    <s v="profit"/>
    <s v="medium"/>
    <n v="26.906636412601259"/>
  </r>
  <r>
    <x v="52"/>
    <x v="20"/>
    <s v="CUST-0116"/>
    <s v="Consumer"/>
    <x v="3"/>
    <x v="8"/>
    <x v="0"/>
    <x v="8"/>
    <n v="8"/>
    <n v="48.19"/>
    <n v="0.05"/>
    <n v="366.24399999999997"/>
    <n v="27.6"/>
    <n v="145.44399999999996"/>
    <x v="4"/>
    <x v="2"/>
    <n v="3"/>
    <s v="Jan"/>
    <s v="01"/>
    <s v="profit"/>
    <s v="small"/>
    <n v="39.71232293225281"/>
  </r>
  <r>
    <x v="53"/>
    <x v="20"/>
    <s v="CUST-0355"/>
    <s v="Small Business"/>
    <x v="3"/>
    <x v="10"/>
    <x v="1"/>
    <x v="19"/>
    <n v="2"/>
    <n v="87.88"/>
    <n v="0"/>
    <n v="175.76"/>
    <n v="50.51"/>
    <n v="74.739999999999995"/>
    <x v="4"/>
    <x v="0"/>
    <n v="2"/>
    <s v="Jan"/>
    <s v="01"/>
    <s v="profit"/>
    <s v="small"/>
    <n v="42.523896222121074"/>
  </r>
  <r>
    <x v="54"/>
    <x v="21"/>
    <s v="CUST-0241"/>
    <s v="Consumer"/>
    <x v="1"/>
    <x v="4"/>
    <x v="4"/>
    <x v="11"/>
    <n v="2"/>
    <n v="585.4"/>
    <n v="0"/>
    <n v="1170.8"/>
    <n v="396.83"/>
    <n v="377.14"/>
    <x v="0"/>
    <x v="0"/>
    <n v="4"/>
    <s v="Jan"/>
    <s v="01"/>
    <s v="profit"/>
    <s v="medium"/>
    <n v="32.212162623846943"/>
  </r>
  <r>
    <x v="55"/>
    <x v="21"/>
    <s v="CUST-0129"/>
    <s v="Consumer"/>
    <x v="3"/>
    <x v="7"/>
    <x v="4"/>
    <x v="7"/>
    <n v="5"/>
    <n v="752.62"/>
    <n v="0"/>
    <n v="3763.1"/>
    <n v="539.08000000000004"/>
    <n v="1067.6999999999998"/>
    <x v="1"/>
    <x v="7"/>
    <n v="4"/>
    <s v="Jan"/>
    <s v="01"/>
    <s v="profit"/>
    <s v="large"/>
    <n v="28.372884058356142"/>
  </r>
  <r>
    <x v="56"/>
    <x v="21"/>
    <s v="CUST-0224"/>
    <s v="Consumer"/>
    <x v="3"/>
    <x v="8"/>
    <x v="2"/>
    <x v="2"/>
    <n v="2"/>
    <n v="394.93"/>
    <n v="0.05"/>
    <n v="750.36699999999996"/>
    <n v="338.55"/>
    <n v="73.266999999999939"/>
    <x v="4"/>
    <x v="0"/>
    <n v="5"/>
    <s v="Jan"/>
    <s v="01"/>
    <s v="profit"/>
    <s v="medium"/>
    <n v="9.7641554066210201"/>
  </r>
  <r>
    <x v="57"/>
    <x v="22"/>
    <s v="CUST-0015"/>
    <s v="Corporate"/>
    <x v="3"/>
    <x v="8"/>
    <x v="3"/>
    <x v="20"/>
    <n v="10"/>
    <n v="37.99"/>
    <n v="0"/>
    <n v="379.90000000000003"/>
    <n v="24.68"/>
    <n v="133.10000000000002"/>
    <x v="3"/>
    <x v="7"/>
    <n v="5"/>
    <s v="Jan"/>
    <s v="01"/>
    <s v="profit"/>
    <s v="small"/>
    <n v="35.035535667280868"/>
  </r>
  <r>
    <x v="58"/>
    <x v="23"/>
    <s v="CUST-0041"/>
    <s v="Consumer"/>
    <x v="3"/>
    <x v="10"/>
    <x v="2"/>
    <x v="5"/>
    <n v="2"/>
    <n v="277.7"/>
    <n v="0.1"/>
    <n v="499.86"/>
    <n v="230.25"/>
    <n v="39.360000000000014"/>
    <x v="0"/>
    <x v="4"/>
    <n v="5"/>
    <s v="Jan"/>
    <s v="01"/>
    <s v="profit"/>
    <s v="small"/>
    <n v="7.8742047773376562"/>
  </r>
  <r>
    <x v="59"/>
    <x v="23"/>
    <s v="CUST-0319"/>
    <s v="Corporate"/>
    <x v="2"/>
    <x v="3"/>
    <x v="0"/>
    <x v="3"/>
    <n v="1"/>
    <n v="53.34"/>
    <n v="0.05"/>
    <n v="50.673000000000002"/>
    <n v="30.83"/>
    <n v="19.843000000000004"/>
    <x v="3"/>
    <x v="2"/>
    <n v="5"/>
    <s v="Jan"/>
    <s v="01"/>
    <s v="profit"/>
    <s v="small"/>
    <n v="39.158920924358142"/>
  </r>
  <r>
    <x v="60"/>
    <x v="23"/>
    <s v="CUST-0124"/>
    <s v="Small Business"/>
    <x v="3"/>
    <x v="8"/>
    <x v="0"/>
    <x v="17"/>
    <n v="2"/>
    <n v="25.06"/>
    <n v="0.1"/>
    <n v="45.107999999999997"/>
    <n v="12.69"/>
    <n v="19.727999999999998"/>
    <x v="1"/>
    <x v="3"/>
    <n v="4"/>
    <s v="Jan"/>
    <s v="01"/>
    <s v="profit"/>
    <s v="small"/>
    <n v="43.735035913806861"/>
  </r>
  <r>
    <x v="61"/>
    <x v="23"/>
    <s v="CUST-0199"/>
    <s v="Corporate"/>
    <x v="0"/>
    <x v="6"/>
    <x v="2"/>
    <x v="5"/>
    <n v="5"/>
    <n v="48.27"/>
    <n v="0"/>
    <n v="241.35000000000002"/>
    <n v="39.630000000000003"/>
    <n v="43.200000000000017"/>
    <x v="0"/>
    <x v="5"/>
    <n v="4"/>
    <s v="Jan"/>
    <s v="01"/>
    <s v="profit"/>
    <s v="small"/>
    <n v="17.899316345556251"/>
  </r>
  <r>
    <x v="62"/>
    <x v="24"/>
    <s v="CUST-0330"/>
    <s v="Consumer"/>
    <x v="2"/>
    <x v="3"/>
    <x v="2"/>
    <x v="13"/>
    <n v="1"/>
    <n v="886.35"/>
    <n v="0.05"/>
    <n v="842.03250000000003"/>
    <n v="714.19"/>
    <n v="127.84249999999997"/>
    <x v="1"/>
    <x v="0"/>
    <n v="4"/>
    <s v="Jan"/>
    <s v="01"/>
    <s v="profit"/>
    <s v="medium"/>
    <n v="15.182608747287066"/>
  </r>
  <r>
    <x v="63"/>
    <x v="24"/>
    <s v="CUST-0022"/>
    <s v="Corporate"/>
    <x v="0"/>
    <x v="6"/>
    <x v="1"/>
    <x v="19"/>
    <n v="1"/>
    <n v="93.02"/>
    <n v="0.1"/>
    <n v="83.718000000000004"/>
    <n v="52.21"/>
    <n v="31.508000000000003"/>
    <x v="0"/>
    <x v="6"/>
    <n v="5"/>
    <s v="Jan"/>
    <s v="01"/>
    <s v="profit"/>
    <s v="small"/>
    <n v="37.635872811103944"/>
  </r>
  <r>
    <x v="64"/>
    <x v="24"/>
    <s v="CUST-0336"/>
    <s v="Corporate"/>
    <x v="2"/>
    <x v="11"/>
    <x v="0"/>
    <x v="8"/>
    <n v="5"/>
    <n v="51.41"/>
    <n v="0"/>
    <n v="257.04999999999995"/>
    <n v="25.1"/>
    <n v="131.54999999999995"/>
    <x v="0"/>
    <x v="2"/>
    <n v="5"/>
    <s v="Jan"/>
    <s v="01"/>
    <s v="profit"/>
    <s v="small"/>
    <n v="51.176813849445622"/>
  </r>
  <r>
    <x v="65"/>
    <x v="25"/>
    <s v="CUST-0255"/>
    <s v="Corporate"/>
    <x v="1"/>
    <x v="1"/>
    <x v="0"/>
    <x v="3"/>
    <n v="10"/>
    <n v="129.19999999999999"/>
    <n v="0.05"/>
    <n v="1227.3999999999999"/>
    <n v="55.08"/>
    <n v="676.59999999999991"/>
    <x v="2"/>
    <x v="1"/>
    <n v="5"/>
    <s v="Jan"/>
    <s v="01"/>
    <s v="profit"/>
    <s v="medium"/>
    <n v="55.124653739612185"/>
  </r>
  <r>
    <x v="66"/>
    <x v="25"/>
    <s v="CUST-0168"/>
    <s v="Small Business"/>
    <x v="3"/>
    <x v="10"/>
    <x v="1"/>
    <x v="19"/>
    <n v="1"/>
    <n v="65.91"/>
    <n v="0"/>
    <n v="65.91"/>
    <n v="36.32"/>
    <n v="29.589999999999996"/>
    <x v="0"/>
    <x v="1"/>
    <n v="4"/>
    <s v="Jan"/>
    <s v="01"/>
    <s v="profit"/>
    <s v="small"/>
    <n v="44.894553178576842"/>
  </r>
  <r>
    <x v="67"/>
    <x v="25"/>
    <s v="CUST-0223"/>
    <s v="Corporate"/>
    <x v="0"/>
    <x v="5"/>
    <x v="1"/>
    <x v="15"/>
    <n v="5"/>
    <n v="147.26"/>
    <n v="0"/>
    <n v="736.3"/>
    <n v="100.09"/>
    <n v="235.84999999999991"/>
    <x v="3"/>
    <x v="2"/>
    <n v="4"/>
    <s v="Jan"/>
    <s v="01"/>
    <s v="profit"/>
    <s v="medium"/>
    <n v="32.031780524242826"/>
  </r>
  <r>
    <x v="68"/>
    <x v="26"/>
    <s v="CUST-0331"/>
    <s v="Corporate"/>
    <x v="1"/>
    <x v="4"/>
    <x v="0"/>
    <x v="0"/>
    <n v="1"/>
    <n v="86.93"/>
    <n v="0"/>
    <n v="86.93"/>
    <n v="53.4"/>
    <n v="33.530000000000008"/>
    <x v="0"/>
    <x v="6"/>
    <n v="5"/>
    <s v="Jan"/>
    <s v="01"/>
    <s v="profit"/>
    <s v="small"/>
    <n v="38.571264235591862"/>
  </r>
  <r>
    <x v="69"/>
    <x v="27"/>
    <s v="CUST-0272"/>
    <s v="Corporate"/>
    <x v="2"/>
    <x v="11"/>
    <x v="2"/>
    <x v="13"/>
    <n v="4"/>
    <n v="843.25"/>
    <n v="0.05"/>
    <n v="3204.35"/>
    <n v="638.91"/>
    <n v="648.71"/>
    <x v="1"/>
    <x v="7"/>
    <n v="4"/>
    <s v="Jan"/>
    <s v="01"/>
    <s v="profit"/>
    <s v="large"/>
    <n v="20.244667405245995"/>
  </r>
  <r>
    <x v="70"/>
    <x v="27"/>
    <s v="CUST-0361"/>
    <s v="Corporate"/>
    <x v="1"/>
    <x v="9"/>
    <x v="2"/>
    <x v="10"/>
    <n v="1"/>
    <n v="669.44"/>
    <n v="0.1"/>
    <n v="602.49600000000009"/>
    <n v="583.80999999999995"/>
    <n v="18.686000000000149"/>
    <x v="4"/>
    <x v="1"/>
    <n v="4"/>
    <s v="Jan"/>
    <s v="01"/>
    <s v="profit"/>
    <s v="medium"/>
    <n v="3.1014313787975598"/>
  </r>
  <r>
    <x v="71"/>
    <x v="27"/>
    <s v="CUST-0045"/>
    <s v="Small Business"/>
    <x v="1"/>
    <x v="4"/>
    <x v="3"/>
    <x v="16"/>
    <n v="6"/>
    <n v="40.33"/>
    <n v="0.05"/>
    <n v="229.88099999999997"/>
    <n v="23.37"/>
    <n v="89.660999999999973"/>
    <x v="0"/>
    <x v="7"/>
    <n v="5"/>
    <s v="Jan"/>
    <s v="01"/>
    <s v="profit"/>
    <s v="small"/>
    <n v="39.00322340689312"/>
  </r>
  <r>
    <x v="72"/>
    <x v="27"/>
    <s v="CUST-0103"/>
    <s v="Consumer"/>
    <x v="3"/>
    <x v="8"/>
    <x v="0"/>
    <x v="8"/>
    <n v="2"/>
    <n v="200.98"/>
    <n v="0"/>
    <n v="401.96"/>
    <n v="87.86"/>
    <n v="226.23999999999998"/>
    <x v="4"/>
    <x v="0"/>
    <n v="1"/>
    <s v="Jan"/>
    <s v="01"/>
    <s v="profit"/>
    <s v="small"/>
    <n v="56.284207383819286"/>
  </r>
  <r>
    <x v="73"/>
    <x v="28"/>
    <s v="CUST-0204"/>
    <s v="Small Business"/>
    <x v="3"/>
    <x v="10"/>
    <x v="0"/>
    <x v="8"/>
    <n v="6"/>
    <n v="126.8"/>
    <n v="0"/>
    <n v="760.8"/>
    <n v="51.26"/>
    <n v="453.23999999999995"/>
    <x v="1"/>
    <x v="6"/>
    <n v="5"/>
    <s v="Jan"/>
    <s v="01"/>
    <s v="profit"/>
    <s v="medium"/>
    <n v="59.574132492113563"/>
  </r>
  <r>
    <x v="74"/>
    <x v="28"/>
    <s v="CUST-0066"/>
    <s v="Small Business"/>
    <x v="0"/>
    <x v="6"/>
    <x v="1"/>
    <x v="19"/>
    <n v="2"/>
    <n v="36.909999999999997"/>
    <n v="0.05"/>
    <n v="70.128999999999991"/>
    <n v="25.34"/>
    <n v="19.448999999999991"/>
    <x v="2"/>
    <x v="3"/>
    <n v="5"/>
    <s v="Jan"/>
    <s v="01"/>
    <s v="profit"/>
    <s v="small"/>
    <n v="27.733177430164403"/>
  </r>
  <r>
    <x v="75"/>
    <x v="28"/>
    <s v="CUST-0166"/>
    <s v="Small Business"/>
    <x v="0"/>
    <x v="5"/>
    <x v="2"/>
    <x v="2"/>
    <n v="1"/>
    <n v="416.96"/>
    <n v="0"/>
    <n v="416.96"/>
    <n v="371.8"/>
    <n v="45.159999999999968"/>
    <x v="4"/>
    <x v="7"/>
    <n v="5"/>
    <s v="Jan"/>
    <s v="01"/>
    <s v="profit"/>
    <s v="small"/>
    <n v="10.830775134305441"/>
  </r>
  <r>
    <x v="76"/>
    <x v="29"/>
    <s v="CUST-0048"/>
    <s v="Small Business"/>
    <x v="2"/>
    <x v="3"/>
    <x v="0"/>
    <x v="8"/>
    <n v="3"/>
    <n v="193.04"/>
    <n v="0.1"/>
    <n v="521.20799999999997"/>
    <n v="113.38"/>
    <n v="181.06799999999998"/>
    <x v="4"/>
    <x v="3"/>
    <n v="3"/>
    <s v="Feb"/>
    <s v="02"/>
    <s v="profit"/>
    <s v="medium"/>
    <n v="34.740065386563515"/>
  </r>
  <r>
    <x v="77"/>
    <x v="29"/>
    <s v="CUST-0296"/>
    <s v="Corporate"/>
    <x v="0"/>
    <x v="0"/>
    <x v="0"/>
    <x v="8"/>
    <n v="1"/>
    <n v="192.44"/>
    <n v="0.1"/>
    <n v="173.196"/>
    <n v="97.97"/>
    <n v="75.225999999999999"/>
    <x v="4"/>
    <x v="6"/>
    <n v="4"/>
    <s v="Feb"/>
    <s v="02"/>
    <s v="profit"/>
    <s v="small"/>
    <n v="43.434028499503455"/>
  </r>
  <r>
    <x v="78"/>
    <x v="29"/>
    <s v="CUST-0153"/>
    <s v="Corporate"/>
    <x v="1"/>
    <x v="4"/>
    <x v="2"/>
    <x v="2"/>
    <n v="5"/>
    <n v="187.18"/>
    <n v="0.1"/>
    <n v="842.31000000000006"/>
    <n v="141.6"/>
    <n v="134.31000000000006"/>
    <x v="3"/>
    <x v="5"/>
    <n v="3"/>
    <s v="Feb"/>
    <s v="02"/>
    <s v="profit"/>
    <s v="medium"/>
    <n v="15.945435765929414"/>
  </r>
  <r>
    <x v="79"/>
    <x v="30"/>
    <s v="CUST-0177"/>
    <s v="Corporate"/>
    <x v="2"/>
    <x v="2"/>
    <x v="0"/>
    <x v="3"/>
    <n v="2"/>
    <n v="64.48"/>
    <n v="0.2"/>
    <n v="103.16800000000001"/>
    <n v="32.130000000000003"/>
    <n v="38.908000000000001"/>
    <x v="4"/>
    <x v="7"/>
    <n v="4"/>
    <s v="Feb"/>
    <s v="02"/>
    <s v="profit"/>
    <s v="small"/>
    <n v="37.713244416873451"/>
  </r>
  <r>
    <x v="80"/>
    <x v="30"/>
    <s v="CUST-0197"/>
    <s v="Small Business"/>
    <x v="3"/>
    <x v="7"/>
    <x v="2"/>
    <x v="13"/>
    <n v="1"/>
    <n v="673.18"/>
    <n v="0"/>
    <n v="673.18"/>
    <n v="578.85"/>
    <n v="94.329999999999927"/>
    <x v="1"/>
    <x v="4"/>
    <n v="5"/>
    <s v="Feb"/>
    <s v="02"/>
    <s v="profit"/>
    <s v="medium"/>
    <n v="14.012596928013298"/>
  </r>
  <r>
    <x v="81"/>
    <x v="30"/>
    <s v="CUST-0256"/>
    <s v="Corporate"/>
    <x v="3"/>
    <x v="7"/>
    <x v="3"/>
    <x v="9"/>
    <n v="2"/>
    <n v="756.94"/>
    <n v="0.05"/>
    <n v="1438.1860000000001"/>
    <n v="458.53"/>
    <n v="521.1260000000002"/>
    <x v="1"/>
    <x v="5"/>
    <n v="2"/>
    <s v="Feb"/>
    <s v="02"/>
    <s v="profit"/>
    <s v="medium"/>
    <n v="36.234951529218066"/>
  </r>
  <r>
    <x v="82"/>
    <x v="31"/>
    <s v="CUST-0335"/>
    <s v="Small Business"/>
    <x v="2"/>
    <x v="3"/>
    <x v="4"/>
    <x v="7"/>
    <n v="1"/>
    <n v="1170.02"/>
    <n v="0.05"/>
    <n v="1111.519"/>
    <n v="885.67"/>
    <n v="225.84900000000005"/>
    <x v="1"/>
    <x v="1"/>
    <n v="4"/>
    <s v="Feb"/>
    <s v="02"/>
    <s v="profit"/>
    <s v="medium"/>
    <n v="20.318950913119799"/>
  </r>
  <r>
    <x v="83"/>
    <x v="31"/>
    <s v="CUST-0292"/>
    <s v="Small Business"/>
    <x v="2"/>
    <x v="11"/>
    <x v="1"/>
    <x v="1"/>
    <n v="2"/>
    <n v="114.2"/>
    <n v="0.05"/>
    <n v="216.98"/>
    <n v="79.61"/>
    <n v="57.759999999999991"/>
    <x v="4"/>
    <x v="7"/>
    <n v="4"/>
    <s v="Feb"/>
    <s v="02"/>
    <s v="profit"/>
    <s v="small"/>
    <n v="26.619964973730291"/>
  </r>
  <r>
    <x v="84"/>
    <x v="32"/>
    <s v="CUST-0174"/>
    <s v="Small Business"/>
    <x v="0"/>
    <x v="0"/>
    <x v="2"/>
    <x v="2"/>
    <n v="10"/>
    <n v="246.63"/>
    <n v="0"/>
    <n v="2466.3000000000002"/>
    <n v="201.63"/>
    <n v="450.00000000000023"/>
    <x v="0"/>
    <x v="3"/>
    <n v="3"/>
    <s v="Feb"/>
    <s v="02"/>
    <s v="profit"/>
    <s v="large"/>
    <n v="18.245955479868638"/>
  </r>
  <r>
    <x v="85"/>
    <x v="32"/>
    <s v="CUST-0264"/>
    <s v="Consumer"/>
    <x v="2"/>
    <x v="11"/>
    <x v="0"/>
    <x v="17"/>
    <n v="2"/>
    <n v="9.2200000000000006"/>
    <n v="0"/>
    <n v="18.440000000000001"/>
    <n v="5.68"/>
    <n v="7.0800000000000018"/>
    <x v="0"/>
    <x v="7"/>
    <n v="3"/>
    <s v="Feb"/>
    <s v="02"/>
    <s v="profit"/>
    <s v="small"/>
    <n v="38.394793926247296"/>
  </r>
  <r>
    <x v="86"/>
    <x v="33"/>
    <s v="CUST-0009"/>
    <s v="Corporate"/>
    <x v="1"/>
    <x v="9"/>
    <x v="3"/>
    <x v="9"/>
    <n v="3"/>
    <n v="535.91999999999996"/>
    <n v="0.05"/>
    <n v="1527.3719999999996"/>
    <n v="347.56"/>
    <n v="484.69199999999955"/>
    <x v="0"/>
    <x v="2"/>
    <n v="5"/>
    <s v="Feb"/>
    <s v="02"/>
    <s v="profit"/>
    <s v="medium"/>
    <n v="31.733723022289244"/>
  </r>
  <r>
    <x v="87"/>
    <x v="33"/>
    <s v="CUST-0269"/>
    <s v="Small Business"/>
    <x v="3"/>
    <x v="10"/>
    <x v="0"/>
    <x v="17"/>
    <n v="1"/>
    <n v="24.12"/>
    <n v="0.05"/>
    <n v="22.914000000000001"/>
    <n v="14.08"/>
    <n v="8.8340000000000014"/>
    <x v="2"/>
    <x v="6"/>
    <n v="3"/>
    <s v="Feb"/>
    <s v="02"/>
    <s v="profit"/>
    <s v="small"/>
    <n v="38.552849786156941"/>
  </r>
  <r>
    <x v="88"/>
    <x v="33"/>
    <s v="CUST-0212"/>
    <s v="Small Business"/>
    <x v="3"/>
    <x v="7"/>
    <x v="1"/>
    <x v="19"/>
    <n v="2"/>
    <n v="79.39"/>
    <n v="0.05"/>
    <n v="150.84100000000001"/>
    <n v="48.42"/>
    <n v="54.001000000000005"/>
    <x v="4"/>
    <x v="6"/>
    <n v="4"/>
    <s v="Feb"/>
    <s v="02"/>
    <s v="profit"/>
    <s v="small"/>
    <n v="35.799948289921176"/>
  </r>
  <r>
    <x v="89"/>
    <x v="33"/>
    <s v="CUST-0167"/>
    <s v="Small Business"/>
    <x v="0"/>
    <x v="5"/>
    <x v="0"/>
    <x v="3"/>
    <n v="1"/>
    <n v="144.74"/>
    <n v="0"/>
    <n v="144.74"/>
    <n v="67.45"/>
    <n v="77.290000000000006"/>
    <x v="1"/>
    <x v="6"/>
    <n v="3"/>
    <s v="Feb"/>
    <s v="02"/>
    <s v="profit"/>
    <s v="small"/>
    <n v="53.399198562940441"/>
  </r>
  <r>
    <x v="90"/>
    <x v="33"/>
    <s v="CUST-0143"/>
    <s v="Small Business"/>
    <x v="2"/>
    <x v="2"/>
    <x v="2"/>
    <x v="2"/>
    <n v="2"/>
    <n v="206.66"/>
    <n v="0.2"/>
    <n v="330.65600000000001"/>
    <n v="175.01"/>
    <n v="-19.363999999999976"/>
    <x v="0"/>
    <x v="4"/>
    <n v="5"/>
    <s v="Feb"/>
    <s v="02"/>
    <s v="profit"/>
    <s v="small"/>
    <n v="-5.8562372979773469"/>
  </r>
  <r>
    <x v="91"/>
    <x v="33"/>
    <s v="CUST-0370"/>
    <s v="Corporate"/>
    <x v="1"/>
    <x v="1"/>
    <x v="3"/>
    <x v="9"/>
    <n v="2"/>
    <n v="608.19000000000005"/>
    <n v="0.05"/>
    <n v="1155.5610000000001"/>
    <n v="372.18"/>
    <n v="411.20100000000014"/>
    <x v="0"/>
    <x v="2"/>
    <n v="4"/>
    <s v="Feb"/>
    <s v="02"/>
    <s v="profit"/>
    <s v="medium"/>
    <n v="35.584534265175108"/>
  </r>
  <r>
    <x v="92"/>
    <x v="33"/>
    <s v="CUST-0041"/>
    <s v="Corporate"/>
    <x v="3"/>
    <x v="8"/>
    <x v="0"/>
    <x v="3"/>
    <n v="1"/>
    <n v="138.21"/>
    <n v="0.2"/>
    <n v="110.56800000000001"/>
    <n v="56.85"/>
    <n v="53.718000000000011"/>
    <x v="1"/>
    <x v="1"/>
    <n v="5"/>
    <s v="Feb"/>
    <s v="02"/>
    <s v="profit"/>
    <s v="small"/>
    <n v="48.583677013240724"/>
  </r>
  <r>
    <x v="93"/>
    <x v="33"/>
    <s v="CUST-0123"/>
    <s v="Consumer"/>
    <x v="2"/>
    <x v="3"/>
    <x v="2"/>
    <x v="2"/>
    <n v="1"/>
    <n v="180.32"/>
    <n v="0.1"/>
    <n v="162.28800000000001"/>
    <n v="147.09"/>
    <n v="15.198000000000008"/>
    <x v="3"/>
    <x v="4"/>
    <n v="4"/>
    <s v="Feb"/>
    <s v="02"/>
    <s v="profit"/>
    <s v="small"/>
    <n v="9.364832889677615"/>
  </r>
  <r>
    <x v="94"/>
    <x v="34"/>
    <s v="CUST-0081"/>
    <s v="Corporate"/>
    <x v="3"/>
    <x v="7"/>
    <x v="2"/>
    <x v="12"/>
    <n v="8"/>
    <n v="331.66"/>
    <n v="0.2"/>
    <n v="2122.6240000000003"/>
    <n v="274.99"/>
    <n v="-77.295999999999822"/>
    <x v="1"/>
    <x v="0"/>
    <n v="4"/>
    <s v="Feb"/>
    <s v="02"/>
    <s v="profit"/>
    <s v="large"/>
    <n v="-3.6415304830247757"/>
  </r>
  <r>
    <x v="95"/>
    <x v="34"/>
    <s v="CUST-0371"/>
    <s v="Consumer"/>
    <x v="0"/>
    <x v="5"/>
    <x v="1"/>
    <x v="6"/>
    <n v="3"/>
    <n v="107.45"/>
    <n v="0.05"/>
    <n v="306.23250000000002"/>
    <n v="66.709999999999994"/>
    <n v="106.10250000000002"/>
    <x v="4"/>
    <x v="6"/>
    <n v="5"/>
    <s v="Feb"/>
    <s v="02"/>
    <s v="profit"/>
    <s v="small"/>
    <n v="34.647694153951662"/>
  </r>
  <r>
    <x v="96"/>
    <x v="34"/>
    <s v="CUST-0149"/>
    <s v="Consumer"/>
    <x v="1"/>
    <x v="4"/>
    <x v="2"/>
    <x v="10"/>
    <n v="8"/>
    <n v="1397.88"/>
    <n v="0.2"/>
    <n v="8946.4320000000007"/>
    <n v="1174.8499999999999"/>
    <n v="-452.36799999999857"/>
    <x v="3"/>
    <x v="1"/>
    <n v="4"/>
    <s v="Feb"/>
    <s v="02"/>
    <s v="profit"/>
    <s v="large"/>
    <n v="-5.0564068446504544"/>
  </r>
  <r>
    <x v="97"/>
    <x v="34"/>
    <s v="CUST-0099"/>
    <s v="Consumer"/>
    <x v="1"/>
    <x v="4"/>
    <x v="2"/>
    <x v="5"/>
    <n v="5"/>
    <n v="106.83"/>
    <n v="0.05"/>
    <n v="507.44249999999994"/>
    <n v="80.3"/>
    <n v="105.94249999999994"/>
    <x v="0"/>
    <x v="3"/>
    <n v="5"/>
    <s v="Feb"/>
    <s v="02"/>
    <s v="profit"/>
    <s v="medium"/>
    <n v="20.877734915778625"/>
  </r>
  <r>
    <x v="98"/>
    <x v="35"/>
    <s v="CUST-0313"/>
    <s v="Small Business"/>
    <x v="2"/>
    <x v="2"/>
    <x v="0"/>
    <x v="0"/>
    <n v="3"/>
    <n v="25.92"/>
    <n v="0"/>
    <n v="77.760000000000005"/>
    <n v="14.66"/>
    <n v="33.78"/>
    <x v="1"/>
    <x v="6"/>
    <n v="4"/>
    <s v="Feb"/>
    <s v="02"/>
    <s v="profit"/>
    <s v="small"/>
    <n v="43.441358024691354"/>
  </r>
  <r>
    <x v="99"/>
    <x v="35"/>
    <s v="CUST-0229"/>
    <s v="Corporate"/>
    <x v="2"/>
    <x v="3"/>
    <x v="2"/>
    <x v="10"/>
    <n v="1"/>
    <n v="788.59"/>
    <n v="0"/>
    <n v="788.59"/>
    <n v="693.1"/>
    <n v="95.490000000000009"/>
    <x v="0"/>
    <x v="1"/>
    <n v="4"/>
    <s v="Feb"/>
    <s v="02"/>
    <s v="profit"/>
    <s v="medium"/>
    <n v="12.10895395579452"/>
  </r>
  <r>
    <x v="100"/>
    <x v="35"/>
    <s v="CUST-0208"/>
    <s v="Small Business"/>
    <x v="0"/>
    <x v="5"/>
    <x v="0"/>
    <x v="8"/>
    <n v="1"/>
    <n v="159.38999999999999"/>
    <n v="0"/>
    <n v="159.38999999999999"/>
    <n v="76"/>
    <n v="83.389999999999986"/>
    <x v="2"/>
    <x v="1"/>
    <n v="4"/>
    <s v="Feb"/>
    <s v="02"/>
    <s v="profit"/>
    <s v="small"/>
    <n v="52.318213187778404"/>
  </r>
  <r>
    <x v="101"/>
    <x v="35"/>
    <s v="CUST-0311"/>
    <s v="Corporate"/>
    <x v="3"/>
    <x v="8"/>
    <x v="0"/>
    <x v="8"/>
    <n v="1"/>
    <n v="109.32"/>
    <n v="0.1"/>
    <n v="98.387999999999991"/>
    <n v="65.02"/>
    <n v="33.367999999999995"/>
    <x v="1"/>
    <x v="0"/>
    <n v="5"/>
    <s v="Feb"/>
    <s v="02"/>
    <s v="profit"/>
    <s v="small"/>
    <n v="33.914705045330727"/>
  </r>
  <r>
    <x v="102"/>
    <x v="36"/>
    <s v="CUST-0040"/>
    <s v="Small Business"/>
    <x v="0"/>
    <x v="5"/>
    <x v="1"/>
    <x v="15"/>
    <n v="2"/>
    <n v="159.52000000000001"/>
    <n v="0.1"/>
    <n v="287.13600000000002"/>
    <n v="97.93"/>
    <n v="91.27600000000001"/>
    <x v="3"/>
    <x v="5"/>
    <n v="5"/>
    <s v="Feb"/>
    <s v="02"/>
    <s v="profit"/>
    <s v="small"/>
    <n v="31.788420818009584"/>
  </r>
  <r>
    <x v="103"/>
    <x v="36"/>
    <s v="CUST-0368"/>
    <s v="Small Business"/>
    <x v="2"/>
    <x v="2"/>
    <x v="3"/>
    <x v="16"/>
    <n v="2"/>
    <n v="96.59"/>
    <n v="0.1"/>
    <n v="173.86200000000002"/>
    <n v="69.55"/>
    <n v="34.762000000000029"/>
    <x v="1"/>
    <x v="2"/>
    <n v="5"/>
    <s v="Feb"/>
    <s v="02"/>
    <s v="profit"/>
    <s v="small"/>
    <n v="19.994018244354734"/>
  </r>
  <r>
    <x v="104"/>
    <x v="36"/>
    <s v="CUST-0158"/>
    <s v="Small Business"/>
    <x v="1"/>
    <x v="9"/>
    <x v="0"/>
    <x v="17"/>
    <n v="1"/>
    <n v="20.239999999999998"/>
    <n v="0.05"/>
    <n v="19.227999999999998"/>
    <n v="10.56"/>
    <n v="8.6679999999999975"/>
    <x v="3"/>
    <x v="6"/>
    <n v="3"/>
    <s v="Feb"/>
    <s v="02"/>
    <s v="profit"/>
    <s v="small"/>
    <n v="45.08009153318077"/>
  </r>
  <r>
    <x v="105"/>
    <x v="36"/>
    <s v="CUST-0036"/>
    <s v="Corporate"/>
    <x v="2"/>
    <x v="2"/>
    <x v="2"/>
    <x v="13"/>
    <n v="1"/>
    <n v="762.65"/>
    <n v="0.2"/>
    <n v="610.12"/>
    <n v="681.2"/>
    <n v="-71.080000000000041"/>
    <x v="3"/>
    <x v="1"/>
    <n v="4"/>
    <s v="Feb"/>
    <s v="02"/>
    <s v="profit"/>
    <s v="medium"/>
    <n v="-11.650167180226848"/>
  </r>
  <r>
    <x v="106"/>
    <x v="37"/>
    <s v="CUST-0339"/>
    <s v="Small Business"/>
    <x v="1"/>
    <x v="1"/>
    <x v="1"/>
    <x v="1"/>
    <n v="2"/>
    <n v="193.57"/>
    <n v="0.1"/>
    <n v="348.42599999999999"/>
    <n v="110.67"/>
    <n v="127.08599999999998"/>
    <x v="4"/>
    <x v="7"/>
    <n v="2"/>
    <s v="Feb"/>
    <s v="02"/>
    <s v="profit"/>
    <s v="small"/>
    <n v="36.474315923610753"/>
  </r>
  <r>
    <x v="107"/>
    <x v="38"/>
    <s v="CUST-0238"/>
    <s v="Small Business"/>
    <x v="3"/>
    <x v="7"/>
    <x v="3"/>
    <x v="20"/>
    <n v="4"/>
    <n v="109.33"/>
    <n v="0.2"/>
    <n v="349.85599999999999"/>
    <n v="66.08"/>
    <n v="85.536000000000001"/>
    <x v="2"/>
    <x v="6"/>
    <n v="4"/>
    <s v="Feb"/>
    <s v="02"/>
    <s v="profit"/>
    <s v="small"/>
    <n v="24.448916125491632"/>
  </r>
  <r>
    <x v="108"/>
    <x v="38"/>
    <s v="CUST-0339"/>
    <s v="Corporate"/>
    <x v="3"/>
    <x v="10"/>
    <x v="1"/>
    <x v="15"/>
    <n v="4"/>
    <n v="108.31"/>
    <n v="0"/>
    <n v="433.24"/>
    <n v="77.87"/>
    <n v="121.75999999999999"/>
    <x v="2"/>
    <x v="5"/>
    <n v="3"/>
    <s v="Feb"/>
    <s v="02"/>
    <s v="profit"/>
    <s v="small"/>
    <n v="28.104514818576305"/>
  </r>
  <r>
    <x v="109"/>
    <x v="38"/>
    <s v="CUST-0120"/>
    <s v="Small Business"/>
    <x v="0"/>
    <x v="0"/>
    <x v="2"/>
    <x v="2"/>
    <n v="4"/>
    <n v="92.42"/>
    <n v="0.05"/>
    <n v="351.19599999999997"/>
    <n v="74.89"/>
    <n v="51.635999999999967"/>
    <x v="4"/>
    <x v="5"/>
    <n v="3"/>
    <s v="Feb"/>
    <s v="02"/>
    <s v="profit"/>
    <s v="small"/>
    <n v="14.70290094420209"/>
  </r>
  <r>
    <x v="110"/>
    <x v="39"/>
    <s v="CUST-0165"/>
    <s v="Consumer"/>
    <x v="2"/>
    <x v="2"/>
    <x v="3"/>
    <x v="16"/>
    <n v="3"/>
    <n v="126.97"/>
    <n v="0.1"/>
    <n v="342.81899999999996"/>
    <n v="76.650000000000006"/>
    <n v="112.86899999999994"/>
    <x v="0"/>
    <x v="3"/>
    <n v="5"/>
    <s v="Feb"/>
    <s v="02"/>
    <s v="profit"/>
    <s v="small"/>
    <n v="32.923787771389556"/>
  </r>
  <r>
    <x v="111"/>
    <x v="39"/>
    <s v="CUST-0025"/>
    <s v="Corporate"/>
    <x v="3"/>
    <x v="10"/>
    <x v="0"/>
    <x v="3"/>
    <n v="3"/>
    <n v="76.06"/>
    <n v="0.05"/>
    <n v="216.77099999999999"/>
    <n v="48.28"/>
    <n v="71.930999999999983"/>
    <x v="1"/>
    <x v="7"/>
    <n v="4"/>
    <s v="Feb"/>
    <s v="02"/>
    <s v="profit"/>
    <s v="small"/>
    <n v="33.182944213017421"/>
  </r>
  <r>
    <x v="112"/>
    <x v="39"/>
    <s v="CUST-0363"/>
    <s v="Consumer"/>
    <x v="1"/>
    <x v="4"/>
    <x v="0"/>
    <x v="8"/>
    <n v="5"/>
    <n v="110.88"/>
    <n v="0"/>
    <n v="554.4"/>
    <n v="51.16"/>
    <n v="298.60000000000002"/>
    <x v="1"/>
    <x v="5"/>
    <n v="4"/>
    <s v="Feb"/>
    <s v="02"/>
    <s v="profit"/>
    <s v="medium"/>
    <n v="53.860028860028862"/>
  </r>
  <r>
    <x v="113"/>
    <x v="39"/>
    <s v="CUST-0190"/>
    <s v="Consumer"/>
    <x v="2"/>
    <x v="2"/>
    <x v="3"/>
    <x v="16"/>
    <n v="1"/>
    <n v="73.55"/>
    <n v="0.05"/>
    <n v="69.872499999999988"/>
    <n v="51.41"/>
    <n v="18.462499999999991"/>
    <x v="2"/>
    <x v="4"/>
    <n v="2"/>
    <s v="Feb"/>
    <s v="02"/>
    <s v="profit"/>
    <s v="small"/>
    <n v="26.423127839994265"/>
  </r>
  <r>
    <x v="114"/>
    <x v="39"/>
    <s v="CUST-0156"/>
    <s v="Consumer"/>
    <x v="3"/>
    <x v="8"/>
    <x v="4"/>
    <x v="14"/>
    <n v="1"/>
    <n v="403.24"/>
    <n v="0.15"/>
    <n v="342.75400000000002"/>
    <n v="307.42"/>
    <n v="35.334000000000003"/>
    <x v="4"/>
    <x v="4"/>
    <n v="5"/>
    <s v="Feb"/>
    <s v="02"/>
    <s v="profit"/>
    <s v="small"/>
    <n v="10.308851246083197"/>
  </r>
  <r>
    <x v="115"/>
    <x v="40"/>
    <s v="CUST-0398"/>
    <s v="Corporate"/>
    <x v="3"/>
    <x v="8"/>
    <x v="2"/>
    <x v="12"/>
    <n v="6"/>
    <n v="652.94000000000005"/>
    <n v="0.05"/>
    <n v="3721.7580000000003"/>
    <n v="519.52"/>
    <n v="604.63800000000037"/>
    <x v="1"/>
    <x v="0"/>
    <n v="4"/>
    <s v="Feb"/>
    <s v="02"/>
    <s v="profit"/>
    <s v="large"/>
    <n v="16.246032117080166"/>
  </r>
  <r>
    <x v="116"/>
    <x v="41"/>
    <s v="CUST-0390"/>
    <s v="Corporate"/>
    <x v="1"/>
    <x v="4"/>
    <x v="4"/>
    <x v="18"/>
    <n v="5"/>
    <n v="128.33000000000001"/>
    <n v="0.1"/>
    <n v="577.48500000000013"/>
    <n v="80.010000000000005"/>
    <n v="177.43500000000012"/>
    <x v="4"/>
    <x v="7"/>
    <n v="3"/>
    <s v="Feb"/>
    <s v="02"/>
    <s v="profit"/>
    <s v="medium"/>
    <n v="30.725473388919205"/>
  </r>
  <r>
    <x v="117"/>
    <x v="41"/>
    <s v="CUST-0195"/>
    <s v="Small Business"/>
    <x v="1"/>
    <x v="1"/>
    <x v="2"/>
    <x v="13"/>
    <n v="1"/>
    <n v="893"/>
    <n v="0"/>
    <n v="893"/>
    <n v="801.53"/>
    <n v="91.470000000000027"/>
    <x v="4"/>
    <x v="0"/>
    <n v="4"/>
    <s v="Feb"/>
    <s v="02"/>
    <s v="profit"/>
    <s v="medium"/>
    <n v="10.243001119820832"/>
  </r>
  <r>
    <x v="118"/>
    <x v="41"/>
    <s v="CUST-0087"/>
    <s v="Consumer"/>
    <x v="1"/>
    <x v="1"/>
    <x v="3"/>
    <x v="9"/>
    <n v="1"/>
    <n v="317.26"/>
    <n v="0.1"/>
    <n v="285.53399999999999"/>
    <n v="185.81"/>
    <n v="99.72399999999999"/>
    <x v="2"/>
    <x v="0"/>
    <n v="3"/>
    <s v="Feb"/>
    <s v="02"/>
    <s v="profit"/>
    <s v="small"/>
    <n v="34.925437951347298"/>
  </r>
  <r>
    <x v="119"/>
    <x v="41"/>
    <s v="CUST-0071"/>
    <s v="Small Business"/>
    <x v="0"/>
    <x v="5"/>
    <x v="3"/>
    <x v="4"/>
    <n v="1"/>
    <n v="31.91"/>
    <n v="0"/>
    <n v="31.91"/>
    <n v="18.579999999999998"/>
    <n v="13.330000000000002"/>
    <x v="4"/>
    <x v="2"/>
    <n v="5"/>
    <s v="Feb"/>
    <s v="02"/>
    <s v="profit"/>
    <s v="small"/>
    <n v="41.773738639924794"/>
  </r>
  <r>
    <x v="120"/>
    <x v="42"/>
    <s v="CUST-0283"/>
    <s v="Corporate"/>
    <x v="1"/>
    <x v="9"/>
    <x v="2"/>
    <x v="2"/>
    <n v="2"/>
    <n v="248.72"/>
    <n v="0"/>
    <n v="497.44"/>
    <n v="221.59"/>
    <n v="54.259999999999991"/>
    <x v="3"/>
    <x v="5"/>
    <n v="4"/>
    <s v="Feb"/>
    <s v="02"/>
    <s v="profit"/>
    <s v="small"/>
    <n v="10.907848182695398"/>
  </r>
  <r>
    <x v="121"/>
    <x v="42"/>
    <s v="CUST-0077"/>
    <s v="Consumer"/>
    <x v="1"/>
    <x v="4"/>
    <x v="4"/>
    <x v="18"/>
    <n v="1"/>
    <n v="63.26"/>
    <n v="0"/>
    <n v="63.26"/>
    <n v="40.32"/>
    <n v="22.939999999999998"/>
    <x v="4"/>
    <x v="1"/>
    <n v="5"/>
    <s v="Feb"/>
    <s v="02"/>
    <s v="profit"/>
    <s v="small"/>
    <n v="36.263041416376858"/>
  </r>
  <r>
    <x v="122"/>
    <x v="43"/>
    <s v="CUST-0154"/>
    <s v="Small Business"/>
    <x v="1"/>
    <x v="9"/>
    <x v="4"/>
    <x v="7"/>
    <n v="1"/>
    <n v="371.12"/>
    <n v="0.1"/>
    <n v="334.00800000000004"/>
    <n v="225.69"/>
    <n v="108.31800000000004"/>
    <x v="3"/>
    <x v="5"/>
    <n v="2"/>
    <s v="Feb"/>
    <s v="02"/>
    <s v="profit"/>
    <s v="small"/>
    <n v="32.429762161385369"/>
  </r>
  <r>
    <x v="123"/>
    <x v="44"/>
    <s v="CUST-0170"/>
    <s v="Small Business"/>
    <x v="3"/>
    <x v="7"/>
    <x v="4"/>
    <x v="7"/>
    <n v="2"/>
    <n v="350.5"/>
    <n v="0.05"/>
    <n v="665.94999999999993"/>
    <n v="279.74"/>
    <n v="106.46999999999991"/>
    <x v="3"/>
    <x v="5"/>
    <n v="3"/>
    <s v="Feb"/>
    <s v="02"/>
    <s v="profit"/>
    <s v="medium"/>
    <n v="15.987686763270503"/>
  </r>
  <r>
    <x v="124"/>
    <x v="44"/>
    <s v="CUST-0162"/>
    <s v="Consumer"/>
    <x v="2"/>
    <x v="2"/>
    <x v="3"/>
    <x v="20"/>
    <n v="3"/>
    <n v="70.66"/>
    <n v="0"/>
    <n v="211.98"/>
    <n v="39.93"/>
    <n v="92.19"/>
    <x v="4"/>
    <x v="3"/>
    <n v="5"/>
    <s v="Feb"/>
    <s v="02"/>
    <s v="profit"/>
    <s v="small"/>
    <n v="43.489951882253038"/>
  </r>
  <r>
    <x v="125"/>
    <x v="44"/>
    <s v="CUST-0277"/>
    <s v="Corporate"/>
    <x v="3"/>
    <x v="10"/>
    <x v="1"/>
    <x v="1"/>
    <n v="5"/>
    <n v="376.53"/>
    <n v="0"/>
    <n v="1882.6499999999999"/>
    <n v="259.86"/>
    <n v="583.34999999999968"/>
    <x v="1"/>
    <x v="3"/>
    <n v="5"/>
    <s v="Feb"/>
    <s v="02"/>
    <s v="profit"/>
    <s v="medium"/>
    <n v="30.98557883833956"/>
  </r>
  <r>
    <x v="126"/>
    <x v="44"/>
    <s v="CUST-0175"/>
    <s v="Small Business"/>
    <x v="0"/>
    <x v="0"/>
    <x v="1"/>
    <x v="19"/>
    <n v="2"/>
    <n v="72.58"/>
    <n v="0.15"/>
    <n v="123.386"/>
    <n v="40.29"/>
    <n v="42.805999999999997"/>
    <x v="2"/>
    <x v="6"/>
    <n v="5"/>
    <s v="Feb"/>
    <s v="02"/>
    <s v="profit"/>
    <s v="small"/>
    <n v="34.692752824469551"/>
  </r>
  <r>
    <x v="127"/>
    <x v="44"/>
    <s v="CUST-0096"/>
    <s v="Small Business"/>
    <x v="3"/>
    <x v="8"/>
    <x v="4"/>
    <x v="18"/>
    <n v="3"/>
    <n v="208.87"/>
    <n v="0"/>
    <n v="626.61"/>
    <n v="148.27000000000001"/>
    <n v="181.79999999999995"/>
    <x v="2"/>
    <x v="6"/>
    <n v="2"/>
    <s v="Feb"/>
    <s v="02"/>
    <s v="profit"/>
    <s v="medium"/>
    <n v="29.013261837506576"/>
  </r>
  <r>
    <x v="128"/>
    <x v="44"/>
    <s v="CUST-0379"/>
    <s v="Corporate"/>
    <x v="3"/>
    <x v="8"/>
    <x v="0"/>
    <x v="0"/>
    <n v="4"/>
    <n v="71.349999999999994"/>
    <n v="0.1"/>
    <n v="256.86"/>
    <n v="44.91"/>
    <n v="77.220000000000027"/>
    <x v="0"/>
    <x v="7"/>
    <n v="2"/>
    <s v="Feb"/>
    <s v="02"/>
    <s v="profit"/>
    <s v="small"/>
    <n v="30.063069376313955"/>
  </r>
  <r>
    <x v="129"/>
    <x v="45"/>
    <s v="CUST-0286"/>
    <s v="Small Business"/>
    <x v="0"/>
    <x v="0"/>
    <x v="2"/>
    <x v="5"/>
    <n v="1"/>
    <n v="150.08000000000001"/>
    <n v="0.05"/>
    <n v="142.57599999999999"/>
    <n v="117.93"/>
    <n v="24.645999999999987"/>
    <x v="2"/>
    <x v="6"/>
    <n v="2"/>
    <s v="Feb"/>
    <s v="02"/>
    <s v="profit"/>
    <s v="small"/>
    <n v="17.286219279542131"/>
  </r>
  <r>
    <x v="130"/>
    <x v="46"/>
    <s v="CUST-0399"/>
    <s v="Consumer"/>
    <x v="2"/>
    <x v="11"/>
    <x v="2"/>
    <x v="2"/>
    <n v="1"/>
    <n v="114.43"/>
    <n v="0.05"/>
    <n v="108.7085"/>
    <n v="92.72"/>
    <n v="15.988500000000002"/>
    <x v="2"/>
    <x v="4"/>
    <n v="4"/>
    <s v="Feb"/>
    <s v="02"/>
    <s v="profit"/>
    <s v="small"/>
    <n v="14.707681552040549"/>
  </r>
  <r>
    <x v="131"/>
    <x v="46"/>
    <s v="CUST-0142"/>
    <s v="Corporate"/>
    <x v="2"/>
    <x v="11"/>
    <x v="2"/>
    <x v="12"/>
    <n v="1"/>
    <n v="243.23"/>
    <n v="0"/>
    <n v="243.23"/>
    <n v="209.1"/>
    <n v="34.129999999999995"/>
    <x v="0"/>
    <x v="0"/>
    <n v="5"/>
    <s v="Feb"/>
    <s v="02"/>
    <s v="profit"/>
    <s v="small"/>
    <n v="14.031986185914565"/>
  </r>
  <r>
    <x v="132"/>
    <x v="47"/>
    <s v="CUST-0203"/>
    <s v="Corporate"/>
    <x v="3"/>
    <x v="8"/>
    <x v="4"/>
    <x v="11"/>
    <n v="1"/>
    <n v="466.03"/>
    <n v="0"/>
    <n v="466.03"/>
    <n v="326.61"/>
    <n v="139.41999999999996"/>
    <x v="2"/>
    <x v="6"/>
    <n v="5"/>
    <s v="Feb"/>
    <s v="02"/>
    <s v="profit"/>
    <s v="small"/>
    <n v="29.916528978821098"/>
  </r>
  <r>
    <x v="133"/>
    <x v="47"/>
    <s v="CUST-0103"/>
    <s v="Corporate"/>
    <x v="3"/>
    <x v="8"/>
    <x v="4"/>
    <x v="18"/>
    <n v="2"/>
    <n v="141.82"/>
    <n v="0.2"/>
    <n v="226.91200000000001"/>
    <n v="90.1"/>
    <n v="46.712000000000018"/>
    <x v="0"/>
    <x v="3"/>
    <n v="5"/>
    <s v="Feb"/>
    <s v="02"/>
    <s v="profit"/>
    <s v="small"/>
    <n v="20.585954026230439"/>
  </r>
  <r>
    <x v="134"/>
    <x v="47"/>
    <s v="CUST-0202"/>
    <s v="Corporate"/>
    <x v="3"/>
    <x v="8"/>
    <x v="3"/>
    <x v="9"/>
    <n v="2"/>
    <n v="627.66999999999996"/>
    <n v="0.15"/>
    <n v="1067.039"/>
    <n v="391.3"/>
    <n v="284.43899999999996"/>
    <x v="3"/>
    <x v="4"/>
    <n v="4"/>
    <s v="Feb"/>
    <s v="02"/>
    <s v="profit"/>
    <s v="medium"/>
    <n v="26.656851342828141"/>
  </r>
  <r>
    <x v="135"/>
    <x v="48"/>
    <s v="CUST-0036"/>
    <s v="Corporate"/>
    <x v="3"/>
    <x v="8"/>
    <x v="0"/>
    <x v="17"/>
    <n v="4"/>
    <n v="33.729999999999997"/>
    <n v="0.15"/>
    <n v="114.68199999999999"/>
    <n v="18.03"/>
    <n v="42.561999999999983"/>
    <x v="1"/>
    <x v="3"/>
    <n v="4"/>
    <s v="Feb"/>
    <s v="02"/>
    <s v="profit"/>
    <s v="small"/>
    <n v="37.113060462845077"/>
  </r>
  <r>
    <x v="136"/>
    <x v="48"/>
    <s v="CUST-0206"/>
    <s v="Small Business"/>
    <x v="0"/>
    <x v="6"/>
    <x v="2"/>
    <x v="13"/>
    <n v="10"/>
    <n v="872.19"/>
    <n v="0.05"/>
    <n v="8285.8050000000003"/>
    <n v="681.74"/>
    <n v="1468.4050000000007"/>
    <x v="2"/>
    <x v="6"/>
    <n v="4"/>
    <s v="Feb"/>
    <s v="02"/>
    <s v="profit"/>
    <s v="large"/>
    <n v="17.721935285708518"/>
  </r>
  <r>
    <x v="137"/>
    <x v="48"/>
    <s v="CUST-0182"/>
    <s v="Consumer"/>
    <x v="0"/>
    <x v="0"/>
    <x v="1"/>
    <x v="6"/>
    <n v="4"/>
    <n v="187.34"/>
    <n v="0.1"/>
    <n v="674.42399999999998"/>
    <n v="110.07"/>
    <n v="234.14400000000001"/>
    <x v="2"/>
    <x v="5"/>
    <n v="4"/>
    <s v="Feb"/>
    <s v="02"/>
    <s v="profit"/>
    <s v="medium"/>
    <n v="34.717625707270209"/>
  </r>
  <r>
    <x v="138"/>
    <x v="49"/>
    <s v="CUST-0262"/>
    <s v="Small Business"/>
    <x v="1"/>
    <x v="4"/>
    <x v="0"/>
    <x v="3"/>
    <n v="1"/>
    <n v="156.02000000000001"/>
    <n v="0"/>
    <n v="156.02000000000001"/>
    <n v="88.48"/>
    <n v="67.540000000000006"/>
    <x v="2"/>
    <x v="4"/>
    <n v="4"/>
    <s v="Feb"/>
    <s v="02"/>
    <s v="profit"/>
    <s v="small"/>
    <n v="43.289321881810025"/>
  </r>
  <r>
    <x v="139"/>
    <x v="49"/>
    <s v="CUST-0060"/>
    <s v="Small Business"/>
    <x v="0"/>
    <x v="6"/>
    <x v="4"/>
    <x v="11"/>
    <n v="2"/>
    <n v="285.58"/>
    <n v="0.2"/>
    <n v="456.928"/>
    <n v="227.06"/>
    <n v="2.8079999999999927"/>
    <x v="4"/>
    <x v="7"/>
    <n v="3"/>
    <s v="Feb"/>
    <s v="02"/>
    <s v="profit"/>
    <s v="small"/>
    <n v="0.61453883325162673"/>
  </r>
  <r>
    <x v="140"/>
    <x v="49"/>
    <s v="CUST-0035"/>
    <s v="Corporate"/>
    <x v="0"/>
    <x v="6"/>
    <x v="0"/>
    <x v="0"/>
    <n v="4"/>
    <n v="58.87"/>
    <n v="0.05"/>
    <n v="223.70599999999999"/>
    <n v="33.14"/>
    <n v="91.145999999999987"/>
    <x v="3"/>
    <x v="2"/>
    <n v="1"/>
    <s v="Feb"/>
    <s v="02"/>
    <s v="profit"/>
    <s v="small"/>
    <n v="40.743654618114846"/>
  </r>
  <r>
    <x v="141"/>
    <x v="49"/>
    <s v="CUST-0287"/>
    <s v="Corporate"/>
    <x v="3"/>
    <x v="10"/>
    <x v="4"/>
    <x v="14"/>
    <n v="1"/>
    <n v="330.54"/>
    <n v="0"/>
    <n v="330.54"/>
    <n v="253.57"/>
    <n v="76.970000000000027"/>
    <x v="1"/>
    <x v="4"/>
    <n v="5"/>
    <s v="Feb"/>
    <s v="02"/>
    <s v="profit"/>
    <s v="small"/>
    <n v="23.28613783505779"/>
  </r>
  <r>
    <x v="142"/>
    <x v="49"/>
    <s v="CUST-0304"/>
    <s v="Corporate"/>
    <x v="0"/>
    <x v="5"/>
    <x v="0"/>
    <x v="0"/>
    <n v="3"/>
    <n v="66.63"/>
    <n v="0"/>
    <n v="199.89"/>
    <n v="36.11"/>
    <n v="91.559999999999988"/>
    <x v="1"/>
    <x v="5"/>
    <n v="5"/>
    <s v="Feb"/>
    <s v="02"/>
    <s v="profit"/>
    <s v="small"/>
    <n v="45.805192856070839"/>
  </r>
  <r>
    <x v="143"/>
    <x v="50"/>
    <s v="CUST-0135"/>
    <s v="Small Business"/>
    <x v="3"/>
    <x v="8"/>
    <x v="2"/>
    <x v="10"/>
    <n v="2"/>
    <n v="1083.01"/>
    <n v="0.05"/>
    <n v="2057.7190000000001"/>
    <n v="844.83"/>
    <n v="368.05899999999997"/>
    <x v="1"/>
    <x v="7"/>
    <n v="4"/>
    <s v="Feb"/>
    <s v="02"/>
    <s v="profit"/>
    <s v="large"/>
    <n v="17.886747413033557"/>
  </r>
  <r>
    <x v="144"/>
    <x v="51"/>
    <s v="CUST-0315"/>
    <s v="Small Business"/>
    <x v="3"/>
    <x v="10"/>
    <x v="0"/>
    <x v="17"/>
    <n v="4"/>
    <n v="17.39"/>
    <n v="0"/>
    <n v="69.56"/>
    <n v="7.63"/>
    <n v="39.040000000000006"/>
    <x v="3"/>
    <x v="3"/>
    <n v="3"/>
    <s v="Feb"/>
    <s v="02"/>
    <s v="profit"/>
    <s v="small"/>
    <n v="56.124209315698678"/>
  </r>
  <r>
    <x v="145"/>
    <x v="51"/>
    <s v="CUST-0217"/>
    <s v="Consumer"/>
    <x v="1"/>
    <x v="1"/>
    <x v="2"/>
    <x v="10"/>
    <n v="3"/>
    <n v="787.28"/>
    <n v="0.05"/>
    <n v="2243.748"/>
    <n v="626.66"/>
    <n v="363.76800000000003"/>
    <x v="1"/>
    <x v="3"/>
    <n v="4"/>
    <s v="Feb"/>
    <s v="02"/>
    <s v="profit"/>
    <s v="large"/>
    <n v="16.212515844025265"/>
  </r>
  <r>
    <x v="146"/>
    <x v="51"/>
    <s v="CUST-0100"/>
    <s v="Corporate"/>
    <x v="0"/>
    <x v="6"/>
    <x v="0"/>
    <x v="0"/>
    <n v="8"/>
    <n v="37.159999999999997"/>
    <n v="0.05"/>
    <n v="282.41599999999994"/>
    <n v="16.329999999999998"/>
    <n v="151.77599999999995"/>
    <x v="2"/>
    <x v="0"/>
    <n v="4"/>
    <s v="Feb"/>
    <s v="02"/>
    <s v="profit"/>
    <s v="small"/>
    <n v="53.741997620531414"/>
  </r>
  <r>
    <x v="147"/>
    <x v="51"/>
    <s v="CUST-0276"/>
    <s v="Corporate"/>
    <x v="0"/>
    <x v="0"/>
    <x v="0"/>
    <x v="3"/>
    <n v="1"/>
    <n v="98.64"/>
    <n v="0"/>
    <n v="98.64"/>
    <n v="62.08"/>
    <n v="36.56"/>
    <x v="4"/>
    <x v="0"/>
    <n v="4"/>
    <s v="Feb"/>
    <s v="02"/>
    <s v="profit"/>
    <s v="small"/>
    <n v="37.064071370640718"/>
  </r>
  <r>
    <x v="148"/>
    <x v="52"/>
    <s v="CUST-0188"/>
    <s v="Small Business"/>
    <x v="0"/>
    <x v="6"/>
    <x v="1"/>
    <x v="1"/>
    <n v="4"/>
    <n v="251.41"/>
    <n v="0.15"/>
    <n v="854.79399999999998"/>
    <n v="182.87"/>
    <n v="123.31399999999996"/>
    <x v="3"/>
    <x v="0"/>
    <n v="4"/>
    <s v="Feb"/>
    <s v="02"/>
    <s v="profit"/>
    <s v="medium"/>
    <n v="14.426165836447142"/>
  </r>
  <r>
    <x v="149"/>
    <x v="52"/>
    <s v="CUST-0135"/>
    <s v="Corporate"/>
    <x v="3"/>
    <x v="8"/>
    <x v="3"/>
    <x v="4"/>
    <n v="5"/>
    <n v="39.97"/>
    <n v="0"/>
    <n v="199.85"/>
    <n v="24.75"/>
    <n v="76.099999999999994"/>
    <x v="3"/>
    <x v="0"/>
    <n v="5"/>
    <s v="Feb"/>
    <s v="02"/>
    <s v="profit"/>
    <s v="small"/>
    <n v="38.078558919189391"/>
  </r>
  <r>
    <x v="150"/>
    <x v="52"/>
    <s v="CUST-0316"/>
    <s v="Consumer"/>
    <x v="2"/>
    <x v="2"/>
    <x v="2"/>
    <x v="13"/>
    <n v="3"/>
    <n v="467.9"/>
    <n v="0.05"/>
    <n v="1333.5149999999999"/>
    <n v="369.34"/>
    <n v="225.49499999999989"/>
    <x v="4"/>
    <x v="4"/>
    <n v="5"/>
    <s v="Feb"/>
    <s v="02"/>
    <s v="profit"/>
    <s v="medium"/>
    <n v="16.909821036883717"/>
  </r>
  <r>
    <x v="151"/>
    <x v="52"/>
    <s v="CUST-0264"/>
    <s v="Small Business"/>
    <x v="2"/>
    <x v="11"/>
    <x v="0"/>
    <x v="8"/>
    <n v="3"/>
    <n v="149.44999999999999"/>
    <n v="0.2"/>
    <n v="358.68"/>
    <n v="90.85"/>
    <n v="86.130000000000052"/>
    <x v="3"/>
    <x v="3"/>
    <n v="5"/>
    <s v="Feb"/>
    <s v="02"/>
    <s v="profit"/>
    <s v="small"/>
    <n v="24.013047842087669"/>
  </r>
  <r>
    <x v="152"/>
    <x v="53"/>
    <s v="CUST-0365"/>
    <s v="Corporate"/>
    <x v="3"/>
    <x v="10"/>
    <x v="1"/>
    <x v="19"/>
    <n v="5"/>
    <n v="119.29"/>
    <n v="0"/>
    <n v="596.45000000000005"/>
    <n v="68.78"/>
    <n v="252.55000000000007"/>
    <x v="4"/>
    <x v="6"/>
    <n v="4"/>
    <s v="Feb"/>
    <s v="02"/>
    <s v="profit"/>
    <s v="medium"/>
    <n v="42.342191298516227"/>
  </r>
  <r>
    <x v="153"/>
    <x v="54"/>
    <s v="CUST-0207"/>
    <s v="Small Business"/>
    <x v="0"/>
    <x v="5"/>
    <x v="0"/>
    <x v="8"/>
    <n v="4"/>
    <n v="154.87"/>
    <n v="0.1"/>
    <n v="557.53200000000004"/>
    <n v="86.14"/>
    <n v="212.97200000000004"/>
    <x v="0"/>
    <x v="7"/>
    <n v="4"/>
    <s v="Feb"/>
    <s v="02"/>
    <s v="profit"/>
    <s v="medium"/>
    <n v="38.199063013423448"/>
  </r>
  <r>
    <x v="154"/>
    <x v="54"/>
    <s v="CUST-0358"/>
    <s v="Corporate"/>
    <x v="0"/>
    <x v="5"/>
    <x v="0"/>
    <x v="17"/>
    <n v="10"/>
    <n v="31.46"/>
    <n v="0.1"/>
    <n v="283.14000000000004"/>
    <n v="13.79"/>
    <n v="145.24000000000007"/>
    <x v="3"/>
    <x v="6"/>
    <n v="3"/>
    <s v="Feb"/>
    <s v="02"/>
    <s v="profit"/>
    <s v="small"/>
    <n v="51.296178568905859"/>
  </r>
  <r>
    <x v="155"/>
    <x v="54"/>
    <s v="CUST-0249"/>
    <s v="Corporate"/>
    <x v="2"/>
    <x v="11"/>
    <x v="0"/>
    <x v="0"/>
    <n v="2"/>
    <n v="57.16"/>
    <n v="0"/>
    <n v="114.32"/>
    <n v="32.54"/>
    <n v="49.239999999999995"/>
    <x v="3"/>
    <x v="5"/>
    <n v="2"/>
    <s v="Feb"/>
    <s v="02"/>
    <s v="profit"/>
    <s v="small"/>
    <n v="43.072078376487049"/>
  </r>
  <r>
    <x v="156"/>
    <x v="54"/>
    <s v="CUST-0220"/>
    <s v="Consumer"/>
    <x v="3"/>
    <x v="8"/>
    <x v="1"/>
    <x v="1"/>
    <n v="2"/>
    <n v="75.37"/>
    <n v="0.2"/>
    <n v="120.59200000000001"/>
    <n v="42.52"/>
    <n v="35.552000000000007"/>
    <x v="4"/>
    <x v="1"/>
    <n v="3"/>
    <s v="Feb"/>
    <s v="02"/>
    <s v="profit"/>
    <s v="small"/>
    <n v="29.481225951970281"/>
  </r>
  <r>
    <x v="157"/>
    <x v="55"/>
    <s v="CUST-0027"/>
    <s v="Corporate"/>
    <x v="0"/>
    <x v="6"/>
    <x v="3"/>
    <x v="9"/>
    <n v="3"/>
    <n v="210.67"/>
    <n v="0.1"/>
    <n v="568.80899999999997"/>
    <n v="142.82"/>
    <n v="140.34899999999999"/>
    <x v="0"/>
    <x v="4"/>
    <n v="4"/>
    <s v="Feb"/>
    <s v="02"/>
    <s v="profit"/>
    <s v="medium"/>
    <n v="24.674187644710262"/>
  </r>
  <r>
    <x v="158"/>
    <x v="55"/>
    <s v="CUST-0005"/>
    <s v="Consumer"/>
    <x v="3"/>
    <x v="10"/>
    <x v="2"/>
    <x v="10"/>
    <n v="1"/>
    <n v="650.80999999999995"/>
    <n v="0.1"/>
    <n v="585.72899999999993"/>
    <n v="539.17999999999995"/>
    <n v="46.548999999999978"/>
    <x v="0"/>
    <x v="2"/>
    <n v="5"/>
    <s v="Feb"/>
    <s v="02"/>
    <s v="profit"/>
    <s v="medium"/>
    <n v="7.9471905949679771"/>
  </r>
  <r>
    <x v="159"/>
    <x v="55"/>
    <s v="CUST-0189"/>
    <s v="Corporate"/>
    <x v="0"/>
    <x v="5"/>
    <x v="0"/>
    <x v="0"/>
    <n v="5"/>
    <n v="56.05"/>
    <n v="0"/>
    <n v="280.25"/>
    <n v="33.22"/>
    <n v="114.15"/>
    <x v="4"/>
    <x v="6"/>
    <n v="5"/>
    <s v="Feb"/>
    <s v="02"/>
    <s v="profit"/>
    <s v="small"/>
    <n v="40.731489741302411"/>
  </r>
  <r>
    <x v="160"/>
    <x v="55"/>
    <s v="CUST-0085"/>
    <s v="Corporate"/>
    <x v="0"/>
    <x v="5"/>
    <x v="1"/>
    <x v="15"/>
    <n v="3"/>
    <n v="139.07"/>
    <n v="0.1"/>
    <n v="375.48899999999998"/>
    <n v="85.47"/>
    <n v="119.07900000000001"/>
    <x v="0"/>
    <x v="4"/>
    <n v="4"/>
    <s v="Feb"/>
    <s v="02"/>
    <s v="profit"/>
    <s v="small"/>
    <n v="31.713046187771148"/>
  </r>
  <r>
    <x v="161"/>
    <x v="55"/>
    <s v="CUST-0064"/>
    <s v="Small Business"/>
    <x v="3"/>
    <x v="7"/>
    <x v="2"/>
    <x v="12"/>
    <n v="6"/>
    <n v="488.84"/>
    <n v="0"/>
    <n v="2933.04"/>
    <n v="407.52"/>
    <n v="487.92000000000007"/>
    <x v="1"/>
    <x v="7"/>
    <n v="5"/>
    <s v="Feb"/>
    <s v="02"/>
    <s v="profit"/>
    <s v="large"/>
    <n v="16.635299893625728"/>
  </r>
  <r>
    <x v="162"/>
    <x v="56"/>
    <s v="CUST-0146"/>
    <s v="Small Business"/>
    <x v="3"/>
    <x v="10"/>
    <x v="4"/>
    <x v="11"/>
    <n v="3"/>
    <n v="238.94"/>
    <n v="0.1"/>
    <n v="645.13799999999992"/>
    <n v="160.35"/>
    <n v="164.08799999999997"/>
    <x v="3"/>
    <x v="1"/>
    <n v="3"/>
    <s v="Mar"/>
    <s v="03"/>
    <s v="profit"/>
    <s v="medium"/>
    <n v="25.434558187550572"/>
  </r>
  <r>
    <x v="163"/>
    <x v="56"/>
    <s v="CUST-0256"/>
    <s v="Small Business"/>
    <x v="0"/>
    <x v="0"/>
    <x v="0"/>
    <x v="0"/>
    <n v="2"/>
    <n v="73.61"/>
    <n v="0"/>
    <n v="147.22"/>
    <n v="42.41"/>
    <n v="62.400000000000006"/>
    <x v="2"/>
    <x v="2"/>
    <n v="4"/>
    <s v="Mar"/>
    <s v="03"/>
    <s v="profit"/>
    <s v="small"/>
    <n v="42.385545442195358"/>
  </r>
  <r>
    <x v="164"/>
    <x v="56"/>
    <s v="CUST-0242"/>
    <s v="Consumer"/>
    <x v="1"/>
    <x v="1"/>
    <x v="3"/>
    <x v="9"/>
    <n v="2"/>
    <n v="757.05"/>
    <n v="0"/>
    <n v="1514.1"/>
    <n v="547.79999999999995"/>
    <n v="418.5"/>
    <x v="3"/>
    <x v="2"/>
    <n v="1"/>
    <s v="Mar"/>
    <s v="03"/>
    <s v="profit"/>
    <s v="medium"/>
    <n v="27.640182286506835"/>
  </r>
  <r>
    <x v="165"/>
    <x v="57"/>
    <s v="CUST-0217"/>
    <s v="Small Business"/>
    <x v="2"/>
    <x v="2"/>
    <x v="2"/>
    <x v="10"/>
    <n v="4"/>
    <n v="1361.51"/>
    <n v="0.1"/>
    <n v="4901.4359999999997"/>
    <n v="1144.08"/>
    <n v="325.11599999999999"/>
    <x v="1"/>
    <x v="2"/>
    <n v="4"/>
    <s v="Mar"/>
    <s v="03"/>
    <s v="profit"/>
    <s v="large"/>
    <n v="6.6330765106389231"/>
  </r>
  <r>
    <x v="166"/>
    <x v="58"/>
    <s v="CUST-0325"/>
    <s v="Small Business"/>
    <x v="3"/>
    <x v="7"/>
    <x v="0"/>
    <x v="0"/>
    <n v="2"/>
    <n v="43.04"/>
    <n v="0"/>
    <n v="86.08"/>
    <n v="24.64"/>
    <n v="36.799999999999997"/>
    <x v="3"/>
    <x v="1"/>
    <n v="4"/>
    <s v="Mar"/>
    <s v="03"/>
    <s v="profit"/>
    <s v="small"/>
    <n v="42.750929368029738"/>
  </r>
  <r>
    <x v="167"/>
    <x v="58"/>
    <s v="CUST-0159"/>
    <s v="Small Business"/>
    <x v="1"/>
    <x v="4"/>
    <x v="1"/>
    <x v="15"/>
    <n v="2"/>
    <n v="39.840000000000003"/>
    <n v="0.1"/>
    <n v="71.712000000000003"/>
    <n v="29.19"/>
    <n v="13.332000000000001"/>
    <x v="4"/>
    <x v="2"/>
    <n v="1"/>
    <s v="Mar"/>
    <s v="03"/>
    <s v="profit"/>
    <s v="small"/>
    <n v="18.591030789825972"/>
  </r>
  <r>
    <x v="168"/>
    <x v="58"/>
    <s v="CUST-0138"/>
    <s v="Small Business"/>
    <x v="2"/>
    <x v="3"/>
    <x v="2"/>
    <x v="10"/>
    <n v="2"/>
    <n v="772.87"/>
    <n v="0.1"/>
    <n v="1391.1659999999999"/>
    <n v="585.1"/>
    <n v="220.96599999999989"/>
    <x v="3"/>
    <x v="5"/>
    <n v="4"/>
    <s v="Mar"/>
    <s v="03"/>
    <s v="profit"/>
    <s v="medium"/>
    <n v="15.883510666591901"/>
  </r>
  <r>
    <x v="169"/>
    <x v="58"/>
    <s v="CUST-0256"/>
    <s v="Small Business"/>
    <x v="0"/>
    <x v="6"/>
    <x v="0"/>
    <x v="17"/>
    <n v="2"/>
    <n v="15.1"/>
    <n v="0"/>
    <n v="30.2"/>
    <n v="6.13"/>
    <n v="17.939999999999998"/>
    <x v="4"/>
    <x v="7"/>
    <n v="3"/>
    <s v="Mar"/>
    <s v="03"/>
    <s v="profit"/>
    <s v="small"/>
    <n v="59.40397350993377"/>
  </r>
  <r>
    <x v="170"/>
    <x v="58"/>
    <s v="CUST-0197"/>
    <s v="Consumer"/>
    <x v="0"/>
    <x v="0"/>
    <x v="1"/>
    <x v="19"/>
    <n v="1"/>
    <n v="46.7"/>
    <n v="0.05"/>
    <n v="44.365000000000002"/>
    <n v="30.27"/>
    <n v="14.095000000000002"/>
    <x v="4"/>
    <x v="5"/>
    <n v="4"/>
    <s v="Mar"/>
    <s v="03"/>
    <s v="profit"/>
    <s v="small"/>
    <n v="31.770539839963941"/>
  </r>
  <r>
    <x v="171"/>
    <x v="59"/>
    <s v="CUST-0062"/>
    <s v="Small Business"/>
    <x v="2"/>
    <x v="11"/>
    <x v="3"/>
    <x v="20"/>
    <n v="5"/>
    <n v="63.68"/>
    <n v="0.05"/>
    <n v="302.47999999999996"/>
    <n v="44.6"/>
    <n v="79.479999999999961"/>
    <x v="3"/>
    <x v="3"/>
    <n v="3"/>
    <s v="Mar"/>
    <s v="03"/>
    <s v="profit"/>
    <s v="small"/>
    <n v="26.27611742925151"/>
  </r>
  <r>
    <x v="172"/>
    <x v="60"/>
    <s v="CUST-0045"/>
    <s v="Small Business"/>
    <x v="1"/>
    <x v="1"/>
    <x v="0"/>
    <x v="17"/>
    <n v="4"/>
    <n v="33.76"/>
    <n v="0"/>
    <n v="135.04"/>
    <n v="21.36"/>
    <n v="49.599999999999994"/>
    <x v="1"/>
    <x v="5"/>
    <n v="4"/>
    <s v="Mar"/>
    <s v="03"/>
    <s v="profit"/>
    <s v="small"/>
    <n v="36.729857819905206"/>
  </r>
  <r>
    <x v="173"/>
    <x v="60"/>
    <s v="CUST-0398"/>
    <s v="Consumer"/>
    <x v="2"/>
    <x v="2"/>
    <x v="4"/>
    <x v="18"/>
    <n v="10"/>
    <n v="200.52"/>
    <n v="0.2"/>
    <n v="1604.16"/>
    <n v="150.69"/>
    <n v="97.259999999999991"/>
    <x v="2"/>
    <x v="4"/>
    <n v="3"/>
    <s v="Mar"/>
    <s v="03"/>
    <s v="profit"/>
    <s v="medium"/>
    <n v="6.0629862357869531"/>
  </r>
  <r>
    <x v="174"/>
    <x v="61"/>
    <s v="CUST-0378"/>
    <s v="Small Business"/>
    <x v="0"/>
    <x v="6"/>
    <x v="3"/>
    <x v="4"/>
    <n v="1"/>
    <n v="20.85"/>
    <n v="0.1"/>
    <n v="18.765000000000001"/>
    <n v="14.19"/>
    <n v="4.5750000000000011"/>
    <x v="0"/>
    <x v="2"/>
    <n v="3"/>
    <s v="Mar"/>
    <s v="03"/>
    <s v="profit"/>
    <s v="small"/>
    <n v="24.38049560351719"/>
  </r>
  <r>
    <x v="175"/>
    <x v="61"/>
    <s v="CUST-0119"/>
    <s v="Small Business"/>
    <x v="3"/>
    <x v="10"/>
    <x v="3"/>
    <x v="20"/>
    <n v="1"/>
    <n v="103.8"/>
    <n v="0"/>
    <n v="103.8"/>
    <n v="76.61"/>
    <n v="27.189999999999998"/>
    <x v="1"/>
    <x v="7"/>
    <n v="4"/>
    <s v="Mar"/>
    <s v="03"/>
    <s v="profit"/>
    <s v="small"/>
    <n v="26.194605009633911"/>
  </r>
  <r>
    <x v="176"/>
    <x v="61"/>
    <s v="CUST-0340"/>
    <s v="Consumer"/>
    <x v="1"/>
    <x v="4"/>
    <x v="1"/>
    <x v="19"/>
    <n v="3"/>
    <n v="73.02"/>
    <n v="0"/>
    <n v="219.06"/>
    <n v="45.46"/>
    <n v="82.68"/>
    <x v="4"/>
    <x v="1"/>
    <n v="3"/>
    <s v="Mar"/>
    <s v="03"/>
    <s v="profit"/>
    <s v="small"/>
    <n v="37.743084086551633"/>
  </r>
  <r>
    <x v="177"/>
    <x v="61"/>
    <s v="CUST-0104"/>
    <s v="Consumer"/>
    <x v="2"/>
    <x v="11"/>
    <x v="4"/>
    <x v="7"/>
    <n v="1"/>
    <n v="930.65"/>
    <n v="0"/>
    <n v="930.65"/>
    <n v="607.65"/>
    <n v="323"/>
    <x v="2"/>
    <x v="2"/>
    <n v="3"/>
    <s v="Mar"/>
    <s v="03"/>
    <s v="profit"/>
    <s v="medium"/>
    <n v="34.706925267286302"/>
  </r>
  <r>
    <x v="178"/>
    <x v="62"/>
    <s v="CUST-0062"/>
    <s v="Consumer"/>
    <x v="2"/>
    <x v="3"/>
    <x v="2"/>
    <x v="12"/>
    <n v="2"/>
    <n v="322.72000000000003"/>
    <n v="0.05"/>
    <n v="613.16800000000001"/>
    <n v="284.60000000000002"/>
    <n v="43.967999999999961"/>
    <x v="4"/>
    <x v="1"/>
    <n v="5"/>
    <s v="Mar"/>
    <s v="03"/>
    <s v="profit"/>
    <s v="medium"/>
    <n v="7.170628604232439"/>
  </r>
  <r>
    <x v="179"/>
    <x v="62"/>
    <s v="CUST-0203"/>
    <s v="Small Business"/>
    <x v="3"/>
    <x v="7"/>
    <x v="1"/>
    <x v="19"/>
    <n v="4"/>
    <n v="45.43"/>
    <n v="0.2"/>
    <n v="145.376"/>
    <n v="26.29"/>
    <n v="40.216000000000008"/>
    <x v="3"/>
    <x v="1"/>
    <n v="3"/>
    <s v="Mar"/>
    <s v="03"/>
    <s v="profit"/>
    <s v="small"/>
    <n v="27.663438256658601"/>
  </r>
  <r>
    <x v="180"/>
    <x v="62"/>
    <s v="CUST-0072"/>
    <s v="Consumer"/>
    <x v="3"/>
    <x v="7"/>
    <x v="3"/>
    <x v="4"/>
    <n v="2"/>
    <n v="48.18"/>
    <n v="0.15"/>
    <n v="81.905999999999992"/>
    <n v="27.9"/>
    <n v="26.105999999999995"/>
    <x v="3"/>
    <x v="5"/>
    <n v="5"/>
    <s v="Mar"/>
    <s v="03"/>
    <s v="profit"/>
    <s v="small"/>
    <n v="31.873122848142987"/>
  </r>
  <r>
    <x v="181"/>
    <x v="62"/>
    <s v="CUST-0039"/>
    <s v="Consumer"/>
    <x v="0"/>
    <x v="5"/>
    <x v="3"/>
    <x v="16"/>
    <n v="3"/>
    <n v="49.77"/>
    <n v="0.15"/>
    <n v="126.9135"/>
    <n v="33.340000000000003"/>
    <n v="26.893499999999989"/>
    <x v="3"/>
    <x v="4"/>
    <n v="5"/>
    <s v="Mar"/>
    <s v="03"/>
    <s v="profit"/>
    <s v="small"/>
    <n v="21.190417095108078"/>
  </r>
  <r>
    <x v="182"/>
    <x v="63"/>
    <s v="CUST-0087"/>
    <s v="Small Business"/>
    <x v="2"/>
    <x v="3"/>
    <x v="0"/>
    <x v="0"/>
    <n v="1"/>
    <n v="30.98"/>
    <n v="0.05"/>
    <n v="29.430999999999997"/>
    <n v="13.57"/>
    <n v="15.860999999999997"/>
    <x v="1"/>
    <x v="6"/>
    <n v="4"/>
    <s v="Mar"/>
    <s v="03"/>
    <s v="profit"/>
    <s v="small"/>
    <n v="53.892154530936764"/>
  </r>
  <r>
    <x v="183"/>
    <x v="64"/>
    <s v="CUST-0018"/>
    <s v="Small Business"/>
    <x v="3"/>
    <x v="8"/>
    <x v="4"/>
    <x v="7"/>
    <n v="1"/>
    <n v="455.53"/>
    <n v="0.15"/>
    <n v="387.20049999999998"/>
    <n v="344.86"/>
    <n v="42.340499999999963"/>
    <x v="2"/>
    <x v="4"/>
    <n v="4"/>
    <s v="Mar"/>
    <s v="03"/>
    <s v="profit"/>
    <s v="small"/>
    <n v="10.935032366951997"/>
  </r>
  <r>
    <x v="184"/>
    <x v="64"/>
    <s v="CUST-0270"/>
    <s v="Consumer"/>
    <x v="3"/>
    <x v="8"/>
    <x v="0"/>
    <x v="3"/>
    <n v="1"/>
    <n v="47.32"/>
    <n v="0.15"/>
    <n v="40.222000000000001"/>
    <n v="27.45"/>
    <n v="12.772000000000002"/>
    <x v="2"/>
    <x v="5"/>
    <n v="5"/>
    <s v="Mar"/>
    <s v="03"/>
    <s v="profit"/>
    <s v="small"/>
    <n v="31.753766595395561"/>
  </r>
  <r>
    <x v="185"/>
    <x v="64"/>
    <s v="CUST-0093"/>
    <s v="Consumer"/>
    <x v="2"/>
    <x v="2"/>
    <x v="1"/>
    <x v="6"/>
    <n v="2"/>
    <n v="140.72999999999999"/>
    <n v="0"/>
    <n v="281.45999999999998"/>
    <n v="83.55"/>
    <n v="114.35999999999999"/>
    <x v="0"/>
    <x v="4"/>
    <n v="1"/>
    <s v="Mar"/>
    <s v="03"/>
    <s v="profit"/>
    <s v="small"/>
    <n v="40.63099552334257"/>
  </r>
  <r>
    <x v="186"/>
    <x v="65"/>
    <s v="CUST-0052"/>
    <s v="Consumer"/>
    <x v="2"/>
    <x v="2"/>
    <x v="1"/>
    <x v="6"/>
    <n v="10"/>
    <n v="52.3"/>
    <n v="0.2"/>
    <n v="418.40000000000003"/>
    <n v="28.85"/>
    <n v="129.90000000000003"/>
    <x v="4"/>
    <x v="1"/>
    <n v="4"/>
    <s v="Mar"/>
    <s v="03"/>
    <s v="profit"/>
    <s v="small"/>
    <n v="31.046845124282989"/>
  </r>
  <r>
    <x v="187"/>
    <x v="65"/>
    <s v="CUST-0089"/>
    <s v="Consumer"/>
    <x v="1"/>
    <x v="1"/>
    <x v="1"/>
    <x v="19"/>
    <n v="8"/>
    <n v="97.58"/>
    <n v="0.2"/>
    <n v="624.51200000000006"/>
    <n v="54.69"/>
    <n v="186.99200000000008"/>
    <x v="4"/>
    <x v="7"/>
    <n v="5"/>
    <s v="Mar"/>
    <s v="03"/>
    <s v="profit"/>
    <s v="medium"/>
    <n v="29.942098790735816"/>
  </r>
  <r>
    <x v="188"/>
    <x v="66"/>
    <s v="CUST-0253"/>
    <s v="Small Business"/>
    <x v="3"/>
    <x v="10"/>
    <x v="1"/>
    <x v="19"/>
    <n v="8"/>
    <n v="91.83"/>
    <n v="0.15"/>
    <n v="624.44399999999996"/>
    <n v="62.41"/>
    <n v="125.16399999999999"/>
    <x v="0"/>
    <x v="3"/>
    <n v="4"/>
    <s v="Mar"/>
    <s v="03"/>
    <s v="profit"/>
    <s v="medium"/>
    <n v="20.044071205744629"/>
  </r>
  <r>
    <x v="189"/>
    <x v="67"/>
    <s v="CUST-0067"/>
    <s v="Corporate"/>
    <x v="1"/>
    <x v="4"/>
    <x v="2"/>
    <x v="13"/>
    <n v="2"/>
    <n v="781.33"/>
    <n v="0.1"/>
    <n v="1406.394"/>
    <n v="700.86"/>
    <n v="4.6739999999999782"/>
    <x v="4"/>
    <x v="7"/>
    <n v="2"/>
    <s v="Mar"/>
    <s v="03"/>
    <s v="profit"/>
    <s v="medium"/>
    <n v="0.33233930178882859"/>
  </r>
  <r>
    <x v="190"/>
    <x v="67"/>
    <s v="CUST-0203"/>
    <s v="Small Business"/>
    <x v="2"/>
    <x v="3"/>
    <x v="2"/>
    <x v="13"/>
    <n v="2"/>
    <n v="919.49"/>
    <n v="0.2"/>
    <n v="1471.1840000000002"/>
    <n v="710.79"/>
    <n v="49.604000000000269"/>
    <x v="3"/>
    <x v="7"/>
    <n v="3"/>
    <s v="Mar"/>
    <s v="03"/>
    <s v="profit"/>
    <s v="medium"/>
    <n v="3.3717060544432416"/>
  </r>
  <r>
    <x v="191"/>
    <x v="68"/>
    <s v="CUST-0288"/>
    <s v="Small Business"/>
    <x v="1"/>
    <x v="9"/>
    <x v="2"/>
    <x v="13"/>
    <n v="2"/>
    <n v="885.88"/>
    <n v="0.1"/>
    <n v="1594.5840000000001"/>
    <n v="739.24"/>
    <n v="116.10400000000004"/>
    <x v="2"/>
    <x v="7"/>
    <n v="3"/>
    <s v="Mar"/>
    <s v="03"/>
    <s v="profit"/>
    <s v="medium"/>
    <n v="7.2811466815169368"/>
  </r>
  <r>
    <x v="192"/>
    <x v="68"/>
    <s v="CUST-0360"/>
    <s v="Small Business"/>
    <x v="2"/>
    <x v="3"/>
    <x v="0"/>
    <x v="0"/>
    <n v="1"/>
    <n v="49.59"/>
    <n v="0"/>
    <n v="49.59"/>
    <n v="23.13"/>
    <n v="26.460000000000004"/>
    <x v="1"/>
    <x v="5"/>
    <n v="3"/>
    <s v="Mar"/>
    <s v="03"/>
    <s v="profit"/>
    <s v="small"/>
    <n v="53.35753176043557"/>
  </r>
  <r>
    <x v="193"/>
    <x v="68"/>
    <s v="CUST-0178"/>
    <s v="Corporate"/>
    <x v="1"/>
    <x v="4"/>
    <x v="4"/>
    <x v="11"/>
    <n v="2"/>
    <n v="427.03"/>
    <n v="0"/>
    <n v="854.06"/>
    <n v="332.73"/>
    <n v="188.59999999999991"/>
    <x v="4"/>
    <x v="2"/>
    <n v="5"/>
    <s v="Mar"/>
    <s v="03"/>
    <s v="profit"/>
    <s v="medium"/>
    <n v="22.082757651687228"/>
  </r>
  <r>
    <x v="194"/>
    <x v="69"/>
    <s v="CUST-0056"/>
    <s v="Small Business"/>
    <x v="3"/>
    <x v="10"/>
    <x v="1"/>
    <x v="6"/>
    <n v="1"/>
    <n v="133.79"/>
    <n v="0"/>
    <n v="133.79"/>
    <n v="93.25"/>
    <n v="40.539999999999992"/>
    <x v="3"/>
    <x v="5"/>
    <n v="4"/>
    <s v="Mar"/>
    <s v="03"/>
    <s v="profit"/>
    <s v="small"/>
    <n v="30.301218327229236"/>
  </r>
  <r>
    <x v="195"/>
    <x v="70"/>
    <s v="CUST-0246"/>
    <s v="Small Business"/>
    <x v="1"/>
    <x v="1"/>
    <x v="1"/>
    <x v="15"/>
    <n v="2"/>
    <n v="180.37"/>
    <n v="0"/>
    <n v="360.74"/>
    <n v="117.49"/>
    <n v="125.76000000000002"/>
    <x v="4"/>
    <x v="3"/>
    <n v="4"/>
    <s v="Mar"/>
    <s v="03"/>
    <s v="profit"/>
    <s v="small"/>
    <n v="34.861673227255089"/>
  </r>
  <r>
    <x v="196"/>
    <x v="70"/>
    <s v="CUST-0083"/>
    <s v="Small Business"/>
    <x v="0"/>
    <x v="0"/>
    <x v="1"/>
    <x v="19"/>
    <n v="2"/>
    <n v="53.02"/>
    <n v="0.15"/>
    <n v="90.134"/>
    <n v="36.39"/>
    <n v="17.353999999999999"/>
    <x v="3"/>
    <x v="2"/>
    <n v="4"/>
    <s v="Mar"/>
    <s v="03"/>
    <s v="profit"/>
    <s v="small"/>
    <n v="19.253555816894842"/>
  </r>
  <r>
    <x v="197"/>
    <x v="70"/>
    <s v="CUST-0052"/>
    <s v="Corporate"/>
    <x v="3"/>
    <x v="10"/>
    <x v="3"/>
    <x v="20"/>
    <n v="6"/>
    <n v="135.68"/>
    <n v="0"/>
    <n v="814.08"/>
    <n v="90.06"/>
    <n v="273.72000000000003"/>
    <x v="4"/>
    <x v="4"/>
    <n v="4"/>
    <s v="Mar"/>
    <s v="03"/>
    <s v="profit"/>
    <s v="medium"/>
    <n v="33.623231132075468"/>
  </r>
  <r>
    <x v="198"/>
    <x v="71"/>
    <s v="CUST-0252"/>
    <s v="Consumer"/>
    <x v="0"/>
    <x v="0"/>
    <x v="0"/>
    <x v="8"/>
    <n v="2"/>
    <n v="160.6"/>
    <n v="0.05"/>
    <n v="305.14"/>
    <n v="92.45"/>
    <n v="120.23999999999998"/>
    <x v="3"/>
    <x v="7"/>
    <n v="1"/>
    <s v="Mar"/>
    <s v="03"/>
    <s v="profit"/>
    <s v="small"/>
    <n v="39.404863341417048"/>
  </r>
  <r>
    <x v="199"/>
    <x v="71"/>
    <s v="CUST-0243"/>
    <s v="Consumer"/>
    <x v="3"/>
    <x v="7"/>
    <x v="2"/>
    <x v="2"/>
    <n v="3"/>
    <n v="257.72000000000003"/>
    <n v="0.2"/>
    <n v="618.52800000000013"/>
    <n v="228.2"/>
    <n v="-66.071999999999775"/>
    <x v="0"/>
    <x v="6"/>
    <n v="4"/>
    <s v="Mar"/>
    <s v="03"/>
    <s v="profit"/>
    <s v="medium"/>
    <n v="-10.682135651094173"/>
  </r>
  <r>
    <x v="200"/>
    <x v="72"/>
    <s v="CUST-0229"/>
    <s v="Consumer"/>
    <x v="3"/>
    <x v="8"/>
    <x v="3"/>
    <x v="9"/>
    <n v="6"/>
    <n v="209.24"/>
    <n v="0"/>
    <n v="1255.44"/>
    <n v="134.16"/>
    <n v="450.48"/>
    <x v="0"/>
    <x v="0"/>
    <n v="4"/>
    <s v="Mar"/>
    <s v="03"/>
    <s v="profit"/>
    <s v="medium"/>
    <n v="35.882240489390171"/>
  </r>
  <r>
    <x v="201"/>
    <x v="72"/>
    <s v="CUST-0212"/>
    <s v="Small Business"/>
    <x v="0"/>
    <x v="0"/>
    <x v="2"/>
    <x v="5"/>
    <n v="3"/>
    <n v="182.35"/>
    <n v="0.15"/>
    <n v="464.99249999999995"/>
    <n v="159.97999999999999"/>
    <n v="-14.947499999999991"/>
    <x v="4"/>
    <x v="5"/>
    <n v="5"/>
    <s v="Mar"/>
    <s v="03"/>
    <s v="profit"/>
    <s v="small"/>
    <n v="-3.2145679769028517"/>
  </r>
  <r>
    <x v="202"/>
    <x v="73"/>
    <s v="CUST-0041"/>
    <s v="Corporate"/>
    <x v="1"/>
    <x v="9"/>
    <x v="1"/>
    <x v="1"/>
    <n v="6"/>
    <n v="388.66"/>
    <n v="0.05"/>
    <n v="2215.3620000000001"/>
    <n v="238.09"/>
    <n v="786.82200000000012"/>
    <x v="3"/>
    <x v="3"/>
    <n v="3"/>
    <s v="Mar"/>
    <s v="03"/>
    <s v="profit"/>
    <s v="large"/>
    <n v="35.516633398965951"/>
  </r>
  <r>
    <x v="203"/>
    <x v="73"/>
    <s v="CUST-0350"/>
    <s v="Corporate"/>
    <x v="3"/>
    <x v="7"/>
    <x v="1"/>
    <x v="15"/>
    <n v="1"/>
    <n v="191.34"/>
    <n v="0.05"/>
    <n v="181.773"/>
    <n v="137.11000000000001"/>
    <n v="44.662999999999982"/>
    <x v="4"/>
    <x v="3"/>
    <n v="5"/>
    <s v="Mar"/>
    <s v="03"/>
    <s v="profit"/>
    <s v="small"/>
    <n v="24.57075583282445"/>
  </r>
  <r>
    <x v="204"/>
    <x v="73"/>
    <s v="CUST-0007"/>
    <s v="Small Business"/>
    <x v="2"/>
    <x v="11"/>
    <x v="4"/>
    <x v="14"/>
    <n v="2"/>
    <n v="112.2"/>
    <n v="0.15"/>
    <n v="190.74"/>
    <n v="77.28"/>
    <n v="36.180000000000007"/>
    <x v="2"/>
    <x v="6"/>
    <n v="2"/>
    <s v="Mar"/>
    <s v="03"/>
    <s v="profit"/>
    <s v="small"/>
    <n v="18.968229002831084"/>
  </r>
  <r>
    <x v="205"/>
    <x v="73"/>
    <s v="CUST-0147"/>
    <s v="Small Business"/>
    <x v="0"/>
    <x v="0"/>
    <x v="2"/>
    <x v="2"/>
    <n v="3"/>
    <n v="297.54000000000002"/>
    <n v="0"/>
    <n v="892.62000000000012"/>
    <n v="233.94"/>
    <n v="190.80000000000018"/>
    <x v="0"/>
    <x v="6"/>
    <n v="3"/>
    <s v="Mar"/>
    <s v="03"/>
    <s v="profit"/>
    <s v="medium"/>
    <n v="21.375277273643896"/>
  </r>
  <r>
    <x v="206"/>
    <x v="73"/>
    <s v="CUST-0020"/>
    <s v="Corporate"/>
    <x v="3"/>
    <x v="10"/>
    <x v="1"/>
    <x v="1"/>
    <n v="3"/>
    <n v="82.36"/>
    <n v="0.1"/>
    <n v="222.37199999999999"/>
    <n v="57.23"/>
    <n v="50.681999999999988"/>
    <x v="0"/>
    <x v="4"/>
    <n v="2"/>
    <s v="Mar"/>
    <s v="03"/>
    <s v="profit"/>
    <s v="small"/>
    <n v="22.79153850304894"/>
  </r>
  <r>
    <x v="207"/>
    <x v="74"/>
    <s v="CUST-0357"/>
    <s v="Small Business"/>
    <x v="2"/>
    <x v="11"/>
    <x v="0"/>
    <x v="8"/>
    <n v="1"/>
    <n v="201.98"/>
    <n v="0.05"/>
    <n v="191.88099999999997"/>
    <n v="130.27000000000001"/>
    <n v="61.610999999999962"/>
    <x v="3"/>
    <x v="4"/>
    <n v="3"/>
    <s v="Mar"/>
    <s v="03"/>
    <s v="profit"/>
    <s v="small"/>
    <n v="32.10896336792073"/>
  </r>
  <r>
    <x v="208"/>
    <x v="74"/>
    <s v="CUST-0109"/>
    <s v="Corporate"/>
    <x v="1"/>
    <x v="9"/>
    <x v="3"/>
    <x v="20"/>
    <n v="3"/>
    <n v="146.1"/>
    <n v="0"/>
    <n v="438.29999999999995"/>
    <n v="100.2"/>
    <n v="137.69999999999993"/>
    <x v="1"/>
    <x v="7"/>
    <n v="5"/>
    <s v="Mar"/>
    <s v="03"/>
    <s v="profit"/>
    <s v="small"/>
    <n v="31.416837782340849"/>
  </r>
  <r>
    <x v="209"/>
    <x v="74"/>
    <s v="CUST-0292"/>
    <s v="Consumer"/>
    <x v="1"/>
    <x v="4"/>
    <x v="0"/>
    <x v="0"/>
    <n v="4"/>
    <n v="29.27"/>
    <n v="0.05"/>
    <n v="111.226"/>
    <n v="13.83"/>
    <n v="55.905999999999999"/>
    <x v="4"/>
    <x v="4"/>
    <n v="5"/>
    <s v="Mar"/>
    <s v="03"/>
    <s v="profit"/>
    <s v="small"/>
    <n v="50.263427615845217"/>
  </r>
  <r>
    <x v="210"/>
    <x v="74"/>
    <s v="CUST-0238"/>
    <s v="Small Business"/>
    <x v="2"/>
    <x v="2"/>
    <x v="2"/>
    <x v="10"/>
    <n v="1"/>
    <n v="837.12"/>
    <n v="0"/>
    <n v="837.12"/>
    <n v="696.09"/>
    <n v="141.02999999999997"/>
    <x v="1"/>
    <x v="2"/>
    <n v="4"/>
    <s v="Mar"/>
    <s v="03"/>
    <s v="profit"/>
    <s v="medium"/>
    <n v="16.847047018348622"/>
  </r>
  <r>
    <x v="211"/>
    <x v="75"/>
    <s v="CUST-0133"/>
    <s v="Small Business"/>
    <x v="1"/>
    <x v="9"/>
    <x v="2"/>
    <x v="12"/>
    <n v="3"/>
    <n v="476.72"/>
    <n v="0"/>
    <n v="1430.16"/>
    <n v="416.35"/>
    <n v="181.1099999999999"/>
    <x v="3"/>
    <x v="1"/>
    <n v="1"/>
    <s v="Mar"/>
    <s v="03"/>
    <s v="profit"/>
    <s v="medium"/>
    <n v="12.663618056720919"/>
  </r>
  <r>
    <x v="212"/>
    <x v="75"/>
    <s v="CUST-0334"/>
    <s v="Corporate"/>
    <x v="3"/>
    <x v="10"/>
    <x v="2"/>
    <x v="2"/>
    <n v="1"/>
    <n v="368.54"/>
    <n v="0"/>
    <n v="368.54"/>
    <n v="319.83999999999997"/>
    <n v="48.700000000000045"/>
    <x v="2"/>
    <x v="5"/>
    <n v="5"/>
    <s v="Mar"/>
    <s v="03"/>
    <s v="profit"/>
    <s v="small"/>
    <n v="13.214305095783374"/>
  </r>
  <r>
    <x v="213"/>
    <x v="75"/>
    <s v="CUST-0312"/>
    <s v="Corporate"/>
    <x v="3"/>
    <x v="10"/>
    <x v="3"/>
    <x v="4"/>
    <n v="5"/>
    <n v="30.02"/>
    <n v="0"/>
    <n v="150.1"/>
    <n v="21.72"/>
    <n v="41.5"/>
    <x v="0"/>
    <x v="6"/>
    <n v="5"/>
    <s v="Mar"/>
    <s v="03"/>
    <s v="profit"/>
    <s v="small"/>
    <n v="27.648234510326454"/>
  </r>
  <r>
    <x v="214"/>
    <x v="75"/>
    <s v="CUST-0340"/>
    <s v="Corporate"/>
    <x v="1"/>
    <x v="9"/>
    <x v="3"/>
    <x v="20"/>
    <n v="1"/>
    <n v="67.8"/>
    <n v="0.05"/>
    <n v="64.41"/>
    <n v="44.52"/>
    <n v="19.889999999999993"/>
    <x v="2"/>
    <x v="1"/>
    <n v="3"/>
    <s v="Mar"/>
    <s v="03"/>
    <s v="profit"/>
    <s v="small"/>
    <n v="30.880298090358632"/>
  </r>
  <r>
    <x v="215"/>
    <x v="75"/>
    <s v="CUST-0334"/>
    <s v="Corporate"/>
    <x v="2"/>
    <x v="11"/>
    <x v="2"/>
    <x v="10"/>
    <n v="1"/>
    <n v="902.21"/>
    <n v="0.1"/>
    <n v="811.98900000000003"/>
    <n v="774.57"/>
    <n v="37.418999999999983"/>
    <x v="4"/>
    <x v="3"/>
    <n v="4"/>
    <s v="Mar"/>
    <s v="03"/>
    <s v="profit"/>
    <s v="medium"/>
    <n v="4.6083136594214924"/>
  </r>
  <r>
    <x v="216"/>
    <x v="76"/>
    <s v="CUST-0014"/>
    <s v="Small Business"/>
    <x v="1"/>
    <x v="9"/>
    <x v="2"/>
    <x v="10"/>
    <n v="2"/>
    <n v="1254.07"/>
    <n v="0"/>
    <n v="2508.14"/>
    <n v="977.73"/>
    <n v="552.67999999999984"/>
    <x v="1"/>
    <x v="1"/>
    <n v="3"/>
    <s v="Mar"/>
    <s v="03"/>
    <s v="profit"/>
    <s v="large"/>
    <n v="22.035452566443652"/>
  </r>
  <r>
    <x v="217"/>
    <x v="76"/>
    <s v="CUST-0274"/>
    <s v="Small Business"/>
    <x v="3"/>
    <x v="8"/>
    <x v="0"/>
    <x v="3"/>
    <n v="4"/>
    <n v="128.41"/>
    <n v="0"/>
    <n v="513.64"/>
    <n v="64.75"/>
    <n v="254.64"/>
    <x v="1"/>
    <x v="7"/>
    <n v="4"/>
    <s v="Mar"/>
    <s v="03"/>
    <s v="profit"/>
    <s v="medium"/>
    <n v="49.57557822599486"/>
  </r>
  <r>
    <x v="218"/>
    <x v="76"/>
    <s v="CUST-0094"/>
    <s v="Small Business"/>
    <x v="2"/>
    <x v="2"/>
    <x v="1"/>
    <x v="15"/>
    <n v="5"/>
    <n v="79.94"/>
    <n v="0.1"/>
    <n v="359.73"/>
    <n v="52.43"/>
    <n v="97.580000000000041"/>
    <x v="0"/>
    <x v="2"/>
    <n v="3"/>
    <s v="Mar"/>
    <s v="03"/>
    <s v="profit"/>
    <s v="small"/>
    <n v="27.125899980540975"/>
  </r>
  <r>
    <x v="219"/>
    <x v="76"/>
    <s v="CUST-0061"/>
    <s v="Corporate"/>
    <x v="2"/>
    <x v="11"/>
    <x v="2"/>
    <x v="5"/>
    <n v="3"/>
    <n v="143.53"/>
    <n v="0.05"/>
    <n v="409.06049999999999"/>
    <n v="110.08"/>
    <n v="78.820499999999981"/>
    <x v="3"/>
    <x v="2"/>
    <n v="4"/>
    <s v="Mar"/>
    <s v="03"/>
    <s v="profit"/>
    <s v="small"/>
    <n v="19.268665637479049"/>
  </r>
  <r>
    <x v="220"/>
    <x v="77"/>
    <s v="CUST-0071"/>
    <s v="Consumer"/>
    <x v="2"/>
    <x v="11"/>
    <x v="2"/>
    <x v="10"/>
    <n v="1"/>
    <n v="1300.6199999999999"/>
    <n v="0.15"/>
    <n v="1105.5269999999998"/>
    <n v="1096.0999999999999"/>
    <n v="9.4269999999999072"/>
    <x v="0"/>
    <x v="6"/>
    <n v="5"/>
    <s v="Mar"/>
    <s v="03"/>
    <s v="profit"/>
    <s v="medium"/>
    <n v="0.85271549224938958"/>
  </r>
  <r>
    <x v="221"/>
    <x v="77"/>
    <s v="CUST-0091"/>
    <s v="Corporate"/>
    <x v="3"/>
    <x v="7"/>
    <x v="3"/>
    <x v="20"/>
    <n v="2"/>
    <n v="51.48"/>
    <n v="0.1"/>
    <n v="92.664000000000001"/>
    <n v="29.73"/>
    <n v="33.204000000000001"/>
    <x v="3"/>
    <x v="5"/>
    <n v="4"/>
    <s v="Mar"/>
    <s v="03"/>
    <s v="profit"/>
    <s v="small"/>
    <n v="35.832685832685833"/>
  </r>
  <r>
    <x v="222"/>
    <x v="78"/>
    <s v="CUST-0207"/>
    <s v="Corporate"/>
    <x v="0"/>
    <x v="0"/>
    <x v="2"/>
    <x v="13"/>
    <n v="3"/>
    <n v="761.02"/>
    <n v="0.1"/>
    <n v="2054.7539999999999"/>
    <n v="666.83"/>
    <n v="54.263999999999669"/>
    <x v="1"/>
    <x v="6"/>
    <n v="1"/>
    <s v="Mar"/>
    <s v="03"/>
    <s v="profit"/>
    <s v="large"/>
    <n v="2.6409000785495329"/>
  </r>
  <r>
    <x v="223"/>
    <x v="78"/>
    <s v="CUST-0128"/>
    <s v="Consumer"/>
    <x v="3"/>
    <x v="7"/>
    <x v="0"/>
    <x v="8"/>
    <n v="3"/>
    <n v="211.26"/>
    <n v="0.1"/>
    <n v="570.40200000000004"/>
    <n v="90.21"/>
    <n v="299.77200000000005"/>
    <x v="0"/>
    <x v="1"/>
    <n v="3"/>
    <s v="Mar"/>
    <s v="03"/>
    <s v="profit"/>
    <s v="medium"/>
    <n v="52.554514184732881"/>
  </r>
  <r>
    <x v="224"/>
    <x v="78"/>
    <s v="CUST-0269"/>
    <s v="Corporate"/>
    <x v="2"/>
    <x v="11"/>
    <x v="4"/>
    <x v="18"/>
    <n v="2"/>
    <n v="91.73"/>
    <n v="0.05"/>
    <n v="174.28700000000001"/>
    <n v="58.27"/>
    <n v="57.747"/>
    <x v="1"/>
    <x v="3"/>
    <n v="4"/>
    <s v="Mar"/>
    <s v="03"/>
    <s v="profit"/>
    <s v="small"/>
    <n v="33.133280164326656"/>
  </r>
  <r>
    <x v="225"/>
    <x v="78"/>
    <s v="CUST-0068"/>
    <s v="Consumer"/>
    <x v="1"/>
    <x v="4"/>
    <x v="3"/>
    <x v="9"/>
    <n v="1"/>
    <n v="637.58000000000004"/>
    <n v="0.1"/>
    <n v="573.822"/>
    <n v="457.16"/>
    <n v="116.66199999999998"/>
    <x v="3"/>
    <x v="3"/>
    <n v="3"/>
    <s v="Mar"/>
    <s v="03"/>
    <s v="profit"/>
    <s v="medium"/>
    <n v="20.330694884476365"/>
  </r>
  <r>
    <x v="226"/>
    <x v="79"/>
    <s v="CUST-0335"/>
    <s v="Consumer"/>
    <x v="0"/>
    <x v="5"/>
    <x v="1"/>
    <x v="19"/>
    <n v="10"/>
    <n v="60.64"/>
    <n v="0.1"/>
    <n v="545.76"/>
    <n v="37.71"/>
    <n v="168.65999999999997"/>
    <x v="3"/>
    <x v="2"/>
    <n v="4"/>
    <s v="Mar"/>
    <s v="03"/>
    <s v="profit"/>
    <s v="medium"/>
    <n v="30.903693931398411"/>
  </r>
  <r>
    <x v="227"/>
    <x v="79"/>
    <s v="CUST-0267"/>
    <s v="Corporate"/>
    <x v="0"/>
    <x v="6"/>
    <x v="4"/>
    <x v="18"/>
    <n v="2"/>
    <n v="150.13999999999999"/>
    <n v="0"/>
    <n v="300.27999999999997"/>
    <n v="115.51"/>
    <n v="69.259999999999962"/>
    <x v="2"/>
    <x v="3"/>
    <n v="4"/>
    <s v="Mar"/>
    <s v="03"/>
    <s v="profit"/>
    <s v="small"/>
    <n v="23.065139203410141"/>
  </r>
  <r>
    <x v="228"/>
    <x v="79"/>
    <s v="CUST-0268"/>
    <s v="Consumer"/>
    <x v="1"/>
    <x v="4"/>
    <x v="3"/>
    <x v="4"/>
    <n v="3"/>
    <n v="22.74"/>
    <n v="0.1"/>
    <n v="61.398000000000003"/>
    <n v="13.49"/>
    <n v="20.928000000000004"/>
    <x v="0"/>
    <x v="6"/>
    <n v="3"/>
    <s v="Mar"/>
    <s v="03"/>
    <s v="profit"/>
    <s v="small"/>
    <n v="34.085800840418266"/>
  </r>
  <r>
    <x v="229"/>
    <x v="80"/>
    <s v="CUST-0046"/>
    <s v="Consumer"/>
    <x v="1"/>
    <x v="1"/>
    <x v="2"/>
    <x v="12"/>
    <n v="1"/>
    <n v="650.70000000000005"/>
    <n v="0"/>
    <n v="650.70000000000005"/>
    <n v="518.46"/>
    <n v="132.24"/>
    <x v="2"/>
    <x v="0"/>
    <n v="3"/>
    <s v="Mar"/>
    <s v="03"/>
    <s v="profit"/>
    <s v="medium"/>
    <n v="20.322729368372521"/>
  </r>
  <r>
    <x v="230"/>
    <x v="80"/>
    <s v="CUST-0152"/>
    <s v="Corporate"/>
    <x v="2"/>
    <x v="2"/>
    <x v="2"/>
    <x v="2"/>
    <n v="1"/>
    <n v="107.77"/>
    <n v="0.2"/>
    <n v="86.216000000000008"/>
    <n v="85.3"/>
    <n v="0.91600000000001103"/>
    <x v="1"/>
    <x v="5"/>
    <n v="2"/>
    <s v="Mar"/>
    <s v="03"/>
    <s v="profit"/>
    <s v="small"/>
    <n v="1.0624478055117506"/>
  </r>
  <r>
    <x v="231"/>
    <x v="81"/>
    <s v="CUST-0389"/>
    <s v="Consumer"/>
    <x v="2"/>
    <x v="11"/>
    <x v="2"/>
    <x v="10"/>
    <n v="4"/>
    <n v="1289.19"/>
    <n v="0"/>
    <n v="5156.76"/>
    <n v="1090.6099999999999"/>
    <n v="794.32000000000062"/>
    <x v="3"/>
    <x v="3"/>
    <n v="4"/>
    <s v="Mar"/>
    <s v="03"/>
    <s v="profit"/>
    <s v="large"/>
    <n v="15.403470396140223"/>
  </r>
  <r>
    <x v="232"/>
    <x v="82"/>
    <s v="CUST-0094"/>
    <s v="Consumer"/>
    <x v="2"/>
    <x v="2"/>
    <x v="2"/>
    <x v="5"/>
    <n v="1"/>
    <n v="271.52"/>
    <n v="0.15"/>
    <n v="230.79199999999997"/>
    <n v="205.47"/>
    <n v="25.321999999999974"/>
    <x v="1"/>
    <x v="6"/>
    <n v="5"/>
    <s v="Mar"/>
    <s v="03"/>
    <s v="profit"/>
    <s v="small"/>
    <n v="10.971784117300416"/>
  </r>
  <r>
    <x v="233"/>
    <x v="83"/>
    <s v="CUST-0068"/>
    <s v="Small Business"/>
    <x v="1"/>
    <x v="9"/>
    <x v="4"/>
    <x v="7"/>
    <n v="6"/>
    <n v="920.91"/>
    <n v="0"/>
    <n v="5525.46"/>
    <n v="648.64"/>
    <n v="1633.62"/>
    <x v="3"/>
    <x v="3"/>
    <n v="2"/>
    <s v="Mar"/>
    <s v="03"/>
    <s v="profit"/>
    <s v="large"/>
    <n v="29.565321258320569"/>
  </r>
  <r>
    <x v="234"/>
    <x v="84"/>
    <s v="CUST-0015"/>
    <s v="Small Business"/>
    <x v="3"/>
    <x v="10"/>
    <x v="3"/>
    <x v="20"/>
    <n v="2"/>
    <n v="150.34"/>
    <n v="0"/>
    <n v="300.68"/>
    <n v="92.36"/>
    <n v="115.96000000000001"/>
    <x v="4"/>
    <x v="0"/>
    <n v="5"/>
    <s v="Mar"/>
    <s v="03"/>
    <s v="profit"/>
    <s v="small"/>
    <n v="38.565917254223763"/>
  </r>
  <r>
    <x v="235"/>
    <x v="85"/>
    <s v="CUST-0393"/>
    <s v="Small Business"/>
    <x v="2"/>
    <x v="3"/>
    <x v="2"/>
    <x v="12"/>
    <n v="4"/>
    <n v="392.38"/>
    <n v="0.1"/>
    <n v="1412.568"/>
    <n v="349.41"/>
    <n v="14.927999999999884"/>
    <x v="2"/>
    <x v="4"/>
    <n v="5"/>
    <s v="Apr"/>
    <s v="04"/>
    <s v="profit"/>
    <s v="medium"/>
    <n v="1.0567986815501897"/>
  </r>
  <r>
    <x v="236"/>
    <x v="85"/>
    <s v="CUST-0178"/>
    <s v="Small Business"/>
    <x v="0"/>
    <x v="6"/>
    <x v="1"/>
    <x v="6"/>
    <n v="3"/>
    <n v="149.01"/>
    <n v="0"/>
    <n v="447.03"/>
    <n v="91.25"/>
    <n v="173.27999999999997"/>
    <x v="1"/>
    <x v="3"/>
    <n v="5"/>
    <s v="Apr"/>
    <s v="04"/>
    <s v="profit"/>
    <s v="small"/>
    <n v="38.762499161130123"/>
  </r>
  <r>
    <x v="237"/>
    <x v="85"/>
    <s v="CUST-0252"/>
    <s v="Corporate"/>
    <x v="1"/>
    <x v="1"/>
    <x v="0"/>
    <x v="17"/>
    <n v="5"/>
    <n v="8.31"/>
    <n v="0"/>
    <n v="41.550000000000004"/>
    <n v="3.46"/>
    <n v="24.250000000000004"/>
    <x v="4"/>
    <x v="7"/>
    <n v="5"/>
    <s v="Apr"/>
    <s v="04"/>
    <s v="profit"/>
    <s v="small"/>
    <n v="58.363417569193743"/>
  </r>
  <r>
    <x v="238"/>
    <x v="86"/>
    <s v="CUST-0230"/>
    <s v="Consumer"/>
    <x v="3"/>
    <x v="7"/>
    <x v="2"/>
    <x v="13"/>
    <n v="2"/>
    <n v="740.4"/>
    <n v="0.15"/>
    <n v="1258.6799999999998"/>
    <n v="624.30999999999995"/>
    <n v="10.059999999999945"/>
    <x v="1"/>
    <x v="0"/>
    <n v="3"/>
    <s v="Apr"/>
    <s v="04"/>
    <s v="profit"/>
    <s v="medium"/>
    <n v="0.79925000794482692"/>
  </r>
  <r>
    <x v="239"/>
    <x v="86"/>
    <s v="CUST-0327"/>
    <s v="Corporate"/>
    <x v="0"/>
    <x v="0"/>
    <x v="3"/>
    <x v="4"/>
    <n v="4"/>
    <n v="15.9"/>
    <n v="0.2"/>
    <n v="50.88"/>
    <n v="10.61"/>
    <n v="8.4400000000000048"/>
    <x v="2"/>
    <x v="4"/>
    <n v="4"/>
    <s v="Apr"/>
    <s v="04"/>
    <s v="profit"/>
    <s v="small"/>
    <n v="16.588050314465416"/>
  </r>
  <r>
    <x v="240"/>
    <x v="86"/>
    <s v="CUST-0308"/>
    <s v="Corporate"/>
    <x v="3"/>
    <x v="8"/>
    <x v="0"/>
    <x v="8"/>
    <n v="2"/>
    <n v="108.58"/>
    <n v="0.1"/>
    <n v="195.44399999999999"/>
    <n v="69.099999999999994"/>
    <n v="57.244"/>
    <x v="0"/>
    <x v="0"/>
    <n v="2"/>
    <s v="Apr"/>
    <s v="04"/>
    <s v="profit"/>
    <s v="small"/>
    <n v="29.289208161928737"/>
  </r>
  <r>
    <x v="241"/>
    <x v="86"/>
    <s v="CUST-0024"/>
    <s v="Consumer"/>
    <x v="2"/>
    <x v="2"/>
    <x v="1"/>
    <x v="15"/>
    <n v="2"/>
    <n v="30.37"/>
    <n v="0.1"/>
    <n v="54.666000000000004"/>
    <n v="20.62"/>
    <n v="13.426000000000002"/>
    <x v="1"/>
    <x v="3"/>
    <n v="5"/>
    <s v="Apr"/>
    <s v="04"/>
    <s v="profit"/>
    <s v="small"/>
    <n v="24.560055610434276"/>
  </r>
  <r>
    <x v="242"/>
    <x v="87"/>
    <s v="CUST-0235"/>
    <s v="Consumer"/>
    <x v="3"/>
    <x v="7"/>
    <x v="1"/>
    <x v="1"/>
    <n v="8"/>
    <n v="105.3"/>
    <n v="0"/>
    <n v="842.4"/>
    <n v="66.11"/>
    <n v="313.52"/>
    <x v="0"/>
    <x v="2"/>
    <n v="5"/>
    <s v="Apr"/>
    <s v="04"/>
    <s v="profit"/>
    <s v="medium"/>
    <n v="37.217473884140553"/>
  </r>
  <r>
    <x v="243"/>
    <x v="87"/>
    <s v="CUST-0256"/>
    <s v="Consumer"/>
    <x v="1"/>
    <x v="9"/>
    <x v="2"/>
    <x v="2"/>
    <n v="3"/>
    <n v="125.59"/>
    <n v="0.05"/>
    <n v="357.93149999999997"/>
    <n v="96.23"/>
    <n v="69.241499999999974"/>
    <x v="2"/>
    <x v="5"/>
    <n v="4"/>
    <s v="Apr"/>
    <s v="04"/>
    <s v="profit"/>
    <s v="small"/>
    <n v="19.344902586109349"/>
  </r>
  <r>
    <x v="244"/>
    <x v="87"/>
    <s v="CUST-0066"/>
    <s v="Consumer"/>
    <x v="3"/>
    <x v="10"/>
    <x v="0"/>
    <x v="3"/>
    <n v="3"/>
    <n v="150.91999999999999"/>
    <n v="0.1"/>
    <n v="407.48399999999998"/>
    <n v="68.63"/>
    <n v="201.59399999999999"/>
    <x v="1"/>
    <x v="7"/>
    <n v="4"/>
    <s v="Apr"/>
    <s v="04"/>
    <s v="profit"/>
    <s v="small"/>
    <n v="49.472862738168857"/>
  </r>
  <r>
    <x v="245"/>
    <x v="88"/>
    <s v="CUST-0309"/>
    <s v="Small Business"/>
    <x v="2"/>
    <x v="11"/>
    <x v="4"/>
    <x v="11"/>
    <n v="5"/>
    <n v="251.33"/>
    <n v="0"/>
    <n v="1256.6500000000001"/>
    <n v="152.63"/>
    <n v="493.50000000000011"/>
    <x v="2"/>
    <x v="1"/>
    <n v="5"/>
    <s v="Apr"/>
    <s v="04"/>
    <s v="profit"/>
    <s v="medium"/>
    <n v="39.271077865754194"/>
  </r>
  <r>
    <x v="246"/>
    <x v="88"/>
    <s v="CUST-0352"/>
    <s v="Corporate"/>
    <x v="3"/>
    <x v="7"/>
    <x v="0"/>
    <x v="8"/>
    <n v="1"/>
    <n v="169.58"/>
    <n v="0.1"/>
    <n v="152.62200000000001"/>
    <n v="70.569999999999993"/>
    <n v="82.052000000000021"/>
    <x v="4"/>
    <x v="3"/>
    <n v="4"/>
    <s v="Apr"/>
    <s v="04"/>
    <s v="profit"/>
    <s v="small"/>
    <n v="53.761580899215069"/>
  </r>
  <r>
    <x v="247"/>
    <x v="89"/>
    <s v="CUST-0214"/>
    <s v="Small Business"/>
    <x v="1"/>
    <x v="9"/>
    <x v="1"/>
    <x v="6"/>
    <n v="3"/>
    <n v="189.17"/>
    <n v="0.1"/>
    <n v="510.75900000000001"/>
    <n v="113.09"/>
    <n v="171.48900000000003"/>
    <x v="2"/>
    <x v="1"/>
    <n v="5"/>
    <s v="Apr"/>
    <s v="04"/>
    <s v="profit"/>
    <s v="medium"/>
    <n v="33.57532613228549"/>
  </r>
  <r>
    <x v="248"/>
    <x v="90"/>
    <s v="CUST-0385"/>
    <s v="Consumer"/>
    <x v="3"/>
    <x v="7"/>
    <x v="0"/>
    <x v="17"/>
    <n v="3"/>
    <n v="22.11"/>
    <n v="0"/>
    <n v="66.33"/>
    <n v="14.23"/>
    <n v="23.64"/>
    <x v="0"/>
    <x v="1"/>
    <n v="3"/>
    <s v="Apr"/>
    <s v="04"/>
    <s v="profit"/>
    <s v="small"/>
    <n v="35.639981908638632"/>
  </r>
  <r>
    <x v="249"/>
    <x v="90"/>
    <s v="CUST-0379"/>
    <s v="Small Business"/>
    <x v="2"/>
    <x v="11"/>
    <x v="2"/>
    <x v="5"/>
    <n v="1"/>
    <n v="85.08"/>
    <n v="0.15"/>
    <n v="72.317999999999998"/>
    <n v="69.67"/>
    <n v="2.6479999999999961"/>
    <x v="4"/>
    <x v="6"/>
    <n v="3"/>
    <s v="Apr"/>
    <s v="04"/>
    <s v="profit"/>
    <s v="small"/>
    <n v="3.6616056859979484"/>
  </r>
  <r>
    <x v="250"/>
    <x v="90"/>
    <s v="CUST-0351"/>
    <s v="Corporate"/>
    <x v="1"/>
    <x v="1"/>
    <x v="1"/>
    <x v="6"/>
    <n v="2"/>
    <n v="185.52"/>
    <n v="0.1"/>
    <n v="333.93600000000004"/>
    <n v="137.4"/>
    <n v="59.136000000000024"/>
    <x v="2"/>
    <x v="5"/>
    <n v="1"/>
    <s v="Apr"/>
    <s v="04"/>
    <s v="profit"/>
    <s v="small"/>
    <n v="17.70878252120167"/>
  </r>
  <r>
    <x v="251"/>
    <x v="90"/>
    <s v="CUST-0398"/>
    <s v="Small Business"/>
    <x v="2"/>
    <x v="2"/>
    <x v="4"/>
    <x v="7"/>
    <n v="2"/>
    <n v="1046.99"/>
    <n v="0.1"/>
    <n v="1884.5820000000001"/>
    <n v="646.73"/>
    <n v="591.12200000000007"/>
    <x v="4"/>
    <x v="1"/>
    <n v="4"/>
    <s v="Apr"/>
    <s v="04"/>
    <s v="profit"/>
    <s v="medium"/>
    <n v="31.366212772911979"/>
  </r>
  <r>
    <x v="252"/>
    <x v="90"/>
    <s v="CUST-0136"/>
    <s v="Consumer"/>
    <x v="0"/>
    <x v="6"/>
    <x v="3"/>
    <x v="4"/>
    <n v="1"/>
    <n v="19.11"/>
    <n v="0"/>
    <n v="19.11"/>
    <n v="13.67"/>
    <n v="5.4399999999999995"/>
    <x v="4"/>
    <x v="1"/>
    <n v="1"/>
    <s v="Apr"/>
    <s v="04"/>
    <s v="profit"/>
    <s v="small"/>
    <n v="28.46677132391418"/>
  </r>
  <r>
    <x v="253"/>
    <x v="91"/>
    <s v="CUST-0252"/>
    <s v="Small Business"/>
    <x v="0"/>
    <x v="5"/>
    <x v="0"/>
    <x v="0"/>
    <n v="3"/>
    <n v="27.6"/>
    <n v="0.1"/>
    <n v="74.52000000000001"/>
    <n v="11.53"/>
    <n v="39.930000000000014"/>
    <x v="2"/>
    <x v="7"/>
    <n v="2"/>
    <s v="Apr"/>
    <s v="04"/>
    <s v="profit"/>
    <s v="small"/>
    <n v="53.582930756843815"/>
  </r>
  <r>
    <x v="254"/>
    <x v="91"/>
    <s v="CUST-0179"/>
    <s v="Consumer"/>
    <x v="3"/>
    <x v="8"/>
    <x v="1"/>
    <x v="15"/>
    <n v="2"/>
    <n v="192.69"/>
    <n v="0.05"/>
    <n v="366.11099999999999"/>
    <n v="124.45"/>
    <n v="117.21099999999998"/>
    <x v="4"/>
    <x v="7"/>
    <n v="4"/>
    <s v="Apr"/>
    <s v="04"/>
    <s v="profit"/>
    <s v="small"/>
    <n v="32.015153874098289"/>
  </r>
  <r>
    <x v="255"/>
    <x v="91"/>
    <s v="CUST-0329"/>
    <s v="Small Business"/>
    <x v="0"/>
    <x v="0"/>
    <x v="4"/>
    <x v="7"/>
    <n v="3"/>
    <n v="1196.97"/>
    <n v="0.05"/>
    <n v="3411.3644999999997"/>
    <n v="760.39"/>
    <n v="1130.1944999999996"/>
    <x v="2"/>
    <x v="4"/>
    <n v="5"/>
    <s v="Apr"/>
    <s v="04"/>
    <s v="profit"/>
    <s v="large"/>
    <n v="33.130276755825996"/>
  </r>
  <r>
    <x v="256"/>
    <x v="91"/>
    <s v="CUST-0013"/>
    <s v="Small Business"/>
    <x v="0"/>
    <x v="6"/>
    <x v="1"/>
    <x v="6"/>
    <n v="1"/>
    <n v="120.09"/>
    <n v="0.1"/>
    <n v="108.081"/>
    <n v="70.94"/>
    <n v="37.141000000000005"/>
    <x v="0"/>
    <x v="0"/>
    <n v="4"/>
    <s v="Apr"/>
    <s v="04"/>
    <s v="profit"/>
    <s v="small"/>
    <n v="34.364041783477212"/>
  </r>
  <r>
    <x v="257"/>
    <x v="91"/>
    <s v="CUST-0274"/>
    <s v="Consumer"/>
    <x v="0"/>
    <x v="0"/>
    <x v="4"/>
    <x v="11"/>
    <n v="10"/>
    <n v="273.75"/>
    <n v="0.1"/>
    <n v="2463.75"/>
    <n v="214.49"/>
    <n v="318.84999999999991"/>
    <x v="3"/>
    <x v="4"/>
    <n v="4"/>
    <s v="Apr"/>
    <s v="04"/>
    <s v="profit"/>
    <s v="large"/>
    <n v="12.941653982749871"/>
  </r>
  <r>
    <x v="258"/>
    <x v="91"/>
    <s v="CUST-0352"/>
    <s v="Consumer"/>
    <x v="1"/>
    <x v="9"/>
    <x v="1"/>
    <x v="1"/>
    <n v="5"/>
    <n v="345.77"/>
    <n v="0"/>
    <n v="1728.85"/>
    <n v="245.11"/>
    <n v="503.29999999999973"/>
    <x v="3"/>
    <x v="0"/>
    <n v="5"/>
    <s v="Apr"/>
    <s v="04"/>
    <s v="profit"/>
    <s v="medium"/>
    <n v="29.111837348526464"/>
  </r>
  <r>
    <x v="259"/>
    <x v="92"/>
    <s v="CUST-0209"/>
    <s v="Corporate"/>
    <x v="0"/>
    <x v="5"/>
    <x v="2"/>
    <x v="10"/>
    <n v="5"/>
    <n v="690.7"/>
    <n v="0.15"/>
    <n v="2935.4749999999999"/>
    <n v="539.35"/>
    <n v="238.72499999999991"/>
    <x v="1"/>
    <x v="6"/>
    <n v="4"/>
    <s v="Apr"/>
    <s v="04"/>
    <s v="profit"/>
    <s v="large"/>
    <n v="8.1324146858685538"/>
  </r>
  <r>
    <x v="260"/>
    <x v="92"/>
    <s v="CUST-0038"/>
    <s v="Corporate"/>
    <x v="0"/>
    <x v="5"/>
    <x v="2"/>
    <x v="10"/>
    <n v="3"/>
    <n v="1051.1300000000001"/>
    <n v="0.1"/>
    <n v="2838.0510000000004"/>
    <n v="844.88"/>
    <n v="303.41100000000051"/>
    <x v="2"/>
    <x v="2"/>
    <n v="3"/>
    <s v="Apr"/>
    <s v="04"/>
    <s v="profit"/>
    <s v="large"/>
    <n v="10.690822680776366"/>
  </r>
  <r>
    <x v="261"/>
    <x v="93"/>
    <s v="CUST-0081"/>
    <s v="Small Business"/>
    <x v="1"/>
    <x v="1"/>
    <x v="1"/>
    <x v="19"/>
    <n v="5"/>
    <n v="51.74"/>
    <n v="0"/>
    <n v="258.7"/>
    <n v="29.22"/>
    <n v="112.6"/>
    <x v="4"/>
    <x v="3"/>
    <n v="5"/>
    <s v="Apr"/>
    <s v="04"/>
    <s v="profit"/>
    <s v="small"/>
    <n v="43.525318902203324"/>
  </r>
  <r>
    <x v="262"/>
    <x v="94"/>
    <s v="CUST-0064"/>
    <s v="Consumer"/>
    <x v="2"/>
    <x v="3"/>
    <x v="1"/>
    <x v="6"/>
    <n v="3"/>
    <n v="241.63"/>
    <n v="0.05"/>
    <n v="688.64549999999997"/>
    <n v="174.26"/>
    <n v="165.8655"/>
    <x v="3"/>
    <x v="6"/>
    <n v="4"/>
    <s v="Apr"/>
    <s v="04"/>
    <s v="profit"/>
    <s v="medium"/>
    <n v="24.085759654277854"/>
  </r>
  <r>
    <x v="263"/>
    <x v="94"/>
    <s v="CUST-0263"/>
    <s v="Consumer"/>
    <x v="2"/>
    <x v="3"/>
    <x v="3"/>
    <x v="9"/>
    <n v="2"/>
    <n v="286.52999999999997"/>
    <n v="0.1"/>
    <n v="515.75400000000002"/>
    <n v="172.41"/>
    <n v="170.93400000000003"/>
    <x v="4"/>
    <x v="3"/>
    <n v="3"/>
    <s v="Apr"/>
    <s v="04"/>
    <s v="profit"/>
    <s v="medium"/>
    <n v="33.142544701543763"/>
  </r>
  <r>
    <x v="264"/>
    <x v="94"/>
    <s v="CUST-0149"/>
    <s v="Small Business"/>
    <x v="0"/>
    <x v="5"/>
    <x v="1"/>
    <x v="15"/>
    <n v="2"/>
    <n v="49.49"/>
    <n v="0.05"/>
    <n v="94.031000000000006"/>
    <n v="30.48"/>
    <n v="33.071000000000005"/>
    <x v="3"/>
    <x v="1"/>
    <n v="2"/>
    <s v="Apr"/>
    <s v="04"/>
    <s v="profit"/>
    <s v="small"/>
    <n v="35.170316172326146"/>
  </r>
  <r>
    <x v="265"/>
    <x v="94"/>
    <s v="CUST-0100"/>
    <s v="Corporate"/>
    <x v="3"/>
    <x v="7"/>
    <x v="1"/>
    <x v="1"/>
    <n v="1"/>
    <n v="384.01"/>
    <n v="0"/>
    <n v="384.01"/>
    <n v="260.58"/>
    <n v="123.43"/>
    <x v="1"/>
    <x v="0"/>
    <n v="4"/>
    <s v="Apr"/>
    <s v="04"/>
    <s v="profit"/>
    <s v="small"/>
    <n v="32.142392125205077"/>
  </r>
  <r>
    <x v="266"/>
    <x v="94"/>
    <s v="CUST-0114"/>
    <s v="Small Business"/>
    <x v="2"/>
    <x v="11"/>
    <x v="1"/>
    <x v="15"/>
    <n v="1"/>
    <n v="126.14"/>
    <n v="0"/>
    <n v="126.14"/>
    <n v="85.41"/>
    <n v="40.730000000000004"/>
    <x v="1"/>
    <x v="1"/>
    <n v="5"/>
    <s v="Apr"/>
    <s v="04"/>
    <s v="profit"/>
    <s v="small"/>
    <n v="32.289519581417473"/>
  </r>
  <r>
    <x v="267"/>
    <x v="95"/>
    <s v="CUST-0331"/>
    <s v="Small Business"/>
    <x v="2"/>
    <x v="11"/>
    <x v="2"/>
    <x v="5"/>
    <n v="2"/>
    <n v="267.02999999999997"/>
    <n v="0"/>
    <n v="534.05999999999995"/>
    <n v="221.79"/>
    <n v="90.479999999999961"/>
    <x v="3"/>
    <x v="1"/>
    <n v="5"/>
    <s v="Apr"/>
    <s v="04"/>
    <s v="profit"/>
    <s v="medium"/>
    <n v="16.941916638579929"/>
  </r>
  <r>
    <x v="268"/>
    <x v="95"/>
    <s v="CUST-0260"/>
    <s v="Small Business"/>
    <x v="0"/>
    <x v="5"/>
    <x v="2"/>
    <x v="2"/>
    <n v="1"/>
    <n v="152.68"/>
    <n v="0"/>
    <n v="152.68"/>
    <n v="120.61"/>
    <n v="32.070000000000007"/>
    <x v="3"/>
    <x v="6"/>
    <n v="5"/>
    <s v="Apr"/>
    <s v="04"/>
    <s v="profit"/>
    <s v="small"/>
    <n v="21.004715745349756"/>
  </r>
  <r>
    <x v="269"/>
    <x v="95"/>
    <s v="CUST-0115"/>
    <s v="Small Business"/>
    <x v="1"/>
    <x v="9"/>
    <x v="2"/>
    <x v="10"/>
    <n v="4"/>
    <n v="1063.7"/>
    <n v="0"/>
    <n v="4254.8"/>
    <n v="870.62"/>
    <n v="772.32000000000016"/>
    <x v="0"/>
    <x v="3"/>
    <n v="4"/>
    <s v="Apr"/>
    <s v="04"/>
    <s v="profit"/>
    <s v="large"/>
    <n v="18.151734511610421"/>
  </r>
  <r>
    <x v="270"/>
    <x v="96"/>
    <s v="CUST-0072"/>
    <s v="Corporate"/>
    <x v="3"/>
    <x v="10"/>
    <x v="0"/>
    <x v="3"/>
    <n v="3"/>
    <n v="83.66"/>
    <n v="0.1"/>
    <n v="225.88200000000001"/>
    <n v="54.16"/>
    <n v="63.402000000000015"/>
    <x v="4"/>
    <x v="3"/>
    <n v="4"/>
    <s v="Apr"/>
    <s v="04"/>
    <s v="profit"/>
    <s v="small"/>
    <n v="28.068637607246266"/>
  </r>
  <r>
    <x v="271"/>
    <x v="96"/>
    <s v="CUST-0033"/>
    <s v="Corporate"/>
    <x v="2"/>
    <x v="3"/>
    <x v="0"/>
    <x v="0"/>
    <n v="1"/>
    <n v="72.83"/>
    <n v="0.05"/>
    <n v="69.188499999999991"/>
    <n v="38.54"/>
    <n v="30.648499999999991"/>
    <x v="0"/>
    <x v="4"/>
    <n v="2"/>
    <s v="Apr"/>
    <s v="04"/>
    <s v="profit"/>
    <s v="small"/>
    <n v="44.297101396908438"/>
  </r>
  <r>
    <x v="272"/>
    <x v="97"/>
    <s v="CUST-0361"/>
    <s v="Small Business"/>
    <x v="0"/>
    <x v="0"/>
    <x v="2"/>
    <x v="5"/>
    <n v="10"/>
    <n v="134.79"/>
    <n v="0"/>
    <n v="1347.8999999999999"/>
    <n v="102.75"/>
    <n v="320.39999999999986"/>
    <x v="0"/>
    <x v="1"/>
    <n v="4"/>
    <s v="Apr"/>
    <s v="04"/>
    <s v="profit"/>
    <s v="medium"/>
    <n v="23.770309370131308"/>
  </r>
  <r>
    <x v="273"/>
    <x v="98"/>
    <s v="CUST-0115"/>
    <s v="Small Business"/>
    <x v="0"/>
    <x v="5"/>
    <x v="0"/>
    <x v="3"/>
    <n v="1"/>
    <n v="118.44"/>
    <n v="0.2"/>
    <n v="94.75200000000001"/>
    <n v="66.17"/>
    <n v="28.582000000000008"/>
    <x v="1"/>
    <x v="7"/>
    <n v="5"/>
    <s v="Apr"/>
    <s v="04"/>
    <s v="profit"/>
    <s v="small"/>
    <n v="30.165062478892274"/>
  </r>
  <r>
    <x v="274"/>
    <x v="99"/>
    <s v="CUST-0330"/>
    <s v="Corporate"/>
    <x v="3"/>
    <x v="8"/>
    <x v="4"/>
    <x v="7"/>
    <n v="1"/>
    <n v="1098.45"/>
    <n v="0"/>
    <n v="1098.45"/>
    <n v="877.31"/>
    <n v="221.1400000000001"/>
    <x v="4"/>
    <x v="3"/>
    <n v="3"/>
    <s v="Apr"/>
    <s v="04"/>
    <s v="profit"/>
    <s v="medium"/>
    <n v="20.132004187719065"/>
  </r>
  <r>
    <x v="275"/>
    <x v="99"/>
    <s v="CUST-0246"/>
    <s v="Consumer"/>
    <x v="2"/>
    <x v="2"/>
    <x v="4"/>
    <x v="14"/>
    <n v="1"/>
    <n v="324.61"/>
    <n v="0.1"/>
    <n v="292.149"/>
    <n v="232.77"/>
    <n v="59.378999999999991"/>
    <x v="2"/>
    <x v="3"/>
    <n v="4"/>
    <s v="Apr"/>
    <s v="04"/>
    <s v="profit"/>
    <s v="small"/>
    <n v="20.324902703757324"/>
  </r>
  <r>
    <x v="276"/>
    <x v="99"/>
    <s v="CUST-0294"/>
    <s v="Consumer"/>
    <x v="3"/>
    <x v="7"/>
    <x v="0"/>
    <x v="0"/>
    <n v="3"/>
    <n v="27.8"/>
    <n v="0"/>
    <n v="83.4"/>
    <n v="14.08"/>
    <n v="41.160000000000004"/>
    <x v="3"/>
    <x v="3"/>
    <n v="3"/>
    <s v="Apr"/>
    <s v="04"/>
    <s v="profit"/>
    <s v="small"/>
    <n v="49.352517985611513"/>
  </r>
  <r>
    <x v="277"/>
    <x v="99"/>
    <s v="CUST-0044"/>
    <s v="Consumer"/>
    <x v="0"/>
    <x v="5"/>
    <x v="2"/>
    <x v="12"/>
    <n v="4"/>
    <n v="479.65"/>
    <n v="0.15"/>
    <n v="1630.81"/>
    <n v="391.14"/>
    <n v="66.25"/>
    <x v="1"/>
    <x v="0"/>
    <n v="5"/>
    <s v="Apr"/>
    <s v="04"/>
    <s v="profit"/>
    <s v="medium"/>
    <n v="4.062398440038999"/>
  </r>
  <r>
    <x v="278"/>
    <x v="100"/>
    <s v="CUST-0371"/>
    <s v="Small Business"/>
    <x v="3"/>
    <x v="10"/>
    <x v="2"/>
    <x v="12"/>
    <n v="3"/>
    <n v="480.46"/>
    <n v="0"/>
    <n v="1441.3799999999999"/>
    <n v="375.15"/>
    <n v="315.93000000000006"/>
    <x v="0"/>
    <x v="0"/>
    <n v="4"/>
    <s v="Apr"/>
    <s v="04"/>
    <s v="profit"/>
    <s v="medium"/>
    <n v="21.91857802938851"/>
  </r>
  <r>
    <x v="279"/>
    <x v="100"/>
    <s v="CUST-0215"/>
    <s v="Consumer"/>
    <x v="3"/>
    <x v="10"/>
    <x v="2"/>
    <x v="12"/>
    <n v="5"/>
    <n v="362"/>
    <n v="0.05"/>
    <n v="1719.5"/>
    <n v="319.89999999999998"/>
    <n v="120"/>
    <x v="2"/>
    <x v="2"/>
    <n v="3"/>
    <s v="Apr"/>
    <s v="04"/>
    <s v="profit"/>
    <s v="medium"/>
    <n v="6.9787728990985745"/>
  </r>
  <r>
    <x v="280"/>
    <x v="100"/>
    <s v="CUST-0309"/>
    <s v="Small Business"/>
    <x v="0"/>
    <x v="0"/>
    <x v="3"/>
    <x v="4"/>
    <n v="2"/>
    <n v="45.35"/>
    <n v="0"/>
    <n v="90.7"/>
    <n v="29.19"/>
    <n v="32.32"/>
    <x v="3"/>
    <x v="6"/>
    <n v="4"/>
    <s v="Apr"/>
    <s v="04"/>
    <s v="profit"/>
    <s v="small"/>
    <n v="35.633958103638371"/>
  </r>
  <r>
    <x v="281"/>
    <x v="100"/>
    <s v="CUST-0390"/>
    <s v="Small Business"/>
    <x v="1"/>
    <x v="1"/>
    <x v="4"/>
    <x v="14"/>
    <n v="2"/>
    <n v="338.13"/>
    <n v="0.15"/>
    <n v="574.82100000000003"/>
    <n v="241.5"/>
    <n v="91.821000000000026"/>
    <x v="2"/>
    <x v="2"/>
    <n v="4"/>
    <s v="Apr"/>
    <s v="04"/>
    <s v="profit"/>
    <s v="medium"/>
    <n v="15.973842291774313"/>
  </r>
  <r>
    <x v="282"/>
    <x v="100"/>
    <s v="CUST-0004"/>
    <s v="Small Business"/>
    <x v="1"/>
    <x v="1"/>
    <x v="4"/>
    <x v="11"/>
    <n v="1"/>
    <n v="556.84"/>
    <n v="0.1"/>
    <n v="501.15600000000006"/>
    <n v="436.14"/>
    <n v="65.016000000000076"/>
    <x v="2"/>
    <x v="2"/>
    <n v="4"/>
    <s v="Apr"/>
    <s v="04"/>
    <s v="profit"/>
    <s v="medium"/>
    <n v="12.973205947848587"/>
  </r>
  <r>
    <x v="283"/>
    <x v="100"/>
    <s v="CUST-0130"/>
    <s v="Corporate"/>
    <x v="2"/>
    <x v="3"/>
    <x v="4"/>
    <x v="11"/>
    <n v="1"/>
    <n v="450.13"/>
    <n v="0.1"/>
    <n v="405.11700000000002"/>
    <n v="331.66"/>
    <n v="73.456999999999994"/>
    <x v="2"/>
    <x v="6"/>
    <n v="4"/>
    <s v="Apr"/>
    <s v="04"/>
    <s v="profit"/>
    <s v="small"/>
    <n v="18.132292646321922"/>
  </r>
  <r>
    <x v="284"/>
    <x v="101"/>
    <s v="CUST-0130"/>
    <s v="Corporate"/>
    <x v="1"/>
    <x v="4"/>
    <x v="0"/>
    <x v="3"/>
    <n v="2"/>
    <n v="130.6"/>
    <n v="0.05"/>
    <n v="248.14"/>
    <n v="71.400000000000006"/>
    <n v="105.33999999999997"/>
    <x v="2"/>
    <x v="7"/>
    <n v="5"/>
    <s v="Apr"/>
    <s v="04"/>
    <s v="profit"/>
    <s v="small"/>
    <n v="42.451841702264844"/>
  </r>
  <r>
    <x v="285"/>
    <x v="101"/>
    <s v="CUST-0052"/>
    <s v="Consumer"/>
    <x v="3"/>
    <x v="8"/>
    <x v="4"/>
    <x v="11"/>
    <n v="4"/>
    <n v="530.4"/>
    <n v="0.2"/>
    <n v="1697.28"/>
    <n v="354.38"/>
    <n v="279.76"/>
    <x v="2"/>
    <x v="6"/>
    <n v="5"/>
    <s v="Apr"/>
    <s v="04"/>
    <s v="profit"/>
    <s v="medium"/>
    <n v="16.482843137254903"/>
  </r>
  <r>
    <x v="286"/>
    <x v="101"/>
    <s v="CUST-0308"/>
    <s v="Corporate"/>
    <x v="0"/>
    <x v="0"/>
    <x v="1"/>
    <x v="19"/>
    <n v="5"/>
    <n v="40.270000000000003"/>
    <n v="0.05"/>
    <n v="191.2825"/>
    <n v="22.43"/>
    <n v="79.132499999999993"/>
    <x v="3"/>
    <x v="2"/>
    <n v="3"/>
    <s v="Apr"/>
    <s v="04"/>
    <s v="profit"/>
    <s v="small"/>
    <n v="41.369440487237455"/>
  </r>
  <r>
    <x v="287"/>
    <x v="101"/>
    <s v="CUST-0306"/>
    <s v="Consumer"/>
    <x v="1"/>
    <x v="9"/>
    <x v="4"/>
    <x v="14"/>
    <n v="3"/>
    <n v="348.06"/>
    <n v="0"/>
    <n v="1044.18"/>
    <n v="213.66"/>
    <n v="403.20000000000005"/>
    <x v="4"/>
    <x v="0"/>
    <n v="4"/>
    <s v="Apr"/>
    <s v="04"/>
    <s v="profit"/>
    <s v="medium"/>
    <n v="38.614032063437342"/>
  </r>
  <r>
    <x v="288"/>
    <x v="101"/>
    <s v="CUST-0123"/>
    <s v="Small Business"/>
    <x v="3"/>
    <x v="10"/>
    <x v="2"/>
    <x v="2"/>
    <n v="1"/>
    <n v="185.82"/>
    <n v="0"/>
    <n v="185.82"/>
    <n v="166.3"/>
    <n v="19.519999999999982"/>
    <x v="3"/>
    <x v="3"/>
    <n v="2"/>
    <s v="Apr"/>
    <s v="04"/>
    <s v="profit"/>
    <s v="small"/>
    <n v="10.504789581315242"/>
  </r>
  <r>
    <x v="289"/>
    <x v="102"/>
    <s v="CUST-0047"/>
    <s v="Small Business"/>
    <x v="3"/>
    <x v="10"/>
    <x v="4"/>
    <x v="7"/>
    <n v="1"/>
    <n v="617.80999999999995"/>
    <n v="0.1"/>
    <n v="556.029"/>
    <n v="445.42"/>
    <n v="110.60899999999998"/>
    <x v="0"/>
    <x v="7"/>
    <n v="4"/>
    <s v="Apr"/>
    <s v="04"/>
    <s v="profit"/>
    <s v="medium"/>
    <n v="19.892667468783099"/>
  </r>
  <r>
    <x v="290"/>
    <x v="102"/>
    <s v="CUST-0260"/>
    <s v="Consumer"/>
    <x v="1"/>
    <x v="9"/>
    <x v="1"/>
    <x v="15"/>
    <n v="1"/>
    <n v="133.08000000000001"/>
    <n v="0"/>
    <n v="133.08000000000001"/>
    <n v="94.63"/>
    <n v="38.450000000000017"/>
    <x v="2"/>
    <x v="2"/>
    <n v="4"/>
    <s v="Apr"/>
    <s v="04"/>
    <s v="profit"/>
    <s v="small"/>
    <n v="28.892395551547949"/>
  </r>
  <r>
    <x v="291"/>
    <x v="103"/>
    <s v="CUST-0248"/>
    <s v="Consumer"/>
    <x v="2"/>
    <x v="2"/>
    <x v="4"/>
    <x v="14"/>
    <n v="2"/>
    <n v="377.09"/>
    <n v="0"/>
    <n v="754.18"/>
    <n v="229.52"/>
    <n v="295.13999999999993"/>
    <x v="0"/>
    <x v="0"/>
    <n v="4"/>
    <s v="Apr"/>
    <s v="04"/>
    <s v="profit"/>
    <s v="medium"/>
    <n v="39.133893765414086"/>
  </r>
  <r>
    <x v="292"/>
    <x v="103"/>
    <s v="CUST-0360"/>
    <s v="Consumer"/>
    <x v="1"/>
    <x v="9"/>
    <x v="3"/>
    <x v="4"/>
    <n v="4"/>
    <n v="30.31"/>
    <n v="0"/>
    <n v="121.24"/>
    <n v="21.17"/>
    <n v="36.559999999999988"/>
    <x v="0"/>
    <x v="6"/>
    <n v="5"/>
    <s v="Apr"/>
    <s v="04"/>
    <s v="profit"/>
    <s v="small"/>
    <n v="30.155064335202898"/>
  </r>
  <r>
    <x v="293"/>
    <x v="103"/>
    <s v="CUST-0176"/>
    <s v="Consumer"/>
    <x v="2"/>
    <x v="3"/>
    <x v="0"/>
    <x v="17"/>
    <n v="2"/>
    <n v="26.92"/>
    <n v="0.1"/>
    <n v="48.456000000000003"/>
    <n v="15.73"/>
    <n v="16.996000000000002"/>
    <x v="2"/>
    <x v="3"/>
    <n v="4"/>
    <s v="Apr"/>
    <s v="04"/>
    <s v="profit"/>
    <s v="small"/>
    <n v="35.075119696219254"/>
  </r>
  <r>
    <x v="294"/>
    <x v="104"/>
    <s v="CUST-0124"/>
    <s v="Corporate"/>
    <x v="3"/>
    <x v="8"/>
    <x v="4"/>
    <x v="18"/>
    <n v="4"/>
    <n v="94.73"/>
    <n v="0"/>
    <n v="378.92"/>
    <n v="61.65"/>
    <n v="132.32000000000002"/>
    <x v="4"/>
    <x v="4"/>
    <n v="3"/>
    <s v="Apr"/>
    <s v="04"/>
    <s v="profit"/>
    <s v="small"/>
    <n v="34.920299799429969"/>
  </r>
  <r>
    <x v="295"/>
    <x v="104"/>
    <s v="CUST-0315"/>
    <s v="Consumer"/>
    <x v="0"/>
    <x v="0"/>
    <x v="2"/>
    <x v="2"/>
    <n v="3"/>
    <n v="211.73"/>
    <n v="0.1"/>
    <n v="571.67099999999994"/>
    <n v="165.82"/>
    <n v="74.210999999999956"/>
    <x v="2"/>
    <x v="5"/>
    <n v="5"/>
    <s v="Apr"/>
    <s v="04"/>
    <s v="profit"/>
    <s v="medium"/>
    <n v="12.981417633568954"/>
  </r>
  <r>
    <x v="296"/>
    <x v="104"/>
    <s v="CUST-0262"/>
    <s v="Corporate"/>
    <x v="2"/>
    <x v="11"/>
    <x v="4"/>
    <x v="18"/>
    <n v="1"/>
    <n v="153.54"/>
    <n v="0.1"/>
    <n v="138.18600000000001"/>
    <n v="92.57"/>
    <n v="45.616000000000014"/>
    <x v="1"/>
    <x v="4"/>
    <n v="5"/>
    <s v="Apr"/>
    <s v="04"/>
    <s v="profit"/>
    <s v="small"/>
    <n v="33.010579942975419"/>
  </r>
  <r>
    <x v="297"/>
    <x v="104"/>
    <s v="CUST-0398"/>
    <s v="Consumer"/>
    <x v="0"/>
    <x v="5"/>
    <x v="2"/>
    <x v="2"/>
    <n v="2"/>
    <n v="375.73"/>
    <n v="0.15"/>
    <n v="638.74099999999999"/>
    <n v="311.2"/>
    <n v="16.341000000000008"/>
    <x v="1"/>
    <x v="2"/>
    <n v="4"/>
    <s v="Apr"/>
    <s v="04"/>
    <s v="profit"/>
    <s v="medium"/>
    <n v="2.5583139331904494"/>
  </r>
  <r>
    <x v="298"/>
    <x v="104"/>
    <s v="CUST-0096"/>
    <s v="Small Business"/>
    <x v="0"/>
    <x v="6"/>
    <x v="0"/>
    <x v="17"/>
    <n v="2"/>
    <n v="8.32"/>
    <n v="0.15"/>
    <n v="14.144"/>
    <n v="4.97"/>
    <n v="4.2040000000000006"/>
    <x v="0"/>
    <x v="4"/>
    <n v="3"/>
    <s v="Apr"/>
    <s v="04"/>
    <s v="profit"/>
    <s v="small"/>
    <n v="29.722850678733039"/>
  </r>
  <r>
    <x v="299"/>
    <x v="104"/>
    <s v="CUST-0206"/>
    <s v="Corporate"/>
    <x v="3"/>
    <x v="8"/>
    <x v="3"/>
    <x v="9"/>
    <n v="4"/>
    <n v="387.85"/>
    <n v="0"/>
    <n v="1551.4"/>
    <n v="252.2"/>
    <n v="542.60000000000014"/>
    <x v="1"/>
    <x v="3"/>
    <n v="4"/>
    <s v="Apr"/>
    <s v="04"/>
    <s v="profit"/>
    <s v="medium"/>
    <n v="34.974861415495688"/>
  </r>
  <r>
    <x v="300"/>
    <x v="104"/>
    <s v="CUST-0075"/>
    <s v="Small Business"/>
    <x v="3"/>
    <x v="10"/>
    <x v="3"/>
    <x v="16"/>
    <n v="2"/>
    <n v="126.77"/>
    <n v="0"/>
    <n v="253.54"/>
    <n v="76.8"/>
    <n v="99.94"/>
    <x v="4"/>
    <x v="0"/>
    <n v="5"/>
    <s v="Apr"/>
    <s v="04"/>
    <s v="profit"/>
    <s v="small"/>
    <n v="39.417843338329256"/>
  </r>
  <r>
    <x v="301"/>
    <x v="105"/>
    <s v="CUST-0291"/>
    <s v="Consumer"/>
    <x v="2"/>
    <x v="11"/>
    <x v="2"/>
    <x v="12"/>
    <n v="2"/>
    <n v="223.96"/>
    <n v="0.05"/>
    <n v="425.524"/>
    <n v="171.56"/>
    <n v="82.403999999999996"/>
    <x v="1"/>
    <x v="2"/>
    <n v="4"/>
    <s v="Apr"/>
    <s v="04"/>
    <s v="profit"/>
    <s v="small"/>
    <n v="19.365300194583618"/>
  </r>
  <r>
    <x v="302"/>
    <x v="105"/>
    <s v="CUST-0287"/>
    <s v="Small Business"/>
    <x v="1"/>
    <x v="9"/>
    <x v="2"/>
    <x v="5"/>
    <n v="2"/>
    <n v="158.66999999999999"/>
    <n v="0"/>
    <n v="317.33999999999997"/>
    <n v="127.81"/>
    <n v="61.71999999999997"/>
    <x v="0"/>
    <x v="7"/>
    <n v="1"/>
    <s v="Apr"/>
    <s v="04"/>
    <s v="profit"/>
    <s v="small"/>
    <n v="19.449171235898397"/>
  </r>
  <r>
    <x v="303"/>
    <x v="106"/>
    <s v="CUST-0250"/>
    <s v="Small Business"/>
    <x v="3"/>
    <x v="8"/>
    <x v="2"/>
    <x v="2"/>
    <n v="2"/>
    <n v="153.61000000000001"/>
    <n v="0.1"/>
    <n v="276.49800000000005"/>
    <n v="124.98"/>
    <n v="26.538000000000039"/>
    <x v="1"/>
    <x v="2"/>
    <n v="4"/>
    <s v="Apr"/>
    <s v="04"/>
    <s v="profit"/>
    <s v="small"/>
    <n v="9.5978994423106254"/>
  </r>
  <r>
    <x v="304"/>
    <x v="106"/>
    <s v="CUST-0037"/>
    <s v="Consumer"/>
    <x v="2"/>
    <x v="11"/>
    <x v="4"/>
    <x v="11"/>
    <n v="3"/>
    <n v="536.76"/>
    <n v="0.05"/>
    <n v="1529.7659999999998"/>
    <n v="360.64"/>
    <n v="447.84599999999978"/>
    <x v="4"/>
    <x v="7"/>
    <n v="3"/>
    <s v="Apr"/>
    <s v="04"/>
    <s v="profit"/>
    <s v="medium"/>
    <n v="29.275457815116813"/>
  </r>
  <r>
    <x v="305"/>
    <x v="106"/>
    <s v="CUST-0186"/>
    <s v="Small Business"/>
    <x v="1"/>
    <x v="1"/>
    <x v="4"/>
    <x v="18"/>
    <n v="6"/>
    <n v="194.98"/>
    <n v="0.1"/>
    <n v="1052.8919999999998"/>
    <n v="132.38"/>
    <n v="258.61199999999985"/>
    <x v="2"/>
    <x v="0"/>
    <n v="4"/>
    <s v="Apr"/>
    <s v="04"/>
    <s v="profit"/>
    <s v="medium"/>
    <n v="24.562063345528308"/>
  </r>
  <r>
    <x v="306"/>
    <x v="107"/>
    <s v="CUST-0086"/>
    <s v="Corporate"/>
    <x v="2"/>
    <x v="2"/>
    <x v="2"/>
    <x v="10"/>
    <n v="4"/>
    <n v="743.78"/>
    <n v="0"/>
    <n v="2975.12"/>
    <n v="643.23"/>
    <n v="402.19999999999982"/>
    <x v="3"/>
    <x v="2"/>
    <n v="2"/>
    <s v="Apr"/>
    <s v="04"/>
    <s v="profit"/>
    <s v="large"/>
    <n v="13.518782435666454"/>
  </r>
  <r>
    <x v="307"/>
    <x v="107"/>
    <s v="CUST-0336"/>
    <s v="Corporate"/>
    <x v="0"/>
    <x v="0"/>
    <x v="3"/>
    <x v="4"/>
    <n v="1"/>
    <n v="13"/>
    <n v="0"/>
    <n v="13"/>
    <n v="8.7200000000000006"/>
    <n v="4.2799999999999994"/>
    <x v="0"/>
    <x v="4"/>
    <n v="3"/>
    <s v="Apr"/>
    <s v="04"/>
    <s v="profit"/>
    <s v="small"/>
    <n v="32.923076923076913"/>
  </r>
  <r>
    <x v="308"/>
    <x v="107"/>
    <s v="CUST-0167"/>
    <s v="Corporate"/>
    <x v="0"/>
    <x v="0"/>
    <x v="4"/>
    <x v="11"/>
    <n v="3"/>
    <n v="183.01"/>
    <n v="0.15"/>
    <n v="466.67549999999994"/>
    <n v="115.72"/>
    <n v="119.51549999999997"/>
    <x v="1"/>
    <x v="1"/>
    <n v="4"/>
    <s v="Apr"/>
    <s v="04"/>
    <s v="profit"/>
    <s v="small"/>
    <n v="25.609979525387555"/>
  </r>
  <r>
    <x v="309"/>
    <x v="108"/>
    <s v="CUST-0178"/>
    <s v="Corporate"/>
    <x v="1"/>
    <x v="9"/>
    <x v="2"/>
    <x v="2"/>
    <n v="3"/>
    <n v="145.5"/>
    <n v="0.05"/>
    <n v="414.67499999999995"/>
    <n v="117.91"/>
    <n v="60.944999999999936"/>
    <x v="2"/>
    <x v="4"/>
    <n v="5"/>
    <s v="Apr"/>
    <s v="04"/>
    <s v="profit"/>
    <s v="small"/>
    <n v="14.697051908120804"/>
  </r>
  <r>
    <x v="310"/>
    <x v="108"/>
    <s v="CUST-0070"/>
    <s v="Corporate"/>
    <x v="0"/>
    <x v="0"/>
    <x v="0"/>
    <x v="8"/>
    <n v="2"/>
    <n v="117.14"/>
    <n v="0.1"/>
    <n v="210.852"/>
    <n v="71.58"/>
    <n v="67.692000000000007"/>
    <x v="0"/>
    <x v="0"/>
    <n v="4"/>
    <s v="Apr"/>
    <s v="04"/>
    <s v="profit"/>
    <s v="small"/>
    <n v="32.104035057765643"/>
  </r>
  <r>
    <x v="311"/>
    <x v="108"/>
    <s v="CUST-0004"/>
    <s v="Small Business"/>
    <x v="0"/>
    <x v="6"/>
    <x v="1"/>
    <x v="1"/>
    <n v="4"/>
    <n v="382.5"/>
    <n v="0.05"/>
    <n v="1453.5"/>
    <n v="250.38"/>
    <n v="451.98"/>
    <x v="0"/>
    <x v="4"/>
    <n v="4"/>
    <s v="Apr"/>
    <s v="04"/>
    <s v="profit"/>
    <s v="medium"/>
    <n v="31.095975232198143"/>
  </r>
  <r>
    <x v="312"/>
    <x v="109"/>
    <s v="CUST-0321"/>
    <s v="Consumer"/>
    <x v="1"/>
    <x v="1"/>
    <x v="0"/>
    <x v="3"/>
    <n v="1"/>
    <n v="69.989999999999995"/>
    <n v="0"/>
    <n v="69.989999999999995"/>
    <n v="32.979999999999997"/>
    <n v="37.01"/>
    <x v="2"/>
    <x v="1"/>
    <n v="3"/>
    <s v="Apr"/>
    <s v="04"/>
    <s v="profit"/>
    <s v="small"/>
    <n v="52.878982711815972"/>
  </r>
  <r>
    <x v="313"/>
    <x v="109"/>
    <s v="CUST-0317"/>
    <s v="Corporate"/>
    <x v="3"/>
    <x v="7"/>
    <x v="1"/>
    <x v="6"/>
    <n v="1"/>
    <n v="126.71"/>
    <n v="0.1"/>
    <n v="114.039"/>
    <n v="73.400000000000006"/>
    <n v="40.638999999999996"/>
    <x v="0"/>
    <x v="0"/>
    <n v="3"/>
    <s v="Apr"/>
    <s v="04"/>
    <s v="profit"/>
    <s v="small"/>
    <n v="35.636054332289824"/>
  </r>
  <r>
    <x v="314"/>
    <x v="109"/>
    <s v="CUST-0373"/>
    <s v="Consumer"/>
    <x v="0"/>
    <x v="6"/>
    <x v="2"/>
    <x v="10"/>
    <n v="1"/>
    <n v="1377.29"/>
    <n v="0.1"/>
    <n v="1239.5609999999999"/>
    <n v="1234.99"/>
    <n v="4.5709999999999127"/>
    <x v="4"/>
    <x v="2"/>
    <n v="3"/>
    <s v="Apr"/>
    <s v="04"/>
    <s v="profit"/>
    <s v="medium"/>
    <n v="0.36875958504663453"/>
  </r>
  <r>
    <x v="315"/>
    <x v="110"/>
    <s v="CUST-0170"/>
    <s v="Consumer"/>
    <x v="1"/>
    <x v="1"/>
    <x v="0"/>
    <x v="8"/>
    <n v="2"/>
    <n v="118.54"/>
    <n v="0.1"/>
    <n v="213.37200000000001"/>
    <n v="53.77"/>
    <n v="105.83200000000001"/>
    <x v="4"/>
    <x v="5"/>
    <n v="3"/>
    <s v="Apr"/>
    <s v="04"/>
    <s v="profit"/>
    <s v="small"/>
    <n v="49.599760043492118"/>
  </r>
  <r>
    <x v="316"/>
    <x v="110"/>
    <s v="CUST-0394"/>
    <s v="Small Business"/>
    <x v="2"/>
    <x v="11"/>
    <x v="4"/>
    <x v="7"/>
    <n v="5"/>
    <n v="463.44"/>
    <n v="0"/>
    <n v="2317.1999999999998"/>
    <n v="287.73"/>
    <n v="878.54999999999973"/>
    <x v="4"/>
    <x v="6"/>
    <n v="5"/>
    <s v="Apr"/>
    <s v="04"/>
    <s v="profit"/>
    <s v="large"/>
    <n v="37.914293112376996"/>
  </r>
  <r>
    <x v="317"/>
    <x v="110"/>
    <s v="CUST-0200"/>
    <s v="Small Business"/>
    <x v="0"/>
    <x v="5"/>
    <x v="0"/>
    <x v="17"/>
    <n v="3"/>
    <n v="13.38"/>
    <n v="0"/>
    <n v="40.14"/>
    <n v="6.24"/>
    <n v="21.42"/>
    <x v="0"/>
    <x v="7"/>
    <n v="3"/>
    <s v="Apr"/>
    <s v="04"/>
    <s v="profit"/>
    <s v="small"/>
    <n v="53.36322869955157"/>
  </r>
  <r>
    <x v="318"/>
    <x v="111"/>
    <s v="CUST-0112"/>
    <s v="Consumer"/>
    <x v="3"/>
    <x v="8"/>
    <x v="1"/>
    <x v="19"/>
    <n v="6"/>
    <n v="49.06"/>
    <n v="0.15"/>
    <n v="250.20600000000002"/>
    <n v="30.53"/>
    <n v="67.02600000000001"/>
    <x v="4"/>
    <x v="6"/>
    <n v="4"/>
    <s v="Apr"/>
    <s v="04"/>
    <s v="profit"/>
    <s v="small"/>
    <n v="26.788326419030721"/>
  </r>
  <r>
    <x v="319"/>
    <x v="111"/>
    <s v="CUST-0354"/>
    <s v="Corporate"/>
    <x v="3"/>
    <x v="7"/>
    <x v="2"/>
    <x v="5"/>
    <n v="8"/>
    <n v="187.87"/>
    <n v="0.05"/>
    <n v="1427.8119999999999"/>
    <n v="157.93"/>
    <n v="164.37199999999984"/>
    <x v="2"/>
    <x v="3"/>
    <n v="4"/>
    <s v="Apr"/>
    <s v="04"/>
    <s v="profit"/>
    <s v="medium"/>
    <n v="11.51215986418379"/>
  </r>
  <r>
    <x v="320"/>
    <x v="111"/>
    <s v="CUST-0079"/>
    <s v="Small Business"/>
    <x v="2"/>
    <x v="2"/>
    <x v="2"/>
    <x v="13"/>
    <n v="1"/>
    <n v="699.94"/>
    <n v="0"/>
    <n v="699.94"/>
    <n v="557.92999999999995"/>
    <n v="142.0100000000001"/>
    <x v="2"/>
    <x v="2"/>
    <n v="3"/>
    <s v="Apr"/>
    <s v="04"/>
    <s v="profit"/>
    <s v="medium"/>
    <n v="20.28888190416323"/>
  </r>
  <r>
    <x v="321"/>
    <x v="112"/>
    <s v="CUST-0184"/>
    <s v="Small Business"/>
    <x v="1"/>
    <x v="9"/>
    <x v="2"/>
    <x v="2"/>
    <n v="1"/>
    <n v="371.77"/>
    <n v="0.1"/>
    <n v="334.59300000000002"/>
    <n v="292.39999999999998"/>
    <n v="42.19300000000004"/>
    <x v="4"/>
    <x v="1"/>
    <n v="5"/>
    <s v="May"/>
    <s v="05"/>
    <s v="profit"/>
    <s v="small"/>
    <n v="12.610245880816407"/>
  </r>
  <r>
    <x v="322"/>
    <x v="112"/>
    <s v="CUST-0166"/>
    <s v="Small Business"/>
    <x v="1"/>
    <x v="4"/>
    <x v="0"/>
    <x v="3"/>
    <n v="3"/>
    <n v="107.08"/>
    <n v="0.05"/>
    <n v="305.178"/>
    <n v="55.07"/>
    <n v="139.96799999999999"/>
    <x v="1"/>
    <x v="1"/>
    <n v="5"/>
    <s v="May"/>
    <s v="05"/>
    <s v="profit"/>
    <s v="small"/>
    <n v="45.864380787605917"/>
  </r>
  <r>
    <x v="323"/>
    <x v="112"/>
    <s v="CUST-0398"/>
    <s v="Small Business"/>
    <x v="2"/>
    <x v="11"/>
    <x v="0"/>
    <x v="0"/>
    <n v="2"/>
    <n v="29.48"/>
    <n v="0.05"/>
    <n v="56.012"/>
    <n v="18.02"/>
    <n v="19.972000000000001"/>
    <x v="2"/>
    <x v="6"/>
    <n v="5"/>
    <s v="May"/>
    <s v="05"/>
    <s v="profit"/>
    <s v="small"/>
    <n v="35.656645004641859"/>
  </r>
  <r>
    <x v="324"/>
    <x v="113"/>
    <s v="CUST-0098"/>
    <s v="Small Business"/>
    <x v="0"/>
    <x v="5"/>
    <x v="3"/>
    <x v="9"/>
    <n v="8"/>
    <n v="654.41"/>
    <n v="0.15"/>
    <n v="4449.9879999999994"/>
    <n v="459.55"/>
    <n v="773.58799999999928"/>
    <x v="1"/>
    <x v="3"/>
    <n v="4"/>
    <s v="May"/>
    <s v="05"/>
    <s v="profit"/>
    <s v="large"/>
    <n v="17.384046878328647"/>
  </r>
  <r>
    <x v="325"/>
    <x v="113"/>
    <s v="CUST-0017"/>
    <s v="Consumer"/>
    <x v="0"/>
    <x v="0"/>
    <x v="4"/>
    <x v="18"/>
    <n v="5"/>
    <n v="80.989999999999995"/>
    <n v="0"/>
    <n v="404.95"/>
    <n v="56.32"/>
    <n v="123.34999999999997"/>
    <x v="3"/>
    <x v="0"/>
    <n v="3"/>
    <s v="May"/>
    <s v="05"/>
    <s v="profit"/>
    <s v="small"/>
    <n v="30.460550685269776"/>
  </r>
  <r>
    <x v="326"/>
    <x v="113"/>
    <s v="CUST-0037"/>
    <s v="Consumer"/>
    <x v="2"/>
    <x v="3"/>
    <x v="2"/>
    <x v="12"/>
    <n v="2"/>
    <n v="511.86"/>
    <n v="0.1"/>
    <n v="921.34800000000007"/>
    <n v="420.3"/>
    <n v="80.748000000000047"/>
    <x v="4"/>
    <x v="0"/>
    <n v="5"/>
    <s v="May"/>
    <s v="05"/>
    <s v="profit"/>
    <s v="medium"/>
    <n v="8.7641151877466541"/>
  </r>
  <r>
    <x v="327"/>
    <x v="114"/>
    <s v="CUST-0316"/>
    <s v="Corporate"/>
    <x v="1"/>
    <x v="1"/>
    <x v="1"/>
    <x v="1"/>
    <n v="4"/>
    <n v="334.34"/>
    <n v="0"/>
    <n v="1337.36"/>
    <n v="246.7"/>
    <n v="350.55999999999995"/>
    <x v="2"/>
    <x v="5"/>
    <n v="5"/>
    <s v="May"/>
    <s v="05"/>
    <s v="profit"/>
    <s v="medium"/>
    <n v="26.212837231560687"/>
  </r>
  <r>
    <x v="328"/>
    <x v="114"/>
    <s v="CUST-0098"/>
    <s v="Consumer"/>
    <x v="0"/>
    <x v="0"/>
    <x v="1"/>
    <x v="19"/>
    <n v="4"/>
    <n v="114.74"/>
    <n v="0.05"/>
    <n v="436.01199999999994"/>
    <n v="64.010000000000005"/>
    <n v="179.97199999999992"/>
    <x v="2"/>
    <x v="4"/>
    <n v="4"/>
    <s v="May"/>
    <s v="05"/>
    <s v="profit"/>
    <s v="small"/>
    <n v="41.276845591405731"/>
  </r>
  <r>
    <x v="329"/>
    <x v="114"/>
    <s v="CUST-0054"/>
    <s v="Consumer"/>
    <x v="2"/>
    <x v="2"/>
    <x v="3"/>
    <x v="20"/>
    <n v="2"/>
    <n v="141.91999999999999"/>
    <n v="0.1"/>
    <n v="255.45599999999999"/>
    <n v="84.69"/>
    <n v="86.075999999999993"/>
    <x v="4"/>
    <x v="6"/>
    <n v="4"/>
    <s v="May"/>
    <s v="05"/>
    <s v="profit"/>
    <s v="small"/>
    <n v="33.695039458850054"/>
  </r>
  <r>
    <x v="330"/>
    <x v="114"/>
    <s v="CUST-0372"/>
    <s v="Corporate"/>
    <x v="2"/>
    <x v="11"/>
    <x v="1"/>
    <x v="1"/>
    <n v="2"/>
    <n v="378.06"/>
    <n v="0.1"/>
    <n v="680.50800000000004"/>
    <n v="215.31"/>
    <n v="249.88800000000003"/>
    <x v="2"/>
    <x v="4"/>
    <n v="4"/>
    <s v="May"/>
    <s v="05"/>
    <s v="profit"/>
    <s v="medium"/>
    <n v="36.720802694457674"/>
  </r>
  <r>
    <x v="331"/>
    <x v="114"/>
    <s v="CUST-0018"/>
    <s v="Corporate"/>
    <x v="1"/>
    <x v="1"/>
    <x v="2"/>
    <x v="2"/>
    <n v="8"/>
    <n v="422.67"/>
    <n v="0"/>
    <n v="3381.36"/>
    <n v="364.29"/>
    <n v="467.03999999999996"/>
    <x v="2"/>
    <x v="5"/>
    <n v="4"/>
    <s v="May"/>
    <s v="05"/>
    <s v="profit"/>
    <s v="large"/>
    <n v="13.812193910142662"/>
  </r>
  <r>
    <x v="332"/>
    <x v="115"/>
    <s v="CUST-0354"/>
    <s v="Corporate"/>
    <x v="3"/>
    <x v="8"/>
    <x v="3"/>
    <x v="9"/>
    <n v="1"/>
    <n v="154.27000000000001"/>
    <n v="0.15"/>
    <n v="131.12950000000001"/>
    <n v="85.33"/>
    <n v="45.799500000000009"/>
    <x v="2"/>
    <x v="3"/>
    <n v="2"/>
    <s v="May"/>
    <s v="05"/>
    <s v="profit"/>
    <s v="small"/>
    <n v="34.926923384898139"/>
  </r>
  <r>
    <x v="333"/>
    <x v="115"/>
    <s v="CUST-0293"/>
    <s v="Corporate"/>
    <x v="3"/>
    <x v="7"/>
    <x v="0"/>
    <x v="0"/>
    <n v="1"/>
    <n v="34"/>
    <n v="0"/>
    <n v="34"/>
    <n v="18.98"/>
    <n v="15.02"/>
    <x v="2"/>
    <x v="4"/>
    <n v="5"/>
    <s v="May"/>
    <s v="05"/>
    <s v="profit"/>
    <s v="small"/>
    <n v="44.176470588235297"/>
  </r>
  <r>
    <x v="334"/>
    <x v="115"/>
    <s v="CUST-0296"/>
    <s v="Corporate"/>
    <x v="0"/>
    <x v="5"/>
    <x v="1"/>
    <x v="1"/>
    <n v="3"/>
    <n v="127.06"/>
    <n v="0"/>
    <n v="381.18"/>
    <n v="74.31"/>
    <n v="158.25"/>
    <x v="3"/>
    <x v="5"/>
    <n v="5"/>
    <s v="May"/>
    <s v="05"/>
    <s v="profit"/>
    <s v="small"/>
    <n v="41.515819297969465"/>
  </r>
  <r>
    <x v="335"/>
    <x v="116"/>
    <s v="CUST-0006"/>
    <s v="Small Business"/>
    <x v="3"/>
    <x v="10"/>
    <x v="4"/>
    <x v="7"/>
    <n v="3"/>
    <n v="674.87"/>
    <n v="0.1"/>
    <n v="1822.1490000000001"/>
    <n v="422.76"/>
    <n v="553.86900000000014"/>
    <x v="1"/>
    <x v="5"/>
    <n v="3"/>
    <s v="May"/>
    <s v="05"/>
    <s v="profit"/>
    <s v="medium"/>
    <n v="30.396471419186909"/>
  </r>
  <r>
    <x v="336"/>
    <x v="116"/>
    <s v="CUST-0202"/>
    <s v="Corporate"/>
    <x v="3"/>
    <x v="7"/>
    <x v="2"/>
    <x v="2"/>
    <n v="1"/>
    <n v="289.02"/>
    <n v="0.1"/>
    <n v="260.11799999999999"/>
    <n v="245.95"/>
    <n v="14.168000000000006"/>
    <x v="2"/>
    <x v="2"/>
    <n v="3"/>
    <s v="May"/>
    <s v="05"/>
    <s v="profit"/>
    <s v="small"/>
    <n v="5.4467587787081273"/>
  </r>
  <r>
    <x v="337"/>
    <x v="116"/>
    <s v="CUST-0135"/>
    <s v="Consumer"/>
    <x v="1"/>
    <x v="9"/>
    <x v="4"/>
    <x v="7"/>
    <n v="4"/>
    <n v="433.21"/>
    <n v="0.05"/>
    <n v="1646.1979999999999"/>
    <n v="317.44"/>
    <n v="376.43799999999987"/>
    <x v="1"/>
    <x v="6"/>
    <n v="5"/>
    <s v="May"/>
    <s v="05"/>
    <s v="profit"/>
    <s v="medium"/>
    <n v="22.867115620356721"/>
  </r>
  <r>
    <x v="338"/>
    <x v="116"/>
    <s v="CUST-0377"/>
    <s v="Small Business"/>
    <x v="1"/>
    <x v="9"/>
    <x v="2"/>
    <x v="13"/>
    <n v="3"/>
    <n v="684.74"/>
    <n v="0.05"/>
    <n v="1951.5090000000002"/>
    <n v="595.91999999999996"/>
    <n v="163.74900000000048"/>
    <x v="4"/>
    <x v="4"/>
    <n v="2"/>
    <s v="May"/>
    <s v="05"/>
    <s v="profit"/>
    <s v="medium"/>
    <n v="8.3908913563811627"/>
  </r>
  <r>
    <x v="339"/>
    <x v="116"/>
    <s v="CUST-0098"/>
    <s v="Corporate"/>
    <x v="0"/>
    <x v="5"/>
    <x v="1"/>
    <x v="6"/>
    <n v="2"/>
    <n v="183.79"/>
    <n v="0"/>
    <n v="367.58"/>
    <n v="116.67"/>
    <n v="134.23999999999998"/>
    <x v="0"/>
    <x v="5"/>
    <n v="5"/>
    <s v="May"/>
    <s v="05"/>
    <s v="profit"/>
    <s v="small"/>
    <n v="36.519941237281678"/>
  </r>
  <r>
    <x v="340"/>
    <x v="117"/>
    <s v="CUST-0120"/>
    <s v="Consumer"/>
    <x v="1"/>
    <x v="9"/>
    <x v="2"/>
    <x v="5"/>
    <n v="1"/>
    <n v="196.38"/>
    <n v="0"/>
    <n v="196.38"/>
    <n v="147.57"/>
    <n v="48.81"/>
    <x v="0"/>
    <x v="3"/>
    <n v="5"/>
    <s v="May"/>
    <s v="05"/>
    <s v="profit"/>
    <s v="small"/>
    <n v="24.854873205010694"/>
  </r>
  <r>
    <x v="341"/>
    <x v="117"/>
    <s v="CUST-0057"/>
    <s v="Corporate"/>
    <x v="3"/>
    <x v="8"/>
    <x v="3"/>
    <x v="4"/>
    <n v="1"/>
    <n v="40.1"/>
    <n v="0.1"/>
    <n v="36.090000000000003"/>
    <n v="28.13"/>
    <n v="7.9600000000000044"/>
    <x v="1"/>
    <x v="0"/>
    <n v="1"/>
    <s v="May"/>
    <s v="05"/>
    <s v="profit"/>
    <s v="small"/>
    <n v="22.05597118315324"/>
  </r>
  <r>
    <x v="342"/>
    <x v="117"/>
    <s v="CUST-0073"/>
    <s v="Small Business"/>
    <x v="2"/>
    <x v="2"/>
    <x v="2"/>
    <x v="2"/>
    <n v="2"/>
    <n v="158.38999999999999"/>
    <n v="0.1"/>
    <n v="285.10199999999998"/>
    <n v="129.57"/>
    <n v="25.961999999999989"/>
    <x v="3"/>
    <x v="6"/>
    <n v="4"/>
    <s v="May"/>
    <s v="05"/>
    <s v="profit"/>
    <s v="small"/>
    <n v="9.1062146179262129"/>
  </r>
  <r>
    <x v="343"/>
    <x v="117"/>
    <s v="CUST-0336"/>
    <s v="Consumer"/>
    <x v="3"/>
    <x v="10"/>
    <x v="1"/>
    <x v="19"/>
    <n v="3"/>
    <n v="49.27"/>
    <n v="0"/>
    <n v="147.81"/>
    <n v="36.36"/>
    <n v="38.730000000000004"/>
    <x v="3"/>
    <x v="6"/>
    <n v="4"/>
    <s v="May"/>
    <s v="05"/>
    <s v="profit"/>
    <s v="small"/>
    <n v="26.202557337121984"/>
  </r>
  <r>
    <x v="344"/>
    <x v="117"/>
    <s v="CUST-0364"/>
    <s v="Consumer"/>
    <x v="1"/>
    <x v="4"/>
    <x v="1"/>
    <x v="6"/>
    <n v="10"/>
    <n v="221.5"/>
    <n v="0.05"/>
    <n v="2104.25"/>
    <n v="165.28"/>
    <n v="451.45000000000005"/>
    <x v="0"/>
    <x v="0"/>
    <n v="5"/>
    <s v="May"/>
    <s v="05"/>
    <s v="profit"/>
    <s v="large"/>
    <n v="21.454199833669957"/>
  </r>
  <r>
    <x v="345"/>
    <x v="118"/>
    <s v="CUST-0171"/>
    <s v="Corporate"/>
    <x v="0"/>
    <x v="0"/>
    <x v="0"/>
    <x v="0"/>
    <n v="1"/>
    <n v="37.93"/>
    <n v="0.05"/>
    <n v="36.033499999999997"/>
    <n v="15.49"/>
    <n v="20.543499999999995"/>
    <x v="1"/>
    <x v="3"/>
    <n v="1"/>
    <s v="May"/>
    <s v="05"/>
    <s v="profit"/>
    <s v="small"/>
    <n v="57.012224735315741"/>
  </r>
  <r>
    <x v="346"/>
    <x v="118"/>
    <s v="CUST-0016"/>
    <s v="Small Business"/>
    <x v="2"/>
    <x v="3"/>
    <x v="1"/>
    <x v="6"/>
    <n v="3"/>
    <n v="171.3"/>
    <n v="0.15"/>
    <n v="436.81500000000005"/>
    <n v="120.38"/>
    <n v="75.675000000000068"/>
    <x v="0"/>
    <x v="4"/>
    <n v="3"/>
    <s v="May"/>
    <s v="05"/>
    <s v="profit"/>
    <s v="small"/>
    <n v="17.324267710586874"/>
  </r>
  <r>
    <x v="347"/>
    <x v="118"/>
    <s v="CUST-0160"/>
    <s v="Small Business"/>
    <x v="3"/>
    <x v="8"/>
    <x v="3"/>
    <x v="16"/>
    <n v="1"/>
    <n v="35.97"/>
    <n v="0"/>
    <n v="35.97"/>
    <n v="24.23"/>
    <n v="11.739999999999998"/>
    <x v="0"/>
    <x v="0"/>
    <n v="4"/>
    <s v="May"/>
    <s v="05"/>
    <s v="profit"/>
    <s v="small"/>
    <n v="32.638309702529881"/>
  </r>
  <r>
    <x v="348"/>
    <x v="118"/>
    <s v="CUST-0269"/>
    <s v="Consumer"/>
    <x v="3"/>
    <x v="7"/>
    <x v="2"/>
    <x v="13"/>
    <n v="2"/>
    <n v="764.82"/>
    <n v="0.1"/>
    <n v="1376.6760000000002"/>
    <n v="609.86"/>
    <n v="156.95600000000013"/>
    <x v="1"/>
    <x v="3"/>
    <n v="4"/>
    <s v="May"/>
    <s v="05"/>
    <s v="profit"/>
    <s v="medium"/>
    <n v="11.40108493211185"/>
  </r>
  <r>
    <x v="349"/>
    <x v="118"/>
    <s v="CUST-0373"/>
    <s v="Consumer"/>
    <x v="0"/>
    <x v="0"/>
    <x v="0"/>
    <x v="0"/>
    <n v="2"/>
    <n v="45.64"/>
    <n v="0.15"/>
    <n v="77.587999999999994"/>
    <n v="23.31"/>
    <n v="30.967999999999996"/>
    <x v="0"/>
    <x v="6"/>
    <n v="5"/>
    <s v="May"/>
    <s v="05"/>
    <s v="profit"/>
    <s v="small"/>
    <n v="39.913388668350777"/>
  </r>
  <r>
    <x v="350"/>
    <x v="119"/>
    <s v="CUST-0316"/>
    <s v="Corporate"/>
    <x v="3"/>
    <x v="7"/>
    <x v="4"/>
    <x v="18"/>
    <n v="1"/>
    <n v="88.87"/>
    <n v="0.2"/>
    <n v="71.096000000000004"/>
    <n v="67.760000000000005"/>
    <n v="3.3359999999999985"/>
    <x v="2"/>
    <x v="4"/>
    <n v="4"/>
    <s v="May"/>
    <s v="05"/>
    <s v="profit"/>
    <s v="small"/>
    <n v="4.6922471025092811"/>
  </r>
  <r>
    <x v="351"/>
    <x v="119"/>
    <s v="CUST-0365"/>
    <s v="Small Business"/>
    <x v="1"/>
    <x v="4"/>
    <x v="2"/>
    <x v="10"/>
    <n v="2"/>
    <n v="919.45"/>
    <n v="0.1"/>
    <n v="1655.0100000000002"/>
    <n v="732.6"/>
    <n v="189.81000000000017"/>
    <x v="0"/>
    <x v="3"/>
    <n v="5"/>
    <s v="May"/>
    <s v="05"/>
    <s v="profit"/>
    <s v="medium"/>
    <n v="11.46881287726359"/>
  </r>
  <r>
    <x v="352"/>
    <x v="119"/>
    <s v="CUST-0114"/>
    <s v="Small Business"/>
    <x v="1"/>
    <x v="4"/>
    <x v="0"/>
    <x v="0"/>
    <n v="6"/>
    <n v="35.65"/>
    <n v="0.2"/>
    <n v="171.12"/>
    <n v="21.16"/>
    <n v="44.16"/>
    <x v="4"/>
    <x v="4"/>
    <n v="2"/>
    <s v="May"/>
    <s v="05"/>
    <s v="profit"/>
    <s v="small"/>
    <n v="25.806451612903224"/>
  </r>
  <r>
    <x v="353"/>
    <x v="119"/>
    <s v="CUST-0398"/>
    <s v="Consumer"/>
    <x v="2"/>
    <x v="11"/>
    <x v="3"/>
    <x v="20"/>
    <n v="6"/>
    <n v="160.07"/>
    <n v="0.05"/>
    <n v="912.39899999999989"/>
    <n v="104.37"/>
    <n v="286.17899999999986"/>
    <x v="2"/>
    <x v="6"/>
    <n v="5"/>
    <s v="May"/>
    <s v="05"/>
    <s v="profit"/>
    <s v="medium"/>
    <n v="31.365553885964353"/>
  </r>
  <r>
    <x v="354"/>
    <x v="119"/>
    <s v="CUST-0377"/>
    <s v="Consumer"/>
    <x v="0"/>
    <x v="0"/>
    <x v="4"/>
    <x v="14"/>
    <n v="2"/>
    <n v="272.64"/>
    <n v="0"/>
    <n v="545.28"/>
    <n v="193.49"/>
    <n v="158.29999999999995"/>
    <x v="2"/>
    <x v="6"/>
    <n v="4"/>
    <s v="May"/>
    <s v="05"/>
    <s v="profit"/>
    <s v="medium"/>
    <n v="29.030956572769945"/>
  </r>
  <r>
    <x v="355"/>
    <x v="119"/>
    <s v="CUST-0314"/>
    <s v="Consumer"/>
    <x v="2"/>
    <x v="11"/>
    <x v="0"/>
    <x v="17"/>
    <n v="2"/>
    <n v="13.13"/>
    <n v="0.05"/>
    <n v="24.946999999999999"/>
    <n v="7.09"/>
    <n v="10.766999999999999"/>
    <x v="2"/>
    <x v="3"/>
    <n v="4"/>
    <s v="May"/>
    <s v="05"/>
    <s v="profit"/>
    <s v="small"/>
    <n v="43.159498136048427"/>
  </r>
  <r>
    <x v="356"/>
    <x v="120"/>
    <s v="CUST-0092"/>
    <s v="Corporate"/>
    <x v="3"/>
    <x v="8"/>
    <x v="0"/>
    <x v="17"/>
    <n v="2"/>
    <n v="27.51"/>
    <n v="0.05"/>
    <n v="52.268999999999998"/>
    <n v="17.100000000000001"/>
    <n v="18.068999999999996"/>
    <x v="2"/>
    <x v="4"/>
    <n v="5"/>
    <s v="May"/>
    <s v="05"/>
    <s v="profit"/>
    <s v="small"/>
    <n v="34.569247546346773"/>
  </r>
  <r>
    <x v="357"/>
    <x v="120"/>
    <s v="CUST-0362"/>
    <s v="Corporate"/>
    <x v="3"/>
    <x v="10"/>
    <x v="2"/>
    <x v="5"/>
    <n v="4"/>
    <n v="216.76"/>
    <n v="0"/>
    <n v="867.04"/>
    <n v="165.59"/>
    <n v="204.67999999999995"/>
    <x v="0"/>
    <x v="2"/>
    <n v="4"/>
    <s v="May"/>
    <s v="05"/>
    <s v="profit"/>
    <s v="medium"/>
    <n v="23.60675401365565"/>
  </r>
  <r>
    <x v="358"/>
    <x v="120"/>
    <s v="CUST-0077"/>
    <s v="Consumer"/>
    <x v="3"/>
    <x v="8"/>
    <x v="4"/>
    <x v="11"/>
    <n v="3"/>
    <n v="301.77"/>
    <n v="0.1"/>
    <n v="814.779"/>
    <n v="218.44"/>
    <n v="159.45900000000006"/>
    <x v="4"/>
    <x v="3"/>
    <n v="5"/>
    <s v="May"/>
    <s v="05"/>
    <s v="profit"/>
    <s v="medium"/>
    <n v="19.570828408685063"/>
  </r>
  <r>
    <x v="359"/>
    <x v="121"/>
    <s v="CUST-0068"/>
    <s v="Consumer"/>
    <x v="1"/>
    <x v="1"/>
    <x v="2"/>
    <x v="5"/>
    <n v="3"/>
    <n v="113.57"/>
    <n v="0"/>
    <n v="340.71"/>
    <n v="89.12"/>
    <n v="73.349999999999966"/>
    <x v="3"/>
    <x v="1"/>
    <n v="1"/>
    <s v="May"/>
    <s v="05"/>
    <s v="profit"/>
    <s v="small"/>
    <n v="21.528572686448875"/>
  </r>
  <r>
    <x v="360"/>
    <x v="121"/>
    <s v="CUST-0233"/>
    <s v="Corporate"/>
    <x v="1"/>
    <x v="4"/>
    <x v="0"/>
    <x v="3"/>
    <n v="1"/>
    <n v="105.22"/>
    <n v="0.1"/>
    <n v="94.698000000000008"/>
    <n v="68.239999999999995"/>
    <n v="26.458000000000013"/>
    <x v="1"/>
    <x v="2"/>
    <n v="4"/>
    <s v="May"/>
    <s v="05"/>
    <s v="profit"/>
    <s v="small"/>
    <n v="27.939344019937074"/>
  </r>
  <r>
    <x v="361"/>
    <x v="122"/>
    <s v="CUST-0179"/>
    <s v="Consumer"/>
    <x v="3"/>
    <x v="7"/>
    <x v="2"/>
    <x v="2"/>
    <n v="1"/>
    <n v="182.9"/>
    <n v="0"/>
    <n v="182.9"/>
    <n v="147.36000000000001"/>
    <n v="35.539999999999992"/>
    <x v="4"/>
    <x v="5"/>
    <n v="4"/>
    <s v="May"/>
    <s v="05"/>
    <s v="profit"/>
    <s v="small"/>
    <n v="19.431383269546195"/>
  </r>
  <r>
    <x v="362"/>
    <x v="123"/>
    <s v="CUST-0146"/>
    <s v="Small Business"/>
    <x v="0"/>
    <x v="6"/>
    <x v="1"/>
    <x v="6"/>
    <n v="10"/>
    <n v="109.53"/>
    <n v="0"/>
    <n v="1095.3"/>
    <n v="80.23"/>
    <n v="292.99999999999989"/>
    <x v="2"/>
    <x v="3"/>
    <n v="5"/>
    <s v="May"/>
    <s v="05"/>
    <s v="profit"/>
    <s v="medium"/>
    <n v="26.750661919108907"/>
  </r>
  <r>
    <x v="363"/>
    <x v="124"/>
    <s v="CUST-0035"/>
    <s v="Corporate"/>
    <x v="2"/>
    <x v="11"/>
    <x v="1"/>
    <x v="6"/>
    <n v="2"/>
    <n v="235.61"/>
    <n v="0"/>
    <n v="471.22"/>
    <n v="172.32"/>
    <n v="126.58000000000004"/>
    <x v="2"/>
    <x v="2"/>
    <n v="3"/>
    <s v="May"/>
    <s v="05"/>
    <s v="profit"/>
    <s v="small"/>
    <n v="26.862187513263454"/>
  </r>
  <r>
    <x v="364"/>
    <x v="124"/>
    <s v="CUST-0293"/>
    <s v="Small Business"/>
    <x v="3"/>
    <x v="10"/>
    <x v="2"/>
    <x v="5"/>
    <n v="1"/>
    <n v="118.89"/>
    <n v="0"/>
    <n v="118.89"/>
    <n v="99.62"/>
    <n v="19.269999999999996"/>
    <x v="2"/>
    <x v="2"/>
    <n v="4"/>
    <s v="May"/>
    <s v="05"/>
    <s v="profit"/>
    <s v="small"/>
    <n v="16.208259735890316"/>
  </r>
  <r>
    <x v="365"/>
    <x v="125"/>
    <s v="CUST-0067"/>
    <s v="Small Business"/>
    <x v="2"/>
    <x v="2"/>
    <x v="1"/>
    <x v="6"/>
    <n v="3"/>
    <n v="129.68"/>
    <n v="0.1"/>
    <n v="350.13600000000002"/>
    <n v="75.27"/>
    <n v="124.32600000000002"/>
    <x v="2"/>
    <x v="0"/>
    <n v="4"/>
    <s v="May"/>
    <s v="05"/>
    <s v="profit"/>
    <s v="small"/>
    <n v="35.507916923709651"/>
  </r>
  <r>
    <x v="366"/>
    <x v="125"/>
    <s v="CUST-0061"/>
    <s v="Consumer"/>
    <x v="3"/>
    <x v="10"/>
    <x v="0"/>
    <x v="3"/>
    <n v="1"/>
    <n v="136.96"/>
    <n v="0"/>
    <n v="136.96"/>
    <n v="58.77"/>
    <n v="78.19"/>
    <x v="1"/>
    <x v="2"/>
    <n v="5"/>
    <s v="May"/>
    <s v="05"/>
    <s v="profit"/>
    <s v="small"/>
    <n v="57.089661214953267"/>
  </r>
  <r>
    <x v="367"/>
    <x v="125"/>
    <s v="CUST-0006"/>
    <s v="Small Business"/>
    <x v="2"/>
    <x v="11"/>
    <x v="2"/>
    <x v="2"/>
    <n v="3"/>
    <n v="449.63"/>
    <n v="0.1"/>
    <n v="1214.001"/>
    <n v="376.74"/>
    <n v="83.780999999999949"/>
    <x v="4"/>
    <x v="1"/>
    <n v="3"/>
    <s v="May"/>
    <s v="05"/>
    <s v="profit"/>
    <s v="medium"/>
    <n v="6.9012299001401116"/>
  </r>
  <r>
    <x v="368"/>
    <x v="126"/>
    <s v="CUST-0371"/>
    <s v="Small Business"/>
    <x v="0"/>
    <x v="0"/>
    <x v="2"/>
    <x v="5"/>
    <n v="3"/>
    <n v="166.81"/>
    <n v="0"/>
    <n v="500.43"/>
    <n v="142.02000000000001"/>
    <n v="74.369999999999948"/>
    <x v="2"/>
    <x v="5"/>
    <n v="5"/>
    <s v="May"/>
    <s v="05"/>
    <s v="profit"/>
    <s v="medium"/>
    <n v="14.861219351357821"/>
  </r>
  <r>
    <x v="369"/>
    <x v="126"/>
    <s v="CUST-0322"/>
    <s v="Corporate"/>
    <x v="1"/>
    <x v="4"/>
    <x v="2"/>
    <x v="5"/>
    <n v="3"/>
    <n v="279.02"/>
    <n v="0.05"/>
    <n v="795.20699999999988"/>
    <n v="231.07"/>
    <n v="101.99699999999984"/>
    <x v="2"/>
    <x v="7"/>
    <n v="4"/>
    <s v="May"/>
    <s v="05"/>
    <s v="profit"/>
    <s v="medium"/>
    <n v="12.826471597961268"/>
  </r>
  <r>
    <x v="370"/>
    <x v="126"/>
    <s v="CUST-0351"/>
    <s v="Corporate"/>
    <x v="2"/>
    <x v="2"/>
    <x v="1"/>
    <x v="19"/>
    <n v="2"/>
    <n v="104.34"/>
    <n v="0"/>
    <n v="208.68"/>
    <n v="72.010000000000005"/>
    <n v="64.66"/>
    <x v="0"/>
    <x v="2"/>
    <n v="5"/>
    <s v="May"/>
    <s v="05"/>
    <s v="profit"/>
    <s v="small"/>
    <n v="30.985240559708643"/>
  </r>
  <r>
    <x v="371"/>
    <x v="127"/>
    <s v="CUST-0060"/>
    <s v="Corporate"/>
    <x v="3"/>
    <x v="10"/>
    <x v="4"/>
    <x v="14"/>
    <n v="3"/>
    <n v="205.49"/>
    <n v="0"/>
    <n v="616.47"/>
    <n v="148.97"/>
    <n v="169.56000000000006"/>
    <x v="0"/>
    <x v="5"/>
    <n v="3"/>
    <s v="May"/>
    <s v="05"/>
    <s v="profit"/>
    <s v="medium"/>
    <n v="27.504988077278707"/>
  </r>
  <r>
    <x v="372"/>
    <x v="127"/>
    <s v="CUST-0192"/>
    <s v="Consumer"/>
    <x v="2"/>
    <x v="3"/>
    <x v="2"/>
    <x v="13"/>
    <n v="2"/>
    <n v="597.27"/>
    <n v="0"/>
    <n v="1194.54"/>
    <n v="463.23"/>
    <n v="268.07999999999993"/>
    <x v="4"/>
    <x v="2"/>
    <n v="4"/>
    <s v="May"/>
    <s v="05"/>
    <s v="profit"/>
    <s v="medium"/>
    <n v="22.442111607815555"/>
  </r>
  <r>
    <x v="373"/>
    <x v="127"/>
    <s v="CUST-0398"/>
    <s v="Corporate"/>
    <x v="2"/>
    <x v="11"/>
    <x v="2"/>
    <x v="12"/>
    <n v="4"/>
    <n v="647.73"/>
    <n v="0.05"/>
    <n v="2461.3739999999998"/>
    <n v="567.99"/>
    <n v="189.41399999999976"/>
    <x v="4"/>
    <x v="2"/>
    <n v="5"/>
    <s v="May"/>
    <s v="05"/>
    <s v="profit"/>
    <s v="large"/>
    <n v="7.6954579027811203"/>
  </r>
  <r>
    <x v="374"/>
    <x v="127"/>
    <s v="CUST-0160"/>
    <s v="Consumer"/>
    <x v="1"/>
    <x v="9"/>
    <x v="3"/>
    <x v="16"/>
    <n v="5"/>
    <n v="50.65"/>
    <n v="0"/>
    <n v="253.25"/>
    <n v="37.619999999999997"/>
    <n v="65.150000000000006"/>
    <x v="2"/>
    <x v="2"/>
    <n v="4"/>
    <s v="May"/>
    <s v="05"/>
    <s v="profit"/>
    <s v="small"/>
    <n v="25.72556762092794"/>
  </r>
  <r>
    <x v="375"/>
    <x v="127"/>
    <s v="CUST-0108"/>
    <s v="Corporate"/>
    <x v="2"/>
    <x v="3"/>
    <x v="3"/>
    <x v="4"/>
    <n v="3"/>
    <n v="31.78"/>
    <n v="0"/>
    <n v="95.34"/>
    <n v="19.649999999999999"/>
    <n v="36.390000000000008"/>
    <x v="4"/>
    <x v="4"/>
    <n v="3"/>
    <s v="May"/>
    <s v="05"/>
    <s v="profit"/>
    <s v="small"/>
    <n v="38.168659534298307"/>
  </r>
  <r>
    <x v="376"/>
    <x v="127"/>
    <s v="CUST-0287"/>
    <s v="Small Business"/>
    <x v="3"/>
    <x v="8"/>
    <x v="0"/>
    <x v="3"/>
    <n v="1"/>
    <n v="120.53"/>
    <n v="0.2"/>
    <n v="96.424000000000007"/>
    <n v="70.13"/>
    <n v="26.294000000000011"/>
    <x v="3"/>
    <x v="4"/>
    <n v="4"/>
    <s v="May"/>
    <s v="05"/>
    <s v="profit"/>
    <s v="small"/>
    <n v="27.269144611300099"/>
  </r>
  <r>
    <x v="377"/>
    <x v="127"/>
    <s v="CUST-0314"/>
    <s v="Corporate"/>
    <x v="2"/>
    <x v="2"/>
    <x v="0"/>
    <x v="8"/>
    <n v="1"/>
    <n v="69.77"/>
    <n v="0"/>
    <n v="69.77"/>
    <n v="33.06"/>
    <n v="36.709999999999994"/>
    <x v="2"/>
    <x v="0"/>
    <n v="2"/>
    <s v="May"/>
    <s v="05"/>
    <s v="profit"/>
    <s v="small"/>
    <n v="52.615737422961153"/>
  </r>
  <r>
    <x v="378"/>
    <x v="127"/>
    <s v="CUST-0304"/>
    <s v="Small Business"/>
    <x v="1"/>
    <x v="1"/>
    <x v="2"/>
    <x v="10"/>
    <n v="1"/>
    <n v="729.45"/>
    <n v="0.05"/>
    <n v="692.97749999999996"/>
    <n v="650.62"/>
    <n v="42.357499999999959"/>
    <x v="1"/>
    <x v="7"/>
    <n v="3"/>
    <s v="May"/>
    <s v="05"/>
    <s v="profit"/>
    <s v="medium"/>
    <n v="6.1123918164731128"/>
  </r>
  <r>
    <x v="379"/>
    <x v="127"/>
    <s v="CUST-0358"/>
    <s v="Corporate"/>
    <x v="1"/>
    <x v="9"/>
    <x v="1"/>
    <x v="19"/>
    <n v="1"/>
    <n v="117.5"/>
    <n v="0.15"/>
    <n v="99.875"/>
    <n v="70.37"/>
    <n v="29.504999999999995"/>
    <x v="3"/>
    <x v="0"/>
    <n v="3"/>
    <s v="May"/>
    <s v="05"/>
    <s v="profit"/>
    <s v="small"/>
    <n v="29.541927409261572"/>
  </r>
  <r>
    <x v="380"/>
    <x v="127"/>
    <s v="CUST-0094"/>
    <s v="Small Business"/>
    <x v="3"/>
    <x v="10"/>
    <x v="0"/>
    <x v="3"/>
    <n v="1"/>
    <n v="96.47"/>
    <n v="0"/>
    <n v="96.47"/>
    <n v="39.86"/>
    <n v="56.61"/>
    <x v="0"/>
    <x v="7"/>
    <n v="4"/>
    <s v="May"/>
    <s v="05"/>
    <s v="profit"/>
    <s v="small"/>
    <n v="58.681455374727896"/>
  </r>
  <r>
    <x v="381"/>
    <x v="127"/>
    <s v="CUST-0066"/>
    <s v="Small Business"/>
    <x v="3"/>
    <x v="8"/>
    <x v="2"/>
    <x v="12"/>
    <n v="4"/>
    <n v="212.09"/>
    <n v="0.1"/>
    <n v="763.524"/>
    <n v="175.65"/>
    <n v="60.923999999999978"/>
    <x v="3"/>
    <x v="6"/>
    <n v="5"/>
    <s v="May"/>
    <s v="05"/>
    <s v="profit"/>
    <s v="medium"/>
    <n v="7.9793169566379021"/>
  </r>
  <r>
    <x v="382"/>
    <x v="128"/>
    <s v="CUST-0123"/>
    <s v="Small Business"/>
    <x v="2"/>
    <x v="2"/>
    <x v="1"/>
    <x v="6"/>
    <n v="2"/>
    <n v="156.79"/>
    <n v="0.05"/>
    <n v="297.90099999999995"/>
    <n v="115.37"/>
    <n v="67.160999999999945"/>
    <x v="4"/>
    <x v="3"/>
    <n v="5"/>
    <s v="May"/>
    <s v="05"/>
    <s v="profit"/>
    <s v="small"/>
    <n v="22.544738016992209"/>
  </r>
  <r>
    <x v="383"/>
    <x v="128"/>
    <s v="CUST-0356"/>
    <s v="Consumer"/>
    <x v="1"/>
    <x v="1"/>
    <x v="4"/>
    <x v="18"/>
    <n v="3"/>
    <n v="99.57"/>
    <n v="0"/>
    <n v="298.70999999999998"/>
    <n v="65.83"/>
    <n v="101.21999999999997"/>
    <x v="4"/>
    <x v="2"/>
    <n v="5"/>
    <s v="May"/>
    <s v="05"/>
    <s v="profit"/>
    <s v="small"/>
    <n v="33.885708546751019"/>
  </r>
  <r>
    <x v="384"/>
    <x v="128"/>
    <s v="CUST-0158"/>
    <s v="Corporate"/>
    <x v="2"/>
    <x v="2"/>
    <x v="1"/>
    <x v="1"/>
    <n v="1"/>
    <n v="107.73"/>
    <n v="0.05"/>
    <n v="102.34350000000001"/>
    <n v="67.95"/>
    <n v="34.393500000000003"/>
    <x v="3"/>
    <x v="2"/>
    <n v="4"/>
    <s v="May"/>
    <s v="05"/>
    <s v="profit"/>
    <s v="small"/>
    <n v="33.605944686277098"/>
  </r>
  <r>
    <x v="385"/>
    <x v="129"/>
    <s v="CUST-0298"/>
    <s v="Small Business"/>
    <x v="0"/>
    <x v="0"/>
    <x v="0"/>
    <x v="3"/>
    <n v="1"/>
    <n v="79.290000000000006"/>
    <n v="0"/>
    <n v="79.290000000000006"/>
    <n v="38.75"/>
    <n v="40.540000000000006"/>
    <x v="3"/>
    <x v="3"/>
    <n v="4"/>
    <s v="May"/>
    <s v="05"/>
    <s v="profit"/>
    <s v="small"/>
    <n v="51.128767814352386"/>
  </r>
  <r>
    <x v="386"/>
    <x v="129"/>
    <s v="CUST-0292"/>
    <s v="Small Business"/>
    <x v="3"/>
    <x v="7"/>
    <x v="0"/>
    <x v="8"/>
    <n v="3"/>
    <n v="113.25"/>
    <n v="0"/>
    <n v="339.75"/>
    <n v="57.25"/>
    <n v="168"/>
    <x v="0"/>
    <x v="6"/>
    <n v="5"/>
    <s v="May"/>
    <s v="05"/>
    <s v="profit"/>
    <s v="small"/>
    <n v="49.448123620309055"/>
  </r>
  <r>
    <x v="387"/>
    <x v="130"/>
    <s v="CUST-0282"/>
    <s v="Consumer"/>
    <x v="1"/>
    <x v="4"/>
    <x v="3"/>
    <x v="4"/>
    <n v="5"/>
    <n v="34.14"/>
    <n v="0"/>
    <n v="170.7"/>
    <n v="21.43"/>
    <n v="63.549999999999983"/>
    <x v="3"/>
    <x v="7"/>
    <n v="2"/>
    <s v="May"/>
    <s v="05"/>
    <s v="profit"/>
    <s v="small"/>
    <n v="37.229056824838892"/>
  </r>
  <r>
    <x v="388"/>
    <x v="130"/>
    <s v="CUST-0196"/>
    <s v="Corporate"/>
    <x v="1"/>
    <x v="9"/>
    <x v="4"/>
    <x v="14"/>
    <n v="2"/>
    <n v="167.04"/>
    <n v="0"/>
    <n v="334.08"/>
    <n v="110.17"/>
    <n v="113.73999999999998"/>
    <x v="2"/>
    <x v="4"/>
    <n v="4"/>
    <s v="May"/>
    <s v="05"/>
    <s v="profit"/>
    <s v="small"/>
    <n v="34.04573754789272"/>
  </r>
  <r>
    <x v="389"/>
    <x v="130"/>
    <s v="CUST-0344"/>
    <s v="Consumer"/>
    <x v="2"/>
    <x v="11"/>
    <x v="0"/>
    <x v="0"/>
    <n v="1"/>
    <n v="61.1"/>
    <n v="0.2"/>
    <n v="48.88"/>
    <n v="26.83"/>
    <n v="22.050000000000004"/>
    <x v="4"/>
    <x v="5"/>
    <n v="2"/>
    <s v="May"/>
    <s v="05"/>
    <s v="profit"/>
    <s v="small"/>
    <n v="45.110474631751238"/>
  </r>
  <r>
    <x v="390"/>
    <x v="131"/>
    <s v="CUST-0234"/>
    <s v="Small Business"/>
    <x v="3"/>
    <x v="7"/>
    <x v="2"/>
    <x v="12"/>
    <n v="1"/>
    <n v="511.86"/>
    <n v="0.15"/>
    <n v="435.08100000000002"/>
    <n v="385.82"/>
    <n v="49.261000000000024"/>
    <x v="2"/>
    <x v="6"/>
    <n v="4"/>
    <s v="May"/>
    <s v="05"/>
    <s v="profit"/>
    <s v="small"/>
    <n v="11.322259533282313"/>
  </r>
  <r>
    <x v="391"/>
    <x v="131"/>
    <s v="CUST-0296"/>
    <s v="Corporate"/>
    <x v="2"/>
    <x v="3"/>
    <x v="0"/>
    <x v="3"/>
    <n v="1"/>
    <n v="106.25"/>
    <n v="0.1"/>
    <n v="95.625"/>
    <n v="57.11"/>
    <n v="38.515000000000001"/>
    <x v="4"/>
    <x v="1"/>
    <n v="4"/>
    <s v="May"/>
    <s v="05"/>
    <s v="profit"/>
    <s v="small"/>
    <n v="40.277124183006535"/>
  </r>
  <r>
    <x v="392"/>
    <x v="131"/>
    <s v="CUST-0354"/>
    <s v="Consumer"/>
    <x v="1"/>
    <x v="9"/>
    <x v="0"/>
    <x v="8"/>
    <n v="2"/>
    <n v="50.86"/>
    <n v="0.05"/>
    <n v="96.634"/>
    <n v="32.58"/>
    <n v="31.474000000000004"/>
    <x v="4"/>
    <x v="1"/>
    <n v="4"/>
    <s v="May"/>
    <s v="05"/>
    <s v="profit"/>
    <s v="small"/>
    <n v="32.570316865699446"/>
  </r>
  <r>
    <x v="393"/>
    <x v="132"/>
    <s v="CUST-0160"/>
    <s v="Small Business"/>
    <x v="0"/>
    <x v="5"/>
    <x v="2"/>
    <x v="2"/>
    <n v="3"/>
    <n v="112.73"/>
    <n v="0.1"/>
    <n v="304.37099999999998"/>
    <n v="93.47"/>
    <n v="23.961000000000013"/>
    <x v="3"/>
    <x v="7"/>
    <n v="4"/>
    <s v="May"/>
    <s v="05"/>
    <s v="profit"/>
    <s v="small"/>
    <n v="7.8723005805415154"/>
  </r>
  <r>
    <x v="394"/>
    <x v="132"/>
    <s v="CUST-0151"/>
    <s v="Corporate"/>
    <x v="2"/>
    <x v="11"/>
    <x v="2"/>
    <x v="12"/>
    <n v="2"/>
    <n v="431.96"/>
    <n v="0.2"/>
    <n v="691.13599999999997"/>
    <n v="358.36"/>
    <n v="-25.58400000000006"/>
    <x v="4"/>
    <x v="5"/>
    <n v="4"/>
    <s v="May"/>
    <s v="05"/>
    <s v="profit"/>
    <s v="medium"/>
    <n v="-3.7017316418186961"/>
  </r>
  <r>
    <x v="395"/>
    <x v="132"/>
    <s v="CUST-0027"/>
    <s v="Small Business"/>
    <x v="0"/>
    <x v="5"/>
    <x v="0"/>
    <x v="8"/>
    <n v="2"/>
    <n v="172.22"/>
    <n v="0"/>
    <n v="344.44"/>
    <n v="87.67"/>
    <n v="169.1"/>
    <x v="0"/>
    <x v="5"/>
    <n v="3"/>
    <s v="May"/>
    <s v="05"/>
    <s v="profit"/>
    <s v="small"/>
    <n v="49.094181860411098"/>
  </r>
  <r>
    <x v="396"/>
    <x v="133"/>
    <s v="CUST-0132"/>
    <s v="Consumer"/>
    <x v="2"/>
    <x v="3"/>
    <x v="2"/>
    <x v="2"/>
    <n v="3"/>
    <n v="108.44"/>
    <n v="0"/>
    <n v="325.32"/>
    <n v="84.85"/>
    <n v="70.77000000000001"/>
    <x v="3"/>
    <x v="3"/>
    <n v="5"/>
    <s v="May"/>
    <s v="05"/>
    <s v="profit"/>
    <s v="small"/>
    <n v="21.753965326447808"/>
  </r>
  <r>
    <x v="397"/>
    <x v="133"/>
    <s v="CUST-0017"/>
    <s v="Corporate"/>
    <x v="3"/>
    <x v="8"/>
    <x v="1"/>
    <x v="1"/>
    <n v="1"/>
    <n v="192.02"/>
    <n v="0.05"/>
    <n v="182.41900000000001"/>
    <n v="137.28"/>
    <n v="45.13900000000001"/>
    <x v="3"/>
    <x v="3"/>
    <n v="4"/>
    <s v="May"/>
    <s v="05"/>
    <s v="profit"/>
    <s v="small"/>
    <n v="24.744681200971392"/>
  </r>
  <r>
    <x v="398"/>
    <x v="133"/>
    <s v="CUST-0086"/>
    <s v="Consumer"/>
    <x v="1"/>
    <x v="4"/>
    <x v="1"/>
    <x v="1"/>
    <n v="3"/>
    <n v="318.41000000000003"/>
    <n v="0.1"/>
    <n v="859.70699999999999"/>
    <n v="212.51"/>
    <n v="222.17700000000002"/>
    <x v="2"/>
    <x v="7"/>
    <n v="2"/>
    <s v="May"/>
    <s v="05"/>
    <s v="profit"/>
    <s v="medium"/>
    <n v="25.843339649438708"/>
  </r>
  <r>
    <x v="399"/>
    <x v="133"/>
    <s v="CUST-0273"/>
    <s v="Consumer"/>
    <x v="1"/>
    <x v="1"/>
    <x v="4"/>
    <x v="14"/>
    <n v="2"/>
    <n v="99.43"/>
    <n v="0.2"/>
    <n v="159.08800000000002"/>
    <n v="70.319999999999993"/>
    <n v="18.448000000000036"/>
    <x v="1"/>
    <x v="6"/>
    <n v="4"/>
    <s v="May"/>
    <s v="05"/>
    <s v="profit"/>
    <s v="small"/>
    <n v="11.596097757216153"/>
  </r>
  <r>
    <x v="400"/>
    <x v="134"/>
    <s v="CUST-0350"/>
    <s v="Consumer"/>
    <x v="1"/>
    <x v="1"/>
    <x v="2"/>
    <x v="12"/>
    <n v="3"/>
    <n v="156.52000000000001"/>
    <n v="0.2"/>
    <n v="375.64800000000008"/>
    <n v="119.1"/>
    <n v="18.348000000000127"/>
    <x v="3"/>
    <x v="7"/>
    <n v="5"/>
    <s v="May"/>
    <s v="05"/>
    <s v="profit"/>
    <s v="small"/>
    <n v="4.8843598262203241"/>
  </r>
  <r>
    <x v="401"/>
    <x v="134"/>
    <s v="CUST-0396"/>
    <s v="Small Business"/>
    <x v="0"/>
    <x v="6"/>
    <x v="0"/>
    <x v="8"/>
    <n v="3"/>
    <n v="103.62"/>
    <n v="0"/>
    <n v="310.86"/>
    <n v="60.43"/>
    <n v="129.57000000000002"/>
    <x v="4"/>
    <x v="4"/>
    <n v="4"/>
    <s v="May"/>
    <s v="05"/>
    <s v="profit"/>
    <s v="small"/>
    <n v="41.681142636556658"/>
  </r>
  <r>
    <x v="402"/>
    <x v="134"/>
    <s v="CUST-0054"/>
    <s v="Small Business"/>
    <x v="0"/>
    <x v="0"/>
    <x v="1"/>
    <x v="15"/>
    <n v="1"/>
    <n v="83.26"/>
    <n v="0"/>
    <n v="83.26"/>
    <n v="62.27"/>
    <n v="20.990000000000002"/>
    <x v="1"/>
    <x v="7"/>
    <n v="3"/>
    <s v="May"/>
    <s v="05"/>
    <s v="profit"/>
    <s v="small"/>
    <n v="25.210184962767237"/>
  </r>
  <r>
    <x v="403"/>
    <x v="134"/>
    <s v="CUST-0307"/>
    <s v="Small Business"/>
    <x v="0"/>
    <x v="5"/>
    <x v="4"/>
    <x v="11"/>
    <n v="3"/>
    <n v="136.34"/>
    <n v="0.15"/>
    <n v="347.66699999999997"/>
    <n v="92.18"/>
    <n v="71.126999999999953"/>
    <x v="3"/>
    <x v="2"/>
    <n v="2"/>
    <s v="May"/>
    <s v="05"/>
    <s v="profit"/>
    <s v="small"/>
    <n v="20.4583696468172"/>
  </r>
  <r>
    <x v="404"/>
    <x v="134"/>
    <s v="CUST-0240"/>
    <s v="Small Business"/>
    <x v="3"/>
    <x v="7"/>
    <x v="0"/>
    <x v="3"/>
    <n v="3"/>
    <n v="118.77"/>
    <n v="0"/>
    <n v="356.31"/>
    <n v="50.48"/>
    <n v="204.87"/>
    <x v="3"/>
    <x v="0"/>
    <n v="5"/>
    <s v="May"/>
    <s v="05"/>
    <s v="profit"/>
    <s v="small"/>
    <n v="57.497684600488341"/>
  </r>
  <r>
    <x v="405"/>
    <x v="134"/>
    <s v="CUST-0398"/>
    <s v="Consumer"/>
    <x v="2"/>
    <x v="11"/>
    <x v="4"/>
    <x v="7"/>
    <n v="1"/>
    <n v="923"/>
    <n v="0"/>
    <n v="923"/>
    <n v="615.16"/>
    <n v="307.84000000000003"/>
    <x v="1"/>
    <x v="6"/>
    <n v="4"/>
    <s v="May"/>
    <s v="05"/>
    <s v="profit"/>
    <s v="medium"/>
    <n v="33.352112676056336"/>
  </r>
  <r>
    <x v="406"/>
    <x v="134"/>
    <s v="CUST-0056"/>
    <s v="Consumer"/>
    <x v="3"/>
    <x v="10"/>
    <x v="2"/>
    <x v="5"/>
    <n v="2"/>
    <n v="78.040000000000006"/>
    <n v="0.1"/>
    <n v="140.47200000000001"/>
    <n v="69.42"/>
    <n v="1.632000000000005"/>
    <x v="2"/>
    <x v="6"/>
    <n v="3"/>
    <s v="May"/>
    <s v="05"/>
    <s v="profit"/>
    <s v="small"/>
    <n v="1.161797368870668"/>
  </r>
  <r>
    <x v="407"/>
    <x v="134"/>
    <s v="CUST-0229"/>
    <s v="Consumer"/>
    <x v="0"/>
    <x v="0"/>
    <x v="0"/>
    <x v="3"/>
    <n v="3"/>
    <n v="125.85"/>
    <n v="0"/>
    <n v="377.54999999999995"/>
    <n v="78.55"/>
    <n v="141.89999999999998"/>
    <x v="1"/>
    <x v="3"/>
    <n v="4"/>
    <s v="May"/>
    <s v="05"/>
    <s v="profit"/>
    <s v="small"/>
    <n v="37.584425903853791"/>
  </r>
  <r>
    <x v="408"/>
    <x v="134"/>
    <s v="CUST-0395"/>
    <s v="Corporate"/>
    <x v="2"/>
    <x v="11"/>
    <x v="2"/>
    <x v="10"/>
    <n v="3"/>
    <n v="1148.45"/>
    <n v="0.05"/>
    <n v="3273.0825"/>
    <n v="987.71"/>
    <n v="309.95249999999987"/>
    <x v="1"/>
    <x v="6"/>
    <n v="4"/>
    <s v="May"/>
    <s v="05"/>
    <s v="profit"/>
    <s v="large"/>
    <n v="9.4697429716482819"/>
  </r>
  <r>
    <x v="409"/>
    <x v="135"/>
    <s v="CUST-0184"/>
    <s v="Corporate"/>
    <x v="1"/>
    <x v="4"/>
    <x v="1"/>
    <x v="19"/>
    <n v="3"/>
    <n v="76.31"/>
    <n v="0.2"/>
    <n v="183.14400000000001"/>
    <n v="57.18"/>
    <n v="11.604000000000013"/>
    <x v="0"/>
    <x v="6"/>
    <n v="2"/>
    <s v="May"/>
    <s v="05"/>
    <s v="profit"/>
    <s v="small"/>
    <n v="6.3359979032892229"/>
  </r>
  <r>
    <x v="410"/>
    <x v="136"/>
    <s v="CUST-0149"/>
    <s v="Small Business"/>
    <x v="2"/>
    <x v="3"/>
    <x v="3"/>
    <x v="4"/>
    <n v="5"/>
    <n v="25.88"/>
    <n v="0.1"/>
    <n v="116.46000000000001"/>
    <n v="14.99"/>
    <n v="41.510000000000005"/>
    <x v="4"/>
    <x v="3"/>
    <n v="4"/>
    <s v="May"/>
    <s v="05"/>
    <s v="profit"/>
    <s v="small"/>
    <n v="35.643139275287652"/>
  </r>
  <r>
    <x v="411"/>
    <x v="136"/>
    <s v="CUST-0324"/>
    <s v="Corporate"/>
    <x v="0"/>
    <x v="5"/>
    <x v="3"/>
    <x v="16"/>
    <n v="3"/>
    <n v="62.36"/>
    <n v="0.05"/>
    <n v="177.72599999999997"/>
    <n v="41.9"/>
    <n v="52.025999999999982"/>
    <x v="4"/>
    <x v="3"/>
    <n v="1"/>
    <s v="May"/>
    <s v="05"/>
    <s v="profit"/>
    <s v="small"/>
    <n v="29.273150805171998"/>
  </r>
  <r>
    <x v="412"/>
    <x v="136"/>
    <s v="CUST-0231"/>
    <s v="Consumer"/>
    <x v="2"/>
    <x v="11"/>
    <x v="2"/>
    <x v="2"/>
    <n v="2"/>
    <n v="168.24"/>
    <n v="0.15"/>
    <n v="286.00799999999998"/>
    <n v="141.61000000000001"/>
    <n v="2.7879999999999541"/>
    <x v="3"/>
    <x v="7"/>
    <n v="2"/>
    <s v="May"/>
    <s v="05"/>
    <s v="profit"/>
    <s v="small"/>
    <n v="0.97479790775081621"/>
  </r>
  <r>
    <x v="413"/>
    <x v="137"/>
    <s v="CUST-0380"/>
    <s v="Small Business"/>
    <x v="1"/>
    <x v="9"/>
    <x v="1"/>
    <x v="19"/>
    <n v="5"/>
    <n v="63.52"/>
    <n v="0.05"/>
    <n v="301.72000000000003"/>
    <n v="44.95"/>
    <n v="76.970000000000027"/>
    <x v="4"/>
    <x v="2"/>
    <n v="1"/>
    <s v="May"/>
    <s v="05"/>
    <s v="profit"/>
    <s v="small"/>
    <n v="25.510406999867435"/>
  </r>
  <r>
    <x v="414"/>
    <x v="137"/>
    <s v="CUST-0089"/>
    <s v="Small Business"/>
    <x v="0"/>
    <x v="0"/>
    <x v="2"/>
    <x v="10"/>
    <n v="4"/>
    <n v="1003.41"/>
    <n v="0"/>
    <n v="4013.64"/>
    <n v="764.9"/>
    <n v="954.04"/>
    <x v="3"/>
    <x v="1"/>
    <n v="5"/>
    <s v="May"/>
    <s v="05"/>
    <s v="profit"/>
    <s v="large"/>
    <n v="23.769944489291518"/>
  </r>
  <r>
    <x v="415"/>
    <x v="137"/>
    <s v="CUST-0113"/>
    <s v="Consumer"/>
    <x v="0"/>
    <x v="0"/>
    <x v="2"/>
    <x v="2"/>
    <n v="2"/>
    <n v="143.16"/>
    <n v="0.1"/>
    <n v="257.68799999999999"/>
    <n v="116.15"/>
    <n v="25.387999999999977"/>
    <x v="4"/>
    <x v="6"/>
    <n v="4"/>
    <s v="May"/>
    <s v="05"/>
    <s v="profit"/>
    <s v="small"/>
    <n v="9.8522243953928701"/>
  </r>
  <r>
    <x v="416"/>
    <x v="138"/>
    <s v="CUST-0392"/>
    <s v="Consumer"/>
    <x v="3"/>
    <x v="8"/>
    <x v="1"/>
    <x v="1"/>
    <n v="5"/>
    <n v="177"/>
    <n v="0.1"/>
    <n v="796.5"/>
    <n v="98.2"/>
    <n v="305.5"/>
    <x v="2"/>
    <x v="3"/>
    <n v="4"/>
    <s v="May"/>
    <s v="05"/>
    <s v="profit"/>
    <s v="medium"/>
    <n v="38.35530445699937"/>
  </r>
  <r>
    <x v="417"/>
    <x v="138"/>
    <s v="CUST-0298"/>
    <s v="Consumer"/>
    <x v="2"/>
    <x v="2"/>
    <x v="2"/>
    <x v="13"/>
    <n v="1"/>
    <n v="906.04"/>
    <n v="0"/>
    <n v="906.04"/>
    <n v="792.6"/>
    <n v="113.43999999999994"/>
    <x v="4"/>
    <x v="2"/>
    <n v="5"/>
    <s v="May"/>
    <s v="05"/>
    <s v="profit"/>
    <s v="medium"/>
    <n v="12.520418524568447"/>
  </r>
  <r>
    <x v="418"/>
    <x v="138"/>
    <s v="CUST-0046"/>
    <s v="Small Business"/>
    <x v="1"/>
    <x v="4"/>
    <x v="0"/>
    <x v="3"/>
    <n v="1"/>
    <n v="133.32"/>
    <n v="0"/>
    <n v="133.32"/>
    <n v="86.14"/>
    <n v="47.179999999999993"/>
    <x v="2"/>
    <x v="1"/>
    <n v="4"/>
    <s v="May"/>
    <s v="05"/>
    <s v="profit"/>
    <s v="small"/>
    <n v="35.388538853885386"/>
  </r>
  <r>
    <x v="419"/>
    <x v="139"/>
    <s v="CUST-0090"/>
    <s v="Small Business"/>
    <x v="2"/>
    <x v="2"/>
    <x v="1"/>
    <x v="1"/>
    <n v="2"/>
    <n v="298.48"/>
    <n v="0"/>
    <n v="596.96"/>
    <n v="211.55"/>
    <n v="173.86"/>
    <x v="3"/>
    <x v="3"/>
    <n v="5"/>
    <s v="May"/>
    <s v="05"/>
    <s v="profit"/>
    <s v="medium"/>
    <n v="29.12422942910748"/>
  </r>
  <r>
    <x v="420"/>
    <x v="140"/>
    <s v="CUST-0061"/>
    <s v="Small Business"/>
    <x v="2"/>
    <x v="11"/>
    <x v="0"/>
    <x v="17"/>
    <n v="1"/>
    <n v="24.93"/>
    <n v="0"/>
    <n v="24.93"/>
    <n v="11.33"/>
    <n v="13.6"/>
    <x v="3"/>
    <x v="7"/>
    <n v="5"/>
    <s v="May"/>
    <s v="05"/>
    <s v="profit"/>
    <s v="small"/>
    <n v="54.552747693541917"/>
  </r>
  <r>
    <x v="421"/>
    <x v="141"/>
    <s v="CUST-0077"/>
    <s v="Small Business"/>
    <x v="3"/>
    <x v="8"/>
    <x v="3"/>
    <x v="16"/>
    <n v="1"/>
    <n v="83.03"/>
    <n v="0"/>
    <n v="83.03"/>
    <n v="51.87"/>
    <n v="31.160000000000004"/>
    <x v="1"/>
    <x v="0"/>
    <n v="3"/>
    <s v="May"/>
    <s v="05"/>
    <s v="profit"/>
    <s v="small"/>
    <n v="37.528604118993137"/>
  </r>
  <r>
    <x v="422"/>
    <x v="141"/>
    <s v="CUST-0389"/>
    <s v="Corporate"/>
    <x v="3"/>
    <x v="8"/>
    <x v="1"/>
    <x v="19"/>
    <n v="1"/>
    <n v="30.13"/>
    <n v="0.1"/>
    <n v="27.117000000000001"/>
    <n v="20.399999999999999"/>
    <n v="6.7170000000000023"/>
    <x v="3"/>
    <x v="2"/>
    <n v="5"/>
    <s v="May"/>
    <s v="05"/>
    <s v="profit"/>
    <s v="small"/>
    <n v="24.770439207876986"/>
  </r>
  <r>
    <x v="423"/>
    <x v="142"/>
    <s v="CUST-0304"/>
    <s v="Small Business"/>
    <x v="0"/>
    <x v="0"/>
    <x v="3"/>
    <x v="16"/>
    <n v="6"/>
    <n v="44.76"/>
    <n v="0.1"/>
    <n v="241.70400000000001"/>
    <n v="33.31"/>
    <n v="41.843999999999994"/>
    <x v="0"/>
    <x v="6"/>
    <n v="3"/>
    <s v="May"/>
    <s v="05"/>
    <s v="profit"/>
    <s v="small"/>
    <n v="17.31208420216463"/>
  </r>
  <r>
    <x v="424"/>
    <x v="142"/>
    <s v="CUST-0103"/>
    <s v="Corporate"/>
    <x v="3"/>
    <x v="7"/>
    <x v="1"/>
    <x v="6"/>
    <n v="1"/>
    <n v="88.31"/>
    <n v="0.05"/>
    <n v="83.894499999999994"/>
    <n v="64.290000000000006"/>
    <n v="19.604499999999987"/>
    <x v="4"/>
    <x v="2"/>
    <n v="4"/>
    <s v="May"/>
    <s v="05"/>
    <s v="profit"/>
    <s v="small"/>
    <n v="23.368039621190885"/>
  </r>
  <r>
    <x v="425"/>
    <x v="142"/>
    <s v="CUST-0369"/>
    <s v="Consumer"/>
    <x v="1"/>
    <x v="4"/>
    <x v="0"/>
    <x v="3"/>
    <n v="2"/>
    <n v="57.39"/>
    <n v="0"/>
    <n v="114.78"/>
    <n v="23.99"/>
    <n v="66.800000000000011"/>
    <x v="0"/>
    <x v="1"/>
    <n v="3"/>
    <s v="May"/>
    <s v="05"/>
    <s v="profit"/>
    <s v="small"/>
    <n v="58.198292385433014"/>
  </r>
  <r>
    <x v="426"/>
    <x v="143"/>
    <s v="CUST-0113"/>
    <s v="Corporate"/>
    <x v="1"/>
    <x v="1"/>
    <x v="2"/>
    <x v="2"/>
    <n v="2"/>
    <n v="102.07"/>
    <n v="0.1"/>
    <n v="183.726"/>
    <n v="89.77"/>
    <n v="4.186000000000007"/>
    <x v="2"/>
    <x v="3"/>
    <n v="5"/>
    <s v="Jun"/>
    <s v="06"/>
    <s v="profit"/>
    <s v="small"/>
    <n v="2.2783928240967568"/>
  </r>
  <r>
    <x v="427"/>
    <x v="143"/>
    <s v="CUST-0111"/>
    <s v="Small Business"/>
    <x v="3"/>
    <x v="7"/>
    <x v="0"/>
    <x v="0"/>
    <n v="2"/>
    <n v="62.58"/>
    <n v="0.05"/>
    <n v="118.90199999999999"/>
    <n v="32.03"/>
    <n v="54.841999999999985"/>
    <x v="1"/>
    <x v="0"/>
    <n v="3"/>
    <s v="Jun"/>
    <s v="06"/>
    <s v="profit"/>
    <s v="small"/>
    <n v="46.123698508014996"/>
  </r>
  <r>
    <x v="428"/>
    <x v="143"/>
    <s v="CUST-0003"/>
    <s v="Corporate"/>
    <x v="3"/>
    <x v="10"/>
    <x v="1"/>
    <x v="15"/>
    <n v="8"/>
    <n v="72.13"/>
    <n v="0.15"/>
    <n v="490.48399999999998"/>
    <n v="47.83"/>
    <n v="107.84399999999999"/>
    <x v="3"/>
    <x v="5"/>
    <n v="5"/>
    <s v="Jun"/>
    <s v="06"/>
    <s v="profit"/>
    <s v="small"/>
    <n v="21.987261562048914"/>
  </r>
  <r>
    <x v="429"/>
    <x v="144"/>
    <s v="CUST-0386"/>
    <s v="Consumer"/>
    <x v="0"/>
    <x v="6"/>
    <x v="1"/>
    <x v="19"/>
    <n v="2"/>
    <n v="65.44"/>
    <n v="0"/>
    <n v="130.88"/>
    <n v="43.92"/>
    <n v="43.039999999999992"/>
    <x v="1"/>
    <x v="4"/>
    <n v="3"/>
    <s v="Jun"/>
    <s v="06"/>
    <s v="profit"/>
    <s v="small"/>
    <n v="32.885085574572123"/>
  </r>
  <r>
    <x v="430"/>
    <x v="144"/>
    <s v="CUST-0299"/>
    <s v="Consumer"/>
    <x v="3"/>
    <x v="10"/>
    <x v="4"/>
    <x v="14"/>
    <n v="2"/>
    <n v="85.89"/>
    <n v="0.05"/>
    <n v="163.191"/>
    <n v="57.22"/>
    <n v="48.751000000000005"/>
    <x v="1"/>
    <x v="0"/>
    <n v="5"/>
    <s v="Jun"/>
    <s v="06"/>
    <s v="profit"/>
    <s v="small"/>
    <n v="29.873583714788193"/>
  </r>
  <r>
    <x v="431"/>
    <x v="144"/>
    <s v="CUST-0037"/>
    <s v="Corporate"/>
    <x v="1"/>
    <x v="9"/>
    <x v="3"/>
    <x v="20"/>
    <n v="3"/>
    <n v="57.74"/>
    <n v="0.15"/>
    <n v="147.23699999999999"/>
    <n v="33.24"/>
    <n v="47.516999999999996"/>
    <x v="0"/>
    <x v="5"/>
    <n v="3"/>
    <s v="Jun"/>
    <s v="06"/>
    <s v="profit"/>
    <s v="small"/>
    <n v="32.272458689052343"/>
  </r>
  <r>
    <x v="432"/>
    <x v="145"/>
    <s v="CUST-0346"/>
    <s v="Corporate"/>
    <x v="2"/>
    <x v="2"/>
    <x v="1"/>
    <x v="15"/>
    <n v="8"/>
    <n v="163.91"/>
    <n v="0.05"/>
    <n v="1245.7159999999999"/>
    <n v="120.28"/>
    <n v="283.47599999999989"/>
    <x v="3"/>
    <x v="2"/>
    <n v="4"/>
    <s v="Jun"/>
    <s v="06"/>
    <s v="profit"/>
    <s v="medium"/>
    <n v="22.756069601739075"/>
  </r>
  <r>
    <x v="433"/>
    <x v="145"/>
    <s v="CUST-0172"/>
    <s v="Consumer"/>
    <x v="0"/>
    <x v="5"/>
    <x v="0"/>
    <x v="17"/>
    <n v="4"/>
    <n v="17.87"/>
    <n v="0"/>
    <n v="71.48"/>
    <n v="10.83"/>
    <n v="28.160000000000004"/>
    <x v="2"/>
    <x v="2"/>
    <n v="4"/>
    <s v="Jun"/>
    <s v="06"/>
    <s v="profit"/>
    <s v="small"/>
    <n v="39.395635142697259"/>
  </r>
  <r>
    <x v="434"/>
    <x v="145"/>
    <s v="CUST-0217"/>
    <s v="Corporate"/>
    <x v="2"/>
    <x v="11"/>
    <x v="1"/>
    <x v="15"/>
    <n v="6"/>
    <n v="158.04"/>
    <n v="0.05"/>
    <n v="900.82799999999997"/>
    <n v="94.48"/>
    <n v="333.94799999999998"/>
    <x v="3"/>
    <x v="2"/>
    <n v="4"/>
    <s v="Jun"/>
    <s v="06"/>
    <s v="profit"/>
    <s v="medium"/>
    <n v="37.071227803753878"/>
  </r>
  <r>
    <x v="435"/>
    <x v="146"/>
    <s v="CUST-0355"/>
    <s v="Consumer"/>
    <x v="2"/>
    <x v="11"/>
    <x v="0"/>
    <x v="17"/>
    <n v="3"/>
    <n v="20.69"/>
    <n v="0.1"/>
    <n v="55.863000000000007"/>
    <n v="10.7"/>
    <n v="23.763000000000012"/>
    <x v="4"/>
    <x v="0"/>
    <n v="2"/>
    <s v="Jun"/>
    <s v="06"/>
    <s v="profit"/>
    <s v="small"/>
    <n v="42.53799473712477"/>
  </r>
  <r>
    <x v="436"/>
    <x v="146"/>
    <s v="CUST-0255"/>
    <s v="Consumer"/>
    <x v="0"/>
    <x v="0"/>
    <x v="4"/>
    <x v="11"/>
    <n v="1"/>
    <n v="258.42"/>
    <n v="0.1"/>
    <n v="232.57800000000003"/>
    <n v="157.29"/>
    <n v="75.288000000000039"/>
    <x v="4"/>
    <x v="5"/>
    <n v="3"/>
    <s v="Jun"/>
    <s v="06"/>
    <s v="profit"/>
    <s v="small"/>
    <n v="32.371075510151449"/>
  </r>
  <r>
    <x v="437"/>
    <x v="146"/>
    <s v="CUST-0119"/>
    <s v="Small Business"/>
    <x v="0"/>
    <x v="6"/>
    <x v="3"/>
    <x v="16"/>
    <n v="1"/>
    <n v="84.24"/>
    <n v="0"/>
    <n v="84.24"/>
    <n v="56.1"/>
    <n v="28.139999999999993"/>
    <x v="0"/>
    <x v="6"/>
    <n v="4"/>
    <s v="Jun"/>
    <s v="06"/>
    <s v="profit"/>
    <s v="small"/>
    <n v="33.404558404558401"/>
  </r>
  <r>
    <x v="438"/>
    <x v="146"/>
    <s v="CUST-0157"/>
    <s v="Consumer"/>
    <x v="1"/>
    <x v="1"/>
    <x v="1"/>
    <x v="6"/>
    <n v="2"/>
    <n v="142.09"/>
    <n v="0"/>
    <n v="284.18"/>
    <n v="87.65"/>
    <n v="108.88"/>
    <x v="0"/>
    <x v="4"/>
    <n v="4"/>
    <s v="Jun"/>
    <s v="06"/>
    <s v="profit"/>
    <s v="small"/>
    <n v="38.3137448096277"/>
  </r>
  <r>
    <x v="439"/>
    <x v="147"/>
    <s v="CUST-0147"/>
    <s v="Consumer"/>
    <x v="3"/>
    <x v="10"/>
    <x v="3"/>
    <x v="4"/>
    <n v="6"/>
    <n v="17.64"/>
    <n v="0.1"/>
    <n v="95.256"/>
    <n v="12.23"/>
    <n v="21.876000000000005"/>
    <x v="4"/>
    <x v="3"/>
    <n v="3"/>
    <s v="Jun"/>
    <s v="06"/>
    <s v="profit"/>
    <s v="small"/>
    <n v="22.965482489292018"/>
  </r>
  <r>
    <x v="440"/>
    <x v="147"/>
    <s v="CUST-0341"/>
    <s v="Corporate"/>
    <x v="2"/>
    <x v="3"/>
    <x v="2"/>
    <x v="5"/>
    <n v="1"/>
    <n v="185.12"/>
    <n v="0.1"/>
    <n v="166.608"/>
    <n v="154.37"/>
    <n v="12.238"/>
    <x v="0"/>
    <x v="3"/>
    <n v="4"/>
    <s v="Jun"/>
    <s v="06"/>
    <s v="profit"/>
    <s v="small"/>
    <n v="7.3453855757226547"/>
  </r>
  <r>
    <x v="441"/>
    <x v="148"/>
    <s v="CUST-0235"/>
    <s v="Corporate"/>
    <x v="0"/>
    <x v="6"/>
    <x v="0"/>
    <x v="0"/>
    <n v="8"/>
    <n v="59.69"/>
    <n v="0.1"/>
    <n v="429.76799999999997"/>
    <n v="36.99"/>
    <n v="133.84799999999996"/>
    <x v="4"/>
    <x v="5"/>
    <n v="5"/>
    <s v="Jun"/>
    <s v="06"/>
    <s v="profit"/>
    <s v="small"/>
    <n v="31.144245267213932"/>
  </r>
  <r>
    <x v="442"/>
    <x v="148"/>
    <s v="CUST-0374"/>
    <s v="Corporate"/>
    <x v="2"/>
    <x v="2"/>
    <x v="0"/>
    <x v="8"/>
    <n v="3"/>
    <n v="158.27000000000001"/>
    <n v="0.1"/>
    <n v="427.32900000000006"/>
    <n v="91.18"/>
    <n v="153.78900000000004"/>
    <x v="0"/>
    <x v="2"/>
    <n v="5"/>
    <s v="Jun"/>
    <s v="06"/>
    <s v="profit"/>
    <s v="small"/>
    <n v="35.988430459903263"/>
  </r>
  <r>
    <x v="443"/>
    <x v="148"/>
    <s v="CUST-0183"/>
    <s v="Consumer"/>
    <x v="0"/>
    <x v="6"/>
    <x v="3"/>
    <x v="16"/>
    <n v="3"/>
    <n v="109.75"/>
    <n v="0"/>
    <n v="329.25"/>
    <n v="79.75"/>
    <n v="90"/>
    <x v="0"/>
    <x v="5"/>
    <n v="4"/>
    <s v="Jun"/>
    <s v="06"/>
    <s v="profit"/>
    <s v="small"/>
    <n v="27.33485193621868"/>
  </r>
  <r>
    <x v="444"/>
    <x v="148"/>
    <s v="CUST-0229"/>
    <s v="Small Business"/>
    <x v="2"/>
    <x v="3"/>
    <x v="2"/>
    <x v="2"/>
    <n v="1"/>
    <n v="162.19"/>
    <n v="0.05"/>
    <n v="154.0805"/>
    <n v="123.21"/>
    <n v="30.870500000000007"/>
    <x v="3"/>
    <x v="6"/>
    <n v="3"/>
    <s v="Jun"/>
    <s v="06"/>
    <s v="profit"/>
    <s v="small"/>
    <n v="20.035306219800695"/>
  </r>
  <r>
    <x v="445"/>
    <x v="149"/>
    <s v="CUST-0191"/>
    <s v="Consumer"/>
    <x v="3"/>
    <x v="10"/>
    <x v="4"/>
    <x v="14"/>
    <n v="5"/>
    <n v="416.13"/>
    <n v="0"/>
    <n v="2080.65"/>
    <n v="302.85000000000002"/>
    <n v="566.40000000000009"/>
    <x v="0"/>
    <x v="7"/>
    <n v="4"/>
    <s v="Jun"/>
    <s v="06"/>
    <s v="profit"/>
    <s v="large"/>
    <n v="27.222262273808667"/>
  </r>
  <r>
    <x v="446"/>
    <x v="149"/>
    <s v="CUST-0218"/>
    <s v="Small Business"/>
    <x v="1"/>
    <x v="1"/>
    <x v="3"/>
    <x v="4"/>
    <n v="1"/>
    <n v="20.2"/>
    <n v="0.15"/>
    <n v="17.169999999999998"/>
    <n v="11.56"/>
    <n v="5.6099999999999977"/>
    <x v="1"/>
    <x v="3"/>
    <n v="5"/>
    <s v="Jun"/>
    <s v="06"/>
    <s v="profit"/>
    <s v="small"/>
    <n v="32.673267326732663"/>
  </r>
  <r>
    <x v="447"/>
    <x v="150"/>
    <s v="CUST-0193"/>
    <s v="Consumer"/>
    <x v="2"/>
    <x v="3"/>
    <x v="0"/>
    <x v="0"/>
    <n v="8"/>
    <n v="38.51"/>
    <n v="0.05"/>
    <n v="292.67599999999999"/>
    <n v="20.46"/>
    <n v="128.99599999999998"/>
    <x v="3"/>
    <x v="6"/>
    <n v="4"/>
    <s v="Jun"/>
    <s v="06"/>
    <s v="profit"/>
    <s v="small"/>
    <n v="44.074676434008936"/>
  </r>
  <r>
    <x v="448"/>
    <x v="150"/>
    <s v="CUST-0284"/>
    <s v="Corporate"/>
    <x v="3"/>
    <x v="7"/>
    <x v="4"/>
    <x v="11"/>
    <n v="1"/>
    <n v="386.79"/>
    <n v="0"/>
    <n v="386.79"/>
    <n v="254.49"/>
    <n v="132.30000000000001"/>
    <x v="3"/>
    <x v="1"/>
    <n v="5"/>
    <s v="Jun"/>
    <s v="06"/>
    <s v="profit"/>
    <s v="small"/>
    <n v="34.204607151167302"/>
  </r>
  <r>
    <x v="449"/>
    <x v="151"/>
    <s v="CUST-0326"/>
    <s v="Corporate"/>
    <x v="3"/>
    <x v="8"/>
    <x v="4"/>
    <x v="7"/>
    <n v="2"/>
    <n v="502.07"/>
    <n v="0.1"/>
    <n v="903.726"/>
    <n v="322.20999999999998"/>
    <n v="259.30600000000004"/>
    <x v="3"/>
    <x v="1"/>
    <n v="4"/>
    <s v="Jun"/>
    <s v="06"/>
    <s v="profit"/>
    <s v="medium"/>
    <n v="28.692988804128689"/>
  </r>
  <r>
    <x v="450"/>
    <x v="151"/>
    <s v="CUST-0247"/>
    <s v="Small Business"/>
    <x v="1"/>
    <x v="4"/>
    <x v="0"/>
    <x v="0"/>
    <n v="3"/>
    <n v="26.85"/>
    <n v="0"/>
    <n v="80.550000000000011"/>
    <n v="12.32"/>
    <n v="43.590000000000011"/>
    <x v="1"/>
    <x v="1"/>
    <n v="4"/>
    <s v="Jun"/>
    <s v="06"/>
    <s v="profit"/>
    <s v="small"/>
    <n v="54.115456238361269"/>
  </r>
  <r>
    <x v="451"/>
    <x v="151"/>
    <s v="CUST-0164"/>
    <s v="Corporate"/>
    <x v="0"/>
    <x v="6"/>
    <x v="0"/>
    <x v="17"/>
    <n v="1"/>
    <n v="18.079999999999998"/>
    <n v="0"/>
    <n v="18.079999999999998"/>
    <n v="8.44"/>
    <n v="9.6399999999999988"/>
    <x v="4"/>
    <x v="7"/>
    <n v="3"/>
    <s v="Jun"/>
    <s v="06"/>
    <s v="profit"/>
    <s v="small"/>
    <n v="53.318584070796462"/>
  </r>
  <r>
    <x v="452"/>
    <x v="152"/>
    <s v="CUST-0040"/>
    <s v="Small Business"/>
    <x v="0"/>
    <x v="6"/>
    <x v="4"/>
    <x v="7"/>
    <n v="1"/>
    <n v="872.62"/>
    <n v="0.1"/>
    <n v="785.35800000000006"/>
    <n v="531.4"/>
    <n v="253.95800000000008"/>
    <x v="4"/>
    <x v="3"/>
    <n v="5"/>
    <s v="Jun"/>
    <s v="06"/>
    <s v="profit"/>
    <s v="medium"/>
    <n v="32.336590446649815"/>
  </r>
  <r>
    <x v="453"/>
    <x v="152"/>
    <s v="CUST-0050"/>
    <s v="Small Business"/>
    <x v="2"/>
    <x v="11"/>
    <x v="0"/>
    <x v="0"/>
    <n v="3"/>
    <n v="60.34"/>
    <n v="0.1"/>
    <n v="162.91800000000001"/>
    <n v="26.06"/>
    <n v="84.738000000000014"/>
    <x v="2"/>
    <x v="7"/>
    <n v="5"/>
    <s v="Jun"/>
    <s v="06"/>
    <s v="profit"/>
    <s v="small"/>
    <n v="52.012668950023944"/>
  </r>
  <r>
    <x v="454"/>
    <x v="152"/>
    <s v="CUST-0112"/>
    <s v="Consumer"/>
    <x v="1"/>
    <x v="1"/>
    <x v="2"/>
    <x v="2"/>
    <n v="6"/>
    <n v="184.12"/>
    <n v="0"/>
    <n v="1104.72"/>
    <n v="144.19999999999999"/>
    <n v="239.5200000000001"/>
    <x v="2"/>
    <x v="4"/>
    <n v="5"/>
    <s v="Jun"/>
    <s v="06"/>
    <s v="profit"/>
    <s v="medium"/>
    <n v="21.681512057353906"/>
  </r>
  <r>
    <x v="455"/>
    <x v="152"/>
    <s v="CUST-0160"/>
    <s v="Small Business"/>
    <x v="0"/>
    <x v="0"/>
    <x v="1"/>
    <x v="19"/>
    <n v="6"/>
    <n v="64.650000000000006"/>
    <n v="0.05"/>
    <n v="368.505"/>
    <n v="36.64"/>
    <n v="148.66499999999999"/>
    <x v="0"/>
    <x v="3"/>
    <n v="5"/>
    <s v="Jun"/>
    <s v="06"/>
    <s v="profit"/>
    <s v="small"/>
    <n v="40.342736190825093"/>
  </r>
  <r>
    <x v="456"/>
    <x v="153"/>
    <s v="CUST-0353"/>
    <s v="Consumer"/>
    <x v="0"/>
    <x v="0"/>
    <x v="3"/>
    <x v="9"/>
    <n v="1"/>
    <n v="261.93"/>
    <n v="0.1"/>
    <n v="235.73700000000002"/>
    <n v="180.49"/>
    <n v="55.247000000000014"/>
    <x v="0"/>
    <x v="3"/>
    <n v="3"/>
    <s v="Jun"/>
    <s v="06"/>
    <s v="profit"/>
    <s v="small"/>
    <n v="23.435862847155946"/>
  </r>
  <r>
    <x v="457"/>
    <x v="153"/>
    <s v="CUST-0022"/>
    <s v="Consumer"/>
    <x v="0"/>
    <x v="0"/>
    <x v="3"/>
    <x v="20"/>
    <n v="4"/>
    <n v="133.62"/>
    <n v="0.1"/>
    <n v="481.03200000000004"/>
    <n v="79.260000000000005"/>
    <n v="163.99200000000002"/>
    <x v="3"/>
    <x v="5"/>
    <n v="5"/>
    <s v="Jun"/>
    <s v="06"/>
    <s v="profit"/>
    <s v="small"/>
    <n v="34.091702838896374"/>
  </r>
  <r>
    <x v="458"/>
    <x v="153"/>
    <s v="CUST-0050"/>
    <s v="Consumer"/>
    <x v="0"/>
    <x v="0"/>
    <x v="0"/>
    <x v="17"/>
    <n v="2"/>
    <n v="20.67"/>
    <n v="0"/>
    <n v="41.34"/>
    <n v="8.74"/>
    <n v="23.860000000000003"/>
    <x v="2"/>
    <x v="4"/>
    <n v="4"/>
    <s v="Jun"/>
    <s v="06"/>
    <s v="profit"/>
    <s v="small"/>
    <n v="57.716497339138847"/>
  </r>
  <r>
    <x v="459"/>
    <x v="153"/>
    <s v="CUST-0257"/>
    <s v="Small Business"/>
    <x v="2"/>
    <x v="2"/>
    <x v="2"/>
    <x v="5"/>
    <n v="2"/>
    <n v="37.9"/>
    <n v="0"/>
    <n v="75.8"/>
    <n v="33.28"/>
    <n v="9.2399999999999949"/>
    <x v="2"/>
    <x v="4"/>
    <n v="4"/>
    <s v="Jun"/>
    <s v="06"/>
    <s v="profit"/>
    <s v="small"/>
    <n v="12.189973614775719"/>
  </r>
  <r>
    <x v="460"/>
    <x v="153"/>
    <s v="CUST-0003"/>
    <s v="Small Business"/>
    <x v="3"/>
    <x v="8"/>
    <x v="2"/>
    <x v="2"/>
    <n v="1"/>
    <n v="362.4"/>
    <n v="0.1"/>
    <n v="326.15999999999997"/>
    <n v="297.41000000000003"/>
    <n v="28.749999999999943"/>
    <x v="3"/>
    <x v="4"/>
    <n v="5"/>
    <s v="Jun"/>
    <s v="06"/>
    <s v="profit"/>
    <s v="small"/>
    <n v="8.814692175619312"/>
  </r>
  <r>
    <x v="461"/>
    <x v="154"/>
    <s v="CUST-0182"/>
    <s v="Corporate"/>
    <x v="1"/>
    <x v="9"/>
    <x v="3"/>
    <x v="20"/>
    <n v="8"/>
    <n v="84.97"/>
    <n v="0"/>
    <n v="679.76"/>
    <n v="53.71"/>
    <n v="250.07999999999998"/>
    <x v="1"/>
    <x v="4"/>
    <n v="4"/>
    <s v="Jun"/>
    <s v="06"/>
    <s v="profit"/>
    <s v="medium"/>
    <n v="36.789455101800634"/>
  </r>
  <r>
    <x v="462"/>
    <x v="155"/>
    <s v="CUST-0286"/>
    <s v="Small Business"/>
    <x v="3"/>
    <x v="8"/>
    <x v="0"/>
    <x v="8"/>
    <n v="4"/>
    <n v="66.63"/>
    <n v="0.1"/>
    <n v="239.86799999999999"/>
    <n v="41.47"/>
    <n v="73.988"/>
    <x v="3"/>
    <x v="2"/>
    <n v="4"/>
    <s v="Jun"/>
    <s v="06"/>
    <s v="profit"/>
    <s v="small"/>
    <n v="30.845298247369385"/>
  </r>
  <r>
    <x v="463"/>
    <x v="156"/>
    <s v="CUST-0220"/>
    <s v="Consumer"/>
    <x v="1"/>
    <x v="4"/>
    <x v="2"/>
    <x v="5"/>
    <n v="3"/>
    <n v="153.38"/>
    <n v="0"/>
    <n v="460.14"/>
    <n v="121.1"/>
    <n v="96.840000000000032"/>
    <x v="3"/>
    <x v="0"/>
    <n v="5"/>
    <s v="Jun"/>
    <s v="06"/>
    <s v="profit"/>
    <s v="small"/>
    <n v="21.045768679097673"/>
  </r>
  <r>
    <x v="464"/>
    <x v="157"/>
    <s v="CUST-0044"/>
    <s v="Consumer"/>
    <x v="0"/>
    <x v="6"/>
    <x v="4"/>
    <x v="14"/>
    <n v="2"/>
    <n v="449.53"/>
    <n v="0.1"/>
    <n v="809.154"/>
    <n v="315.42"/>
    <n v="178.31399999999996"/>
    <x v="4"/>
    <x v="6"/>
    <n v="4"/>
    <s v="Jun"/>
    <s v="06"/>
    <s v="profit"/>
    <s v="medium"/>
    <n v="22.037090590913468"/>
  </r>
  <r>
    <x v="465"/>
    <x v="157"/>
    <s v="CUST-0103"/>
    <s v="Small Business"/>
    <x v="3"/>
    <x v="7"/>
    <x v="0"/>
    <x v="17"/>
    <n v="2"/>
    <n v="28.02"/>
    <n v="0"/>
    <n v="56.04"/>
    <n v="11.96"/>
    <n v="32.119999999999997"/>
    <x v="1"/>
    <x v="2"/>
    <n v="3"/>
    <s v="Jun"/>
    <s v="06"/>
    <s v="profit"/>
    <s v="small"/>
    <n v="57.316202712348321"/>
  </r>
  <r>
    <x v="466"/>
    <x v="158"/>
    <s v="CUST-0342"/>
    <s v="Small Business"/>
    <x v="2"/>
    <x v="2"/>
    <x v="0"/>
    <x v="3"/>
    <n v="8"/>
    <n v="73.42"/>
    <n v="0"/>
    <n v="587.36"/>
    <n v="34.630000000000003"/>
    <n v="310.32"/>
    <x v="1"/>
    <x v="0"/>
    <n v="4"/>
    <s v="Jun"/>
    <s v="06"/>
    <s v="profit"/>
    <s v="medium"/>
    <n v="52.83301552710433"/>
  </r>
  <r>
    <x v="467"/>
    <x v="158"/>
    <s v="CUST-0051"/>
    <s v="Small Business"/>
    <x v="1"/>
    <x v="4"/>
    <x v="2"/>
    <x v="12"/>
    <n v="3"/>
    <n v="209.42"/>
    <n v="0"/>
    <n v="628.26"/>
    <n v="180.6"/>
    <n v="86.460000000000036"/>
    <x v="3"/>
    <x v="2"/>
    <n v="4"/>
    <s v="Jun"/>
    <s v="06"/>
    <s v="profit"/>
    <s v="medium"/>
    <n v="13.761818355457939"/>
  </r>
  <r>
    <x v="468"/>
    <x v="159"/>
    <s v="CUST-0040"/>
    <s v="Small Business"/>
    <x v="3"/>
    <x v="8"/>
    <x v="2"/>
    <x v="13"/>
    <n v="3"/>
    <n v="606.11"/>
    <n v="0"/>
    <n v="1818.33"/>
    <n v="483.75"/>
    <n v="367.07999999999993"/>
    <x v="2"/>
    <x v="0"/>
    <n v="5"/>
    <s v="Jun"/>
    <s v="06"/>
    <s v="profit"/>
    <s v="medium"/>
    <n v="20.187754697992112"/>
  </r>
  <r>
    <x v="469"/>
    <x v="159"/>
    <s v="CUST-0017"/>
    <s v="Corporate"/>
    <x v="2"/>
    <x v="2"/>
    <x v="2"/>
    <x v="12"/>
    <n v="2"/>
    <n v="419.64"/>
    <n v="0.2"/>
    <n v="671.42399999999998"/>
    <n v="361.21"/>
    <n v="-50.995999999999981"/>
    <x v="3"/>
    <x v="6"/>
    <n v="4"/>
    <s v="Jun"/>
    <s v="06"/>
    <s v="profit"/>
    <s v="medium"/>
    <n v="-7.5952006481746226"/>
  </r>
  <r>
    <x v="470"/>
    <x v="159"/>
    <s v="CUST-0160"/>
    <s v="Small Business"/>
    <x v="2"/>
    <x v="2"/>
    <x v="3"/>
    <x v="20"/>
    <n v="1"/>
    <n v="98.95"/>
    <n v="0.05"/>
    <n v="94.002499999999998"/>
    <n v="73.56"/>
    <n v="20.442499999999995"/>
    <x v="1"/>
    <x v="0"/>
    <n v="5"/>
    <s v="Jun"/>
    <s v="06"/>
    <s v="profit"/>
    <s v="small"/>
    <n v="21.746762054200683"/>
  </r>
  <r>
    <x v="471"/>
    <x v="160"/>
    <s v="CUST-0029"/>
    <s v="Corporate"/>
    <x v="1"/>
    <x v="1"/>
    <x v="0"/>
    <x v="3"/>
    <n v="3"/>
    <n v="119.21"/>
    <n v="0"/>
    <n v="357.63"/>
    <n v="57.06"/>
    <n v="186.45"/>
    <x v="0"/>
    <x v="0"/>
    <n v="4"/>
    <s v="Jun"/>
    <s v="06"/>
    <s v="profit"/>
    <s v="small"/>
    <n v="52.134888012750601"/>
  </r>
  <r>
    <x v="472"/>
    <x v="161"/>
    <s v="CUST-0188"/>
    <s v="Corporate"/>
    <x v="0"/>
    <x v="0"/>
    <x v="4"/>
    <x v="18"/>
    <n v="3"/>
    <n v="205.63"/>
    <n v="0"/>
    <n v="616.89"/>
    <n v="152.81"/>
    <n v="158.45999999999998"/>
    <x v="2"/>
    <x v="5"/>
    <n v="5"/>
    <s v="Jun"/>
    <s v="06"/>
    <s v="profit"/>
    <s v="medium"/>
    <n v="25.686913388124299"/>
  </r>
  <r>
    <x v="473"/>
    <x v="161"/>
    <s v="CUST-0127"/>
    <s v="Consumer"/>
    <x v="2"/>
    <x v="11"/>
    <x v="0"/>
    <x v="3"/>
    <n v="2"/>
    <n v="51.68"/>
    <n v="0.1"/>
    <n v="93.024000000000001"/>
    <n v="29.13"/>
    <n v="34.764000000000003"/>
    <x v="0"/>
    <x v="2"/>
    <n v="5"/>
    <s v="Jun"/>
    <s v="06"/>
    <s v="profit"/>
    <s v="small"/>
    <n v="37.371001031991746"/>
  </r>
  <r>
    <x v="474"/>
    <x v="161"/>
    <s v="CUST-0291"/>
    <s v="Small Business"/>
    <x v="2"/>
    <x v="3"/>
    <x v="2"/>
    <x v="5"/>
    <n v="2"/>
    <n v="60.91"/>
    <n v="0.15"/>
    <n v="103.547"/>
    <n v="53.27"/>
    <n v="-2.9930000000000092"/>
    <x v="1"/>
    <x v="1"/>
    <n v="1"/>
    <s v="Jun"/>
    <s v="06"/>
    <s v="profit"/>
    <s v="small"/>
    <n v="-2.890474856828309"/>
  </r>
  <r>
    <x v="475"/>
    <x v="161"/>
    <s v="CUST-0052"/>
    <s v="Small Business"/>
    <x v="1"/>
    <x v="1"/>
    <x v="0"/>
    <x v="17"/>
    <n v="3"/>
    <n v="34.619999999999997"/>
    <n v="0.15"/>
    <n v="88.280999999999992"/>
    <n v="19.23"/>
    <n v="30.590999999999994"/>
    <x v="4"/>
    <x v="7"/>
    <n v="4"/>
    <s v="Jun"/>
    <s v="06"/>
    <s v="profit"/>
    <s v="small"/>
    <n v="34.651850341523087"/>
  </r>
  <r>
    <x v="476"/>
    <x v="161"/>
    <s v="CUST-0039"/>
    <s v="Small Business"/>
    <x v="1"/>
    <x v="4"/>
    <x v="1"/>
    <x v="6"/>
    <n v="2"/>
    <n v="74.989999999999995"/>
    <n v="0.15"/>
    <n v="127.48299999999999"/>
    <n v="51.75"/>
    <n v="23.98299999999999"/>
    <x v="4"/>
    <x v="1"/>
    <n v="3"/>
    <s v="Jun"/>
    <s v="06"/>
    <s v="profit"/>
    <s v="small"/>
    <n v="18.812704439023236"/>
  </r>
  <r>
    <x v="477"/>
    <x v="162"/>
    <s v="CUST-0173"/>
    <s v="Corporate"/>
    <x v="0"/>
    <x v="5"/>
    <x v="4"/>
    <x v="7"/>
    <n v="5"/>
    <n v="1024.1400000000001"/>
    <n v="0"/>
    <n v="5120.7000000000007"/>
    <n v="691.38"/>
    <n v="1663.8000000000006"/>
    <x v="3"/>
    <x v="0"/>
    <n v="4"/>
    <s v="Jun"/>
    <s v="06"/>
    <s v="profit"/>
    <s v="large"/>
    <n v="32.491651532017116"/>
  </r>
  <r>
    <x v="478"/>
    <x v="162"/>
    <s v="CUST-0213"/>
    <s v="Corporate"/>
    <x v="2"/>
    <x v="11"/>
    <x v="4"/>
    <x v="14"/>
    <n v="3"/>
    <n v="321.07"/>
    <n v="0"/>
    <n v="963.21"/>
    <n v="237.47"/>
    <n v="250.80000000000007"/>
    <x v="0"/>
    <x v="0"/>
    <n v="4"/>
    <s v="Jun"/>
    <s v="06"/>
    <s v="profit"/>
    <s v="medium"/>
    <n v="26.037935652661421"/>
  </r>
  <r>
    <x v="479"/>
    <x v="163"/>
    <s v="CUST-0381"/>
    <s v="Corporate"/>
    <x v="3"/>
    <x v="10"/>
    <x v="0"/>
    <x v="17"/>
    <n v="2"/>
    <n v="24.95"/>
    <n v="0.1"/>
    <n v="44.91"/>
    <n v="13"/>
    <n v="18.909999999999997"/>
    <x v="0"/>
    <x v="6"/>
    <n v="5"/>
    <s v="Jun"/>
    <s v="06"/>
    <s v="profit"/>
    <s v="small"/>
    <n v="42.106435092407033"/>
  </r>
  <r>
    <x v="480"/>
    <x v="163"/>
    <s v="CUST-0154"/>
    <s v="Corporate"/>
    <x v="3"/>
    <x v="7"/>
    <x v="1"/>
    <x v="19"/>
    <n v="1"/>
    <n v="74.62"/>
    <n v="0.1"/>
    <n v="67.158000000000001"/>
    <n v="50.53"/>
    <n v="16.628"/>
    <x v="1"/>
    <x v="7"/>
    <n v="5"/>
    <s v="Jun"/>
    <s v="06"/>
    <s v="profit"/>
    <s v="small"/>
    <n v="24.759522320497929"/>
  </r>
  <r>
    <x v="481"/>
    <x v="164"/>
    <s v="CUST-0121"/>
    <s v="Corporate"/>
    <x v="2"/>
    <x v="2"/>
    <x v="3"/>
    <x v="16"/>
    <n v="1"/>
    <n v="130.75"/>
    <n v="0.1"/>
    <n v="117.675"/>
    <n v="91.08"/>
    <n v="26.594999999999999"/>
    <x v="4"/>
    <x v="2"/>
    <n v="3"/>
    <s v="Jun"/>
    <s v="06"/>
    <s v="profit"/>
    <s v="small"/>
    <n v="22.600382409177818"/>
  </r>
  <r>
    <x v="482"/>
    <x v="164"/>
    <s v="CUST-0082"/>
    <s v="Corporate"/>
    <x v="1"/>
    <x v="1"/>
    <x v="2"/>
    <x v="5"/>
    <n v="3"/>
    <n v="155.32"/>
    <n v="0"/>
    <n v="465.96"/>
    <n v="126.75"/>
    <n v="85.70999999999998"/>
    <x v="4"/>
    <x v="5"/>
    <n v="3"/>
    <s v="Jun"/>
    <s v="06"/>
    <s v="profit"/>
    <s v="small"/>
    <n v="18.394282771053305"/>
  </r>
  <r>
    <x v="483"/>
    <x v="164"/>
    <s v="CUST-0161"/>
    <s v="Small Business"/>
    <x v="1"/>
    <x v="4"/>
    <x v="1"/>
    <x v="15"/>
    <n v="1"/>
    <n v="139.53"/>
    <n v="0.15"/>
    <n v="118.6005"/>
    <n v="103.47"/>
    <n v="15.130499999999998"/>
    <x v="0"/>
    <x v="2"/>
    <n v="5"/>
    <s v="Jun"/>
    <s v="06"/>
    <s v="profit"/>
    <s v="small"/>
    <n v="12.757534749010333"/>
  </r>
  <r>
    <x v="484"/>
    <x v="164"/>
    <s v="CUST-0293"/>
    <s v="Small Business"/>
    <x v="1"/>
    <x v="9"/>
    <x v="0"/>
    <x v="8"/>
    <n v="5"/>
    <n v="162.54"/>
    <n v="0"/>
    <n v="812.69999999999993"/>
    <n v="69.66"/>
    <n v="464.4"/>
    <x v="2"/>
    <x v="2"/>
    <n v="4"/>
    <s v="Jun"/>
    <s v="06"/>
    <s v="profit"/>
    <s v="medium"/>
    <n v="57.142857142857139"/>
  </r>
  <r>
    <x v="485"/>
    <x v="165"/>
    <s v="CUST-0200"/>
    <s v="Small Business"/>
    <x v="0"/>
    <x v="6"/>
    <x v="1"/>
    <x v="6"/>
    <n v="2"/>
    <n v="144.25"/>
    <n v="0.05"/>
    <n v="274.07499999999999"/>
    <n v="105.58"/>
    <n v="62.914999999999992"/>
    <x v="4"/>
    <x v="6"/>
    <n v="3"/>
    <s v="Jun"/>
    <s v="06"/>
    <s v="profit"/>
    <s v="small"/>
    <n v="22.955395420961413"/>
  </r>
  <r>
    <x v="486"/>
    <x v="165"/>
    <s v="CUST-0359"/>
    <s v="Consumer"/>
    <x v="2"/>
    <x v="2"/>
    <x v="2"/>
    <x v="13"/>
    <n v="1"/>
    <n v="1075.94"/>
    <n v="0.05"/>
    <n v="1022.143"/>
    <n v="897.42"/>
    <n v="124.72300000000007"/>
    <x v="0"/>
    <x v="6"/>
    <n v="4"/>
    <s v="Jun"/>
    <s v="06"/>
    <s v="profit"/>
    <s v="medium"/>
    <n v="12.202108706903052"/>
  </r>
  <r>
    <x v="487"/>
    <x v="166"/>
    <s v="CUST-0011"/>
    <s v="Small Business"/>
    <x v="2"/>
    <x v="11"/>
    <x v="2"/>
    <x v="5"/>
    <n v="4"/>
    <n v="267.45"/>
    <n v="0.15"/>
    <n v="909.32999999999993"/>
    <n v="203.12"/>
    <n v="96.849999999999909"/>
    <x v="2"/>
    <x v="5"/>
    <n v="5"/>
    <s v="Jun"/>
    <s v="06"/>
    <s v="profit"/>
    <s v="medium"/>
    <n v="10.650698866198182"/>
  </r>
  <r>
    <x v="488"/>
    <x v="166"/>
    <s v="CUST-0359"/>
    <s v="Corporate"/>
    <x v="3"/>
    <x v="8"/>
    <x v="1"/>
    <x v="19"/>
    <n v="3"/>
    <n v="90.61"/>
    <n v="0"/>
    <n v="271.83"/>
    <n v="53.66"/>
    <n v="110.85"/>
    <x v="3"/>
    <x v="4"/>
    <n v="5"/>
    <s v="Jun"/>
    <s v="06"/>
    <s v="profit"/>
    <s v="small"/>
    <n v="40.77916344774308"/>
  </r>
  <r>
    <x v="489"/>
    <x v="166"/>
    <s v="CUST-0153"/>
    <s v="Consumer"/>
    <x v="2"/>
    <x v="3"/>
    <x v="4"/>
    <x v="7"/>
    <n v="8"/>
    <n v="1134.76"/>
    <n v="0.1"/>
    <n v="8170.2719999999999"/>
    <n v="699.48"/>
    <n v="2574.4319999999998"/>
    <x v="4"/>
    <x v="0"/>
    <n v="4"/>
    <s v="Jun"/>
    <s v="06"/>
    <s v="profit"/>
    <s v="large"/>
    <n v="31.509746554337482"/>
  </r>
  <r>
    <x v="490"/>
    <x v="166"/>
    <s v="CUST-0171"/>
    <s v="Small Business"/>
    <x v="0"/>
    <x v="6"/>
    <x v="3"/>
    <x v="20"/>
    <n v="2"/>
    <n v="148.4"/>
    <n v="0.05"/>
    <n v="281.95999999999998"/>
    <n v="103.17"/>
    <n v="75.619999999999976"/>
    <x v="1"/>
    <x v="2"/>
    <n v="5"/>
    <s v="Jun"/>
    <s v="06"/>
    <s v="profit"/>
    <s v="small"/>
    <n v="26.819407008086248"/>
  </r>
  <r>
    <x v="491"/>
    <x v="166"/>
    <s v="CUST-0329"/>
    <s v="Small Business"/>
    <x v="2"/>
    <x v="11"/>
    <x v="1"/>
    <x v="19"/>
    <n v="3"/>
    <n v="58.43"/>
    <n v="0.1"/>
    <n v="157.761"/>
    <n v="36.79"/>
    <n v="47.390999999999991"/>
    <x v="4"/>
    <x v="0"/>
    <n v="5"/>
    <s v="Jun"/>
    <s v="06"/>
    <s v="profit"/>
    <s v="small"/>
    <n v="30.039743662882458"/>
  </r>
  <r>
    <x v="492"/>
    <x v="167"/>
    <s v="CUST-0394"/>
    <s v="Small Business"/>
    <x v="0"/>
    <x v="0"/>
    <x v="2"/>
    <x v="12"/>
    <n v="1"/>
    <n v="260.04000000000002"/>
    <n v="0.05"/>
    <n v="247.03800000000001"/>
    <n v="222.12"/>
    <n v="24.918000000000006"/>
    <x v="4"/>
    <x v="6"/>
    <n v="5"/>
    <s v="Jun"/>
    <s v="06"/>
    <s v="profit"/>
    <s v="small"/>
    <n v="10.086707308187407"/>
  </r>
  <r>
    <x v="493"/>
    <x v="168"/>
    <s v="CUST-0145"/>
    <s v="Consumer"/>
    <x v="3"/>
    <x v="10"/>
    <x v="4"/>
    <x v="7"/>
    <n v="3"/>
    <n v="1086.1600000000001"/>
    <n v="0"/>
    <n v="3258.4800000000005"/>
    <n v="839.93"/>
    <n v="738.69000000000051"/>
    <x v="3"/>
    <x v="6"/>
    <n v="4"/>
    <s v="Jun"/>
    <s v="06"/>
    <s v="profit"/>
    <s v="large"/>
    <n v="22.669772409221491"/>
  </r>
  <r>
    <x v="494"/>
    <x v="168"/>
    <s v="CUST-0332"/>
    <s v="Small Business"/>
    <x v="3"/>
    <x v="7"/>
    <x v="4"/>
    <x v="7"/>
    <n v="8"/>
    <n v="1150.28"/>
    <n v="0.2"/>
    <n v="7361.7920000000004"/>
    <n v="716.78"/>
    <n v="1627.5520000000006"/>
    <x v="4"/>
    <x v="2"/>
    <n v="5"/>
    <s v="Jun"/>
    <s v="06"/>
    <s v="profit"/>
    <s v="large"/>
    <n v="22.108095420245512"/>
  </r>
  <r>
    <x v="495"/>
    <x v="168"/>
    <s v="CUST-0291"/>
    <s v="Consumer"/>
    <x v="2"/>
    <x v="3"/>
    <x v="2"/>
    <x v="13"/>
    <n v="1"/>
    <n v="339.83"/>
    <n v="0"/>
    <n v="339.83"/>
    <n v="274.33999999999997"/>
    <n v="65.490000000000009"/>
    <x v="3"/>
    <x v="6"/>
    <n v="5"/>
    <s v="Jun"/>
    <s v="06"/>
    <s v="profit"/>
    <s v="small"/>
    <n v="19.271400406085398"/>
  </r>
  <r>
    <x v="496"/>
    <x v="169"/>
    <s v="CUST-0067"/>
    <s v="Corporate"/>
    <x v="3"/>
    <x v="8"/>
    <x v="3"/>
    <x v="20"/>
    <n v="1"/>
    <n v="47.78"/>
    <n v="0.05"/>
    <n v="45.390999999999998"/>
    <n v="29.02"/>
    <n v="16.370999999999999"/>
    <x v="4"/>
    <x v="4"/>
    <n v="5"/>
    <s v="Jun"/>
    <s v="06"/>
    <s v="profit"/>
    <s v="small"/>
    <n v="36.066621136348616"/>
  </r>
  <r>
    <x v="497"/>
    <x v="170"/>
    <s v="CUST-0317"/>
    <s v="Corporate"/>
    <x v="3"/>
    <x v="7"/>
    <x v="4"/>
    <x v="11"/>
    <n v="1"/>
    <n v="320.8"/>
    <n v="0"/>
    <n v="320.8"/>
    <n v="230.43"/>
    <n v="90.37"/>
    <x v="4"/>
    <x v="7"/>
    <n v="4"/>
    <s v="Jun"/>
    <s v="06"/>
    <s v="profit"/>
    <s v="small"/>
    <n v="28.170199501246884"/>
  </r>
  <r>
    <x v="498"/>
    <x v="171"/>
    <s v="CUST-0197"/>
    <s v="Small Business"/>
    <x v="2"/>
    <x v="2"/>
    <x v="0"/>
    <x v="17"/>
    <n v="2"/>
    <n v="8.2799999999999994"/>
    <n v="0"/>
    <n v="16.559999999999999"/>
    <n v="5.1100000000000003"/>
    <n v="6.3399999999999981"/>
    <x v="1"/>
    <x v="1"/>
    <n v="2"/>
    <s v="Jun"/>
    <s v="06"/>
    <s v="profit"/>
    <s v="small"/>
    <n v="38.285024154589365"/>
  </r>
  <r>
    <x v="499"/>
    <x v="171"/>
    <s v="CUST-0307"/>
    <s v="Small Business"/>
    <x v="2"/>
    <x v="2"/>
    <x v="0"/>
    <x v="17"/>
    <n v="8"/>
    <n v="16.989999999999998"/>
    <n v="0.2"/>
    <n v="108.73599999999999"/>
    <n v="10.050000000000001"/>
    <n v="28.335999999999984"/>
    <x v="3"/>
    <x v="5"/>
    <n v="3"/>
    <s v="Jun"/>
    <s v="06"/>
    <s v="profit"/>
    <s v="small"/>
    <n v="26.05944673337256"/>
  </r>
  <r>
    <x v="500"/>
    <x v="171"/>
    <s v="CUST-0087"/>
    <s v="Small Business"/>
    <x v="3"/>
    <x v="10"/>
    <x v="0"/>
    <x v="8"/>
    <n v="1"/>
    <n v="216.07"/>
    <n v="0"/>
    <n v="216.07"/>
    <n v="104.19"/>
    <n v="111.88"/>
    <x v="1"/>
    <x v="7"/>
    <n v="5"/>
    <s v="Jun"/>
    <s v="06"/>
    <s v="profit"/>
    <s v="small"/>
    <n v="51.779515897625771"/>
  </r>
  <r>
    <x v="501"/>
    <x v="172"/>
    <s v="CUST-0256"/>
    <s v="Corporate"/>
    <x v="2"/>
    <x v="3"/>
    <x v="2"/>
    <x v="5"/>
    <n v="2"/>
    <n v="221.77"/>
    <n v="0.2"/>
    <n v="354.83200000000005"/>
    <n v="185.19"/>
    <n v="-15.547999999999945"/>
    <x v="0"/>
    <x v="6"/>
    <n v="3"/>
    <s v="Jun"/>
    <s v="06"/>
    <s v="profit"/>
    <s v="small"/>
    <n v="-4.3817919466113384"/>
  </r>
  <r>
    <x v="502"/>
    <x v="172"/>
    <s v="CUST-0078"/>
    <s v="Small Business"/>
    <x v="3"/>
    <x v="8"/>
    <x v="3"/>
    <x v="9"/>
    <n v="4"/>
    <n v="486.03"/>
    <n v="0.05"/>
    <n v="1846.9139999999998"/>
    <n v="322.16000000000003"/>
    <n v="558.27399999999966"/>
    <x v="1"/>
    <x v="5"/>
    <n v="3"/>
    <s v="Jun"/>
    <s v="06"/>
    <s v="profit"/>
    <s v="medium"/>
    <n v="30.227395536554475"/>
  </r>
  <r>
    <x v="503"/>
    <x v="173"/>
    <s v="CUST-0254"/>
    <s v="Consumer"/>
    <x v="1"/>
    <x v="1"/>
    <x v="2"/>
    <x v="13"/>
    <n v="1"/>
    <n v="328.69"/>
    <n v="0.15"/>
    <n v="279.38650000000001"/>
    <n v="282.99"/>
    <n v="-3.6034999999999968"/>
    <x v="1"/>
    <x v="7"/>
    <n v="5"/>
    <s v="Jul"/>
    <s v="07"/>
    <s v="profit"/>
    <s v="small"/>
    <n v="-1.2897903084078854"/>
  </r>
  <r>
    <x v="504"/>
    <x v="173"/>
    <s v="CUST-0146"/>
    <s v="Consumer"/>
    <x v="3"/>
    <x v="7"/>
    <x v="0"/>
    <x v="3"/>
    <n v="2"/>
    <n v="99.16"/>
    <n v="0"/>
    <n v="198.32"/>
    <n v="43.49"/>
    <n v="111.33999999999999"/>
    <x v="4"/>
    <x v="1"/>
    <n v="4"/>
    <s v="Jul"/>
    <s v="07"/>
    <s v="profit"/>
    <s v="small"/>
    <n v="56.141589350544571"/>
  </r>
  <r>
    <x v="505"/>
    <x v="173"/>
    <s v="CUST-0256"/>
    <s v="Small Business"/>
    <x v="3"/>
    <x v="8"/>
    <x v="1"/>
    <x v="15"/>
    <n v="6"/>
    <n v="129.19999999999999"/>
    <n v="0"/>
    <n v="775.19999999999993"/>
    <n v="71.790000000000006"/>
    <n v="344.45999999999992"/>
    <x v="3"/>
    <x v="7"/>
    <n v="1"/>
    <s v="Jul"/>
    <s v="07"/>
    <s v="profit"/>
    <s v="medium"/>
    <n v="44.434984520123834"/>
  </r>
  <r>
    <x v="506"/>
    <x v="173"/>
    <s v="CUST-0363"/>
    <s v="Small Business"/>
    <x v="0"/>
    <x v="6"/>
    <x v="1"/>
    <x v="19"/>
    <n v="1"/>
    <n v="62.45"/>
    <n v="0"/>
    <n v="62.45"/>
    <n v="39.46"/>
    <n v="22.990000000000002"/>
    <x v="1"/>
    <x v="0"/>
    <n v="4"/>
    <s v="Jul"/>
    <s v="07"/>
    <s v="profit"/>
    <s v="small"/>
    <n v="36.81345076060849"/>
  </r>
  <r>
    <x v="507"/>
    <x v="174"/>
    <s v="CUST-0292"/>
    <s v="Consumer"/>
    <x v="1"/>
    <x v="1"/>
    <x v="4"/>
    <x v="14"/>
    <n v="8"/>
    <n v="201.89"/>
    <n v="0.2"/>
    <n v="1292.096"/>
    <n v="159.74"/>
    <n v="14.175999999999931"/>
    <x v="4"/>
    <x v="5"/>
    <n v="5"/>
    <s v="Jul"/>
    <s v="07"/>
    <s v="profit"/>
    <s v="medium"/>
    <n v="1.0971321016395013"/>
  </r>
  <r>
    <x v="508"/>
    <x v="174"/>
    <s v="CUST-0395"/>
    <s v="Corporate"/>
    <x v="1"/>
    <x v="4"/>
    <x v="4"/>
    <x v="14"/>
    <n v="2"/>
    <n v="355.21"/>
    <n v="0"/>
    <n v="710.42"/>
    <n v="245.3"/>
    <n v="219.81999999999994"/>
    <x v="3"/>
    <x v="5"/>
    <n v="5"/>
    <s v="Jul"/>
    <s v="07"/>
    <s v="profit"/>
    <s v="medium"/>
    <n v="30.942259508459781"/>
  </r>
  <r>
    <x v="509"/>
    <x v="175"/>
    <s v="CUST-0377"/>
    <s v="Corporate"/>
    <x v="3"/>
    <x v="7"/>
    <x v="2"/>
    <x v="12"/>
    <n v="1"/>
    <n v="306.70999999999998"/>
    <n v="0.15"/>
    <n v="260.70349999999996"/>
    <n v="241.42"/>
    <n v="19.283499999999975"/>
    <x v="2"/>
    <x v="3"/>
    <n v="4"/>
    <s v="Jul"/>
    <s v="07"/>
    <s v="profit"/>
    <s v="small"/>
    <n v="7.3967169600714904"/>
  </r>
  <r>
    <x v="510"/>
    <x v="176"/>
    <s v="CUST-0047"/>
    <s v="Corporate"/>
    <x v="1"/>
    <x v="1"/>
    <x v="2"/>
    <x v="5"/>
    <n v="1"/>
    <n v="168.42"/>
    <n v="0.1"/>
    <n v="151.578"/>
    <n v="139.21"/>
    <n v="12.367999999999995"/>
    <x v="0"/>
    <x v="3"/>
    <n v="4"/>
    <s v="Jul"/>
    <s v="07"/>
    <s v="profit"/>
    <s v="small"/>
    <n v="8.1594954412909502"/>
  </r>
  <r>
    <x v="511"/>
    <x v="176"/>
    <s v="CUST-0254"/>
    <s v="Small Business"/>
    <x v="3"/>
    <x v="10"/>
    <x v="0"/>
    <x v="17"/>
    <n v="3"/>
    <n v="21.86"/>
    <n v="0"/>
    <n v="65.58"/>
    <n v="8.89"/>
    <n v="38.909999999999997"/>
    <x v="2"/>
    <x v="2"/>
    <n v="3"/>
    <s v="Jul"/>
    <s v="07"/>
    <s v="profit"/>
    <s v="small"/>
    <n v="59.332113449222327"/>
  </r>
  <r>
    <x v="512"/>
    <x v="176"/>
    <s v="CUST-0025"/>
    <s v="Small Business"/>
    <x v="2"/>
    <x v="3"/>
    <x v="0"/>
    <x v="3"/>
    <n v="2"/>
    <n v="76.05"/>
    <n v="0"/>
    <n v="152.1"/>
    <n v="30.72"/>
    <n v="90.66"/>
    <x v="3"/>
    <x v="5"/>
    <n v="4"/>
    <s v="Jul"/>
    <s v="07"/>
    <s v="profit"/>
    <s v="small"/>
    <n v="59.605522682445752"/>
  </r>
  <r>
    <x v="513"/>
    <x v="176"/>
    <s v="CUST-0258"/>
    <s v="Consumer"/>
    <x v="2"/>
    <x v="11"/>
    <x v="0"/>
    <x v="3"/>
    <n v="1"/>
    <n v="51.34"/>
    <n v="0"/>
    <n v="51.34"/>
    <n v="24.89"/>
    <n v="26.450000000000003"/>
    <x v="3"/>
    <x v="0"/>
    <n v="3"/>
    <s v="Jul"/>
    <s v="07"/>
    <s v="profit"/>
    <s v="small"/>
    <n v="51.519283209972734"/>
  </r>
  <r>
    <x v="514"/>
    <x v="177"/>
    <s v="CUST-0344"/>
    <s v="Corporate"/>
    <x v="2"/>
    <x v="11"/>
    <x v="2"/>
    <x v="12"/>
    <n v="3"/>
    <n v="174.89"/>
    <n v="0.05"/>
    <n v="498.43649999999991"/>
    <n v="146.47999999999999"/>
    <n v="58.996499999999969"/>
    <x v="2"/>
    <x v="1"/>
    <n v="4"/>
    <s v="Jul"/>
    <s v="07"/>
    <s v="profit"/>
    <s v="small"/>
    <n v="11.836312148087064"/>
  </r>
  <r>
    <x v="515"/>
    <x v="177"/>
    <s v="CUST-0003"/>
    <s v="Corporate"/>
    <x v="2"/>
    <x v="2"/>
    <x v="3"/>
    <x v="16"/>
    <n v="1"/>
    <n v="51.38"/>
    <n v="0.05"/>
    <n v="48.811"/>
    <n v="37.729999999999997"/>
    <n v="11.081000000000003"/>
    <x v="3"/>
    <x v="5"/>
    <n v="3"/>
    <s v="Jul"/>
    <s v="07"/>
    <s v="profit"/>
    <s v="small"/>
    <n v="22.701849992829494"/>
  </r>
  <r>
    <x v="516"/>
    <x v="177"/>
    <s v="CUST-0185"/>
    <s v="Small Business"/>
    <x v="1"/>
    <x v="1"/>
    <x v="0"/>
    <x v="3"/>
    <n v="3"/>
    <n v="144.25"/>
    <n v="0.2"/>
    <n v="346.20000000000005"/>
    <n v="58.93"/>
    <n v="169.41000000000005"/>
    <x v="1"/>
    <x v="1"/>
    <n v="2"/>
    <s v="Jul"/>
    <s v="07"/>
    <s v="profit"/>
    <s v="small"/>
    <n v="48.934142114384763"/>
  </r>
  <r>
    <x v="517"/>
    <x v="178"/>
    <s v="CUST-0333"/>
    <s v="Consumer"/>
    <x v="3"/>
    <x v="7"/>
    <x v="2"/>
    <x v="13"/>
    <n v="1"/>
    <n v="389.53"/>
    <n v="0.1"/>
    <n v="350.577"/>
    <n v="349.65"/>
    <n v="0.92700000000002092"/>
    <x v="1"/>
    <x v="4"/>
    <n v="2"/>
    <s v="Jul"/>
    <s v="07"/>
    <s v="profit"/>
    <s v="small"/>
    <n v="0.26442122557955056"/>
  </r>
  <r>
    <x v="518"/>
    <x v="178"/>
    <s v="CUST-0249"/>
    <s v="Corporate"/>
    <x v="3"/>
    <x v="7"/>
    <x v="1"/>
    <x v="15"/>
    <n v="4"/>
    <n v="110.58"/>
    <n v="0.05"/>
    <n v="420.20399999999995"/>
    <n v="82.45"/>
    <n v="90.40399999999994"/>
    <x v="3"/>
    <x v="0"/>
    <n v="4"/>
    <s v="Jul"/>
    <s v="07"/>
    <s v="profit"/>
    <s v="small"/>
    <n v="21.514312096029535"/>
  </r>
  <r>
    <x v="519"/>
    <x v="179"/>
    <s v="CUST-0222"/>
    <s v="Corporate"/>
    <x v="2"/>
    <x v="3"/>
    <x v="2"/>
    <x v="2"/>
    <n v="1"/>
    <n v="386.9"/>
    <n v="0.15"/>
    <n v="328.86499999999995"/>
    <n v="325.48"/>
    <n v="3.3849999999999341"/>
    <x v="1"/>
    <x v="1"/>
    <n v="1"/>
    <s v="Jul"/>
    <s v="07"/>
    <s v="profit"/>
    <s v="small"/>
    <n v="1.0292977361531128"/>
  </r>
  <r>
    <x v="520"/>
    <x v="179"/>
    <s v="CUST-0138"/>
    <s v="Small Business"/>
    <x v="0"/>
    <x v="6"/>
    <x v="4"/>
    <x v="7"/>
    <n v="3"/>
    <n v="508.72"/>
    <n v="0.05"/>
    <n v="1449.8520000000001"/>
    <n v="400.8"/>
    <n v="247.452"/>
    <x v="1"/>
    <x v="0"/>
    <n v="2"/>
    <s v="Jul"/>
    <s v="07"/>
    <s v="profit"/>
    <s v="medium"/>
    <n v="17.067397223992518"/>
  </r>
  <r>
    <x v="521"/>
    <x v="179"/>
    <s v="CUST-0225"/>
    <s v="Consumer"/>
    <x v="3"/>
    <x v="8"/>
    <x v="0"/>
    <x v="8"/>
    <n v="4"/>
    <n v="123.46"/>
    <n v="0.05"/>
    <n v="469.14799999999997"/>
    <n v="66.78"/>
    <n v="202.02799999999996"/>
    <x v="2"/>
    <x v="4"/>
    <n v="4"/>
    <s v="Jul"/>
    <s v="07"/>
    <s v="profit"/>
    <s v="small"/>
    <n v="43.06274352656304"/>
  </r>
  <r>
    <x v="522"/>
    <x v="179"/>
    <s v="CUST-0377"/>
    <s v="Corporate"/>
    <x v="1"/>
    <x v="1"/>
    <x v="1"/>
    <x v="1"/>
    <n v="5"/>
    <n v="113.28"/>
    <n v="0.1"/>
    <n v="509.76"/>
    <n v="78.31"/>
    <n v="118.20999999999998"/>
    <x v="1"/>
    <x v="3"/>
    <n v="4"/>
    <s v="Jul"/>
    <s v="07"/>
    <s v="profit"/>
    <s v="medium"/>
    <n v="23.189344005021965"/>
  </r>
  <r>
    <x v="523"/>
    <x v="180"/>
    <s v="CUST-0213"/>
    <s v="Corporate"/>
    <x v="3"/>
    <x v="7"/>
    <x v="4"/>
    <x v="14"/>
    <n v="3"/>
    <n v="326.81"/>
    <n v="0"/>
    <n v="980.43000000000006"/>
    <n v="253.01"/>
    <n v="221.40000000000009"/>
    <x v="0"/>
    <x v="4"/>
    <n v="3"/>
    <s v="Jul"/>
    <s v="07"/>
    <s v="profit"/>
    <s v="medium"/>
    <n v="22.581928337566179"/>
  </r>
  <r>
    <x v="524"/>
    <x v="180"/>
    <s v="CUST-0017"/>
    <s v="Consumer"/>
    <x v="3"/>
    <x v="7"/>
    <x v="2"/>
    <x v="10"/>
    <n v="5"/>
    <n v="919.09"/>
    <n v="0.15"/>
    <n v="3906.1324999999997"/>
    <n v="791.23"/>
    <n v="-50.017500000000382"/>
    <x v="0"/>
    <x v="6"/>
    <n v="2"/>
    <s v="Jul"/>
    <s v="07"/>
    <s v="profit"/>
    <s v="large"/>
    <n v="-1.2804865170344424"/>
  </r>
  <r>
    <x v="525"/>
    <x v="181"/>
    <s v="CUST-0286"/>
    <s v="Corporate"/>
    <x v="2"/>
    <x v="11"/>
    <x v="2"/>
    <x v="2"/>
    <n v="4"/>
    <n v="162.91999999999999"/>
    <n v="0.1"/>
    <n v="586.51199999999994"/>
    <n v="140.33000000000001"/>
    <n v="25.191999999999894"/>
    <x v="4"/>
    <x v="2"/>
    <n v="5"/>
    <s v="Jul"/>
    <s v="07"/>
    <s v="profit"/>
    <s v="medium"/>
    <n v="4.2952232861390556"/>
  </r>
  <r>
    <x v="526"/>
    <x v="182"/>
    <s v="CUST-0053"/>
    <s v="Small Business"/>
    <x v="0"/>
    <x v="0"/>
    <x v="3"/>
    <x v="20"/>
    <n v="4"/>
    <n v="149.85"/>
    <n v="0.1"/>
    <n v="539.46"/>
    <n v="83.54"/>
    <n v="205.3"/>
    <x v="3"/>
    <x v="2"/>
    <n v="3"/>
    <s v="Jul"/>
    <s v="07"/>
    <s v="profit"/>
    <s v="medium"/>
    <n v="38.056575093612132"/>
  </r>
  <r>
    <x v="527"/>
    <x v="183"/>
    <s v="CUST-0376"/>
    <s v="Consumer"/>
    <x v="2"/>
    <x v="2"/>
    <x v="2"/>
    <x v="13"/>
    <n v="2"/>
    <n v="1028.79"/>
    <n v="0.05"/>
    <n v="1954.7009999999998"/>
    <n v="901.68"/>
    <n v="151.34099999999989"/>
    <x v="4"/>
    <x v="7"/>
    <n v="4"/>
    <s v="Jul"/>
    <s v="07"/>
    <s v="profit"/>
    <s v="medium"/>
    <n v="7.7424117550459082"/>
  </r>
  <r>
    <x v="528"/>
    <x v="183"/>
    <s v="CUST-0147"/>
    <s v="Small Business"/>
    <x v="0"/>
    <x v="0"/>
    <x v="2"/>
    <x v="13"/>
    <n v="5"/>
    <n v="651.29"/>
    <n v="0.05"/>
    <n v="3093.6274999999996"/>
    <n v="545.54"/>
    <n v="365.92749999999978"/>
    <x v="4"/>
    <x v="2"/>
    <n v="3"/>
    <s v="Jul"/>
    <s v="07"/>
    <s v="profit"/>
    <s v="large"/>
    <n v="11.828427953914938"/>
  </r>
  <r>
    <x v="529"/>
    <x v="183"/>
    <s v="CUST-0220"/>
    <s v="Corporate"/>
    <x v="3"/>
    <x v="10"/>
    <x v="1"/>
    <x v="1"/>
    <n v="2"/>
    <n v="189.01"/>
    <n v="0"/>
    <n v="378.02"/>
    <n v="116.62"/>
    <n v="144.77999999999997"/>
    <x v="1"/>
    <x v="0"/>
    <n v="5"/>
    <s v="Jul"/>
    <s v="07"/>
    <s v="profit"/>
    <s v="small"/>
    <n v="38.299560869795243"/>
  </r>
  <r>
    <x v="530"/>
    <x v="183"/>
    <s v="CUST-0044"/>
    <s v="Corporate"/>
    <x v="0"/>
    <x v="5"/>
    <x v="0"/>
    <x v="8"/>
    <n v="5"/>
    <n v="210.15"/>
    <n v="0.2"/>
    <n v="840.6"/>
    <n v="113.35"/>
    <n v="273.85000000000002"/>
    <x v="0"/>
    <x v="6"/>
    <n v="5"/>
    <s v="Jul"/>
    <s v="07"/>
    <s v="profit"/>
    <s v="medium"/>
    <n v="32.577920532952653"/>
  </r>
  <r>
    <x v="531"/>
    <x v="183"/>
    <s v="CUST-0366"/>
    <s v="Small Business"/>
    <x v="3"/>
    <x v="10"/>
    <x v="2"/>
    <x v="10"/>
    <n v="1"/>
    <n v="944.95"/>
    <n v="0.1"/>
    <n v="850.45500000000004"/>
    <n v="845.2"/>
    <n v="5.2549999999999955"/>
    <x v="2"/>
    <x v="1"/>
    <n v="4"/>
    <s v="Jul"/>
    <s v="07"/>
    <s v="profit"/>
    <s v="medium"/>
    <n v="0.61790453345562024"/>
  </r>
  <r>
    <x v="532"/>
    <x v="183"/>
    <s v="CUST-0313"/>
    <s v="Consumer"/>
    <x v="2"/>
    <x v="3"/>
    <x v="3"/>
    <x v="9"/>
    <n v="5"/>
    <n v="619.01"/>
    <n v="0.15"/>
    <n v="2630.7925"/>
    <n v="425.42"/>
    <n v="503.69250000000011"/>
    <x v="1"/>
    <x v="0"/>
    <n v="4"/>
    <s v="Jul"/>
    <s v="07"/>
    <s v="profit"/>
    <s v="large"/>
    <n v="19.146036793095618"/>
  </r>
  <r>
    <x v="533"/>
    <x v="183"/>
    <s v="CUST-0276"/>
    <s v="Corporate"/>
    <x v="1"/>
    <x v="4"/>
    <x v="3"/>
    <x v="20"/>
    <n v="6"/>
    <n v="134.62"/>
    <n v="0"/>
    <n v="807.72"/>
    <n v="77.069999999999993"/>
    <n v="345.30000000000007"/>
    <x v="1"/>
    <x v="3"/>
    <n v="4"/>
    <s v="Jul"/>
    <s v="07"/>
    <s v="profit"/>
    <s v="medium"/>
    <n v="42.749962858416289"/>
  </r>
  <r>
    <x v="534"/>
    <x v="183"/>
    <s v="CUST-0277"/>
    <s v="Small Business"/>
    <x v="2"/>
    <x v="2"/>
    <x v="0"/>
    <x v="0"/>
    <n v="1"/>
    <n v="31.03"/>
    <n v="0"/>
    <n v="31.03"/>
    <n v="15.89"/>
    <n v="15.14"/>
    <x v="0"/>
    <x v="4"/>
    <n v="5"/>
    <s v="Jul"/>
    <s v="07"/>
    <s v="profit"/>
    <s v="small"/>
    <n v="48.791492104415077"/>
  </r>
  <r>
    <x v="535"/>
    <x v="183"/>
    <s v="CUST-0064"/>
    <s v="Consumer"/>
    <x v="0"/>
    <x v="6"/>
    <x v="4"/>
    <x v="7"/>
    <n v="1"/>
    <n v="1188.26"/>
    <n v="0.05"/>
    <n v="1128.847"/>
    <n v="924.36"/>
    <n v="204.48699999999997"/>
    <x v="3"/>
    <x v="0"/>
    <n v="3"/>
    <s v="Jul"/>
    <s v="07"/>
    <s v="profit"/>
    <s v="medium"/>
    <n v="18.114678074176567"/>
  </r>
  <r>
    <x v="536"/>
    <x v="183"/>
    <s v="CUST-0367"/>
    <s v="Small Business"/>
    <x v="3"/>
    <x v="8"/>
    <x v="1"/>
    <x v="1"/>
    <n v="1"/>
    <n v="181.86"/>
    <n v="0.1"/>
    <n v="163.67400000000001"/>
    <n v="127.81"/>
    <n v="35.864000000000004"/>
    <x v="4"/>
    <x v="6"/>
    <n v="4"/>
    <s v="Jul"/>
    <s v="07"/>
    <s v="profit"/>
    <s v="small"/>
    <n v="21.91184916358127"/>
  </r>
  <r>
    <x v="537"/>
    <x v="184"/>
    <s v="CUST-0211"/>
    <s v="Consumer"/>
    <x v="2"/>
    <x v="11"/>
    <x v="2"/>
    <x v="5"/>
    <n v="1"/>
    <n v="169.44"/>
    <n v="0.1"/>
    <n v="152.49600000000001"/>
    <n v="147.6"/>
    <n v="4.896000000000015"/>
    <x v="3"/>
    <x v="5"/>
    <n v="4"/>
    <s v="Jul"/>
    <s v="07"/>
    <s v="profit"/>
    <s v="small"/>
    <n v="3.2105760151086029"/>
  </r>
  <r>
    <x v="538"/>
    <x v="184"/>
    <s v="CUST-0136"/>
    <s v="Small Business"/>
    <x v="1"/>
    <x v="9"/>
    <x v="2"/>
    <x v="13"/>
    <n v="3"/>
    <n v="656.93"/>
    <n v="0.1"/>
    <n v="1773.711"/>
    <n v="554.85"/>
    <n v="109.16099999999983"/>
    <x v="1"/>
    <x v="6"/>
    <n v="5"/>
    <s v="Jul"/>
    <s v="07"/>
    <s v="profit"/>
    <s v="medium"/>
    <n v="6.1543847898558353"/>
  </r>
  <r>
    <x v="539"/>
    <x v="185"/>
    <s v="CUST-0235"/>
    <s v="Consumer"/>
    <x v="3"/>
    <x v="7"/>
    <x v="1"/>
    <x v="1"/>
    <n v="2"/>
    <n v="311.47000000000003"/>
    <n v="0.05"/>
    <n v="591.79300000000001"/>
    <n v="207.63"/>
    <n v="176.53300000000002"/>
    <x v="2"/>
    <x v="2"/>
    <n v="4"/>
    <s v="Jul"/>
    <s v="07"/>
    <s v="profit"/>
    <s v="medium"/>
    <n v="29.830194003646547"/>
  </r>
  <r>
    <x v="540"/>
    <x v="185"/>
    <s v="CUST-0062"/>
    <s v="Corporate"/>
    <x v="2"/>
    <x v="3"/>
    <x v="0"/>
    <x v="17"/>
    <n v="3"/>
    <n v="28.16"/>
    <n v="0.05"/>
    <n v="80.256"/>
    <n v="11.66"/>
    <n v="45.275999999999996"/>
    <x v="2"/>
    <x v="1"/>
    <n v="2"/>
    <s v="Jul"/>
    <s v="07"/>
    <s v="profit"/>
    <s v="small"/>
    <n v="56.41447368421052"/>
  </r>
  <r>
    <x v="541"/>
    <x v="186"/>
    <s v="CUST-0302"/>
    <s v="Corporate"/>
    <x v="2"/>
    <x v="11"/>
    <x v="2"/>
    <x v="5"/>
    <n v="1"/>
    <n v="112.33"/>
    <n v="0"/>
    <n v="112.33"/>
    <n v="94.79"/>
    <n v="17.539999999999992"/>
    <x v="3"/>
    <x v="1"/>
    <n v="5"/>
    <s v="Jul"/>
    <s v="07"/>
    <s v="profit"/>
    <s v="small"/>
    <n v="15.614706667853639"/>
  </r>
  <r>
    <x v="542"/>
    <x v="186"/>
    <s v="CUST-0290"/>
    <s v="Corporate"/>
    <x v="0"/>
    <x v="0"/>
    <x v="2"/>
    <x v="12"/>
    <n v="2"/>
    <n v="151.15"/>
    <n v="0.05"/>
    <n v="287.185"/>
    <n v="123.62"/>
    <n v="39.944999999999993"/>
    <x v="0"/>
    <x v="6"/>
    <n v="4"/>
    <s v="Jul"/>
    <s v="07"/>
    <s v="profit"/>
    <s v="small"/>
    <n v="13.909152636802059"/>
  </r>
  <r>
    <x v="543"/>
    <x v="187"/>
    <s v="CUST-0373"/>
    <s v="Corporate"/>
    <x v="1"/>
    <x v="1"/>
    <x v="1"/>
    <x v="15"/>
    <n v="3"/>
    <n v="159.53"/>
    <n v="0"/>
    <n v="478.59000000000003"/>
    <n v="103.54"/>
    <n v="167.97000000000003"/>
    <x v="3"/>
    <x v="6"/>
    <n v="4"/>
    <s v="Jul"/>
    <s v="07"/>
    <s v="profit"/>
    <s v="small"/>
    <n v="35.096846988027337"/>
  </r>
  <r>
    <x v="544"/>
    <x v="187"/>
    <s v="CUST-0085"/>
    <s v="Small Business"/>
    <x v="1"/>
    <x v="9"/>
    <x v="3"/>
    <x v="9"/>
    <n v="1"/>
    <n v="501.65"/>
    <n v="0"/>
    <n v="501.65"/>
    <n v="280.11"/>
    <n v="221.53999999999996"/>
    <x v="3"/>
    <x v="1"/>
    <n v="4"/>
    <s v="Jul"/>
    <s v="07"/>
    <s v="profit"/>
    <s v="medium"/>
    <n v="44.162264527060699"/>
  </r>
  <r>
    <x v="545"/>
    <x v="187"/>
    <s v="CUST-0258"/>
    <s v="Consumer"/>
    <x v="0"/>
    <x v="5"/>
    <x v="2"/>
    <x v="2"/>
    <n v="2"/>
    <n v="111.51"/>
    <n v="0.1"/>
    <n v="200.71800000000002"/>
    <n v="84.38"/>
    <n v="31.958000000000027"/>
    <x v="3"/>
    <x v="3"/>
    <n v="5"/>
    <s v="Jul"/>
    <s v="07"/>
    <s v="profit"/>
    <s v="small"/>
    <n v="15.92184059227375"/>
  </r>
  <r>
    <x v="546"/>
    <x v="187"/>
    <s v="CUST-0206"/>
    <s v="Small Business"/>
    <x v="1"/>
    <x v="4"/>
    <x v="4"/>
    <x v="11"/>
    <n v="5"/>
    <n v="237.74"/>
    <n v="0.1"/>
    <n v="1069.8300000000002"/>
    <n v="156.63999999999999"/>
    <n v="286.63000000000022"/>
    <x v="3"/>
    <x v="0"/>
    <n v="5"/>
    <s v="Jul"/>
    <s v="07"/>
    <s v="profit"/>
    <s v="medium"/>
    <n v="26.792107157211909"/>
  </r>
  <r>
    <x v="547"/>
    <x v="188"/>
    <s v="CUST-0051"/>
    <s v="Small Business"/>
    <x v="2"/>
    <x v="11"/>
    <x v="2"/>
    <x v="12"/>
    <n v="1"/>
    <n v="249.28"/>
    <n v="0"/>
    <n v="249.28"/>
    <n v="223.45"/>
    <n v="25.830000000000013"/>
    <x v="4"/>
    <x v="1"/>
    <n v="3"/>
    <s v="Jul"/>
    <s v="07"/>
    <s v="profit"/>
    <s v="small"/>
    <n v="10.361842105263163"/>
  </r>
  <r>
    <x v="548"/>
    <x v="189"/>
    <s v="CUST-0014"/>
    <s v="Small Business"/>
    <x v="3"/>
    <x v="7"/>
    <x v="4"/>
    <x v="14"/>
    <n v="3"/>
    <n v="137.06"/>
    <n v="0"/>
    <n v="411.18"/>
    <n v="83.55"/>
    <n v="160.53000000000003"/>
    <x v="3"/>
    <x v="1"/>
    <n v="4"/>
    <s v="Jul"/>
    <s v="07"/>
    <s v="profit"/>
    <s v="small"/>
    <n v="39.041295782868822"/>
  </r>
  <r>
    <x v="549"/>
    <x v="189"/>
    <s v="CUST-0301"/>
    <s v="Consumer"/>
    <x v="0"/>
    <x v="0"/>
    <x v="4"/>
    <x v="7"/>
    <n v="1"/>
    <n v="1103.71"/>
    <n v="0.1"/>
    <n v="993.33900000000006"/>
    <n v="826.03"/>
    <n v="167.30900000000008"/>
    <x v="1"/>
    <x v="6"/>
    <n v="5"/>
    <s v="Jul"/>
    <s v="07"/>
    <s v="profit"/>
    <s v="medium"/>
    <n v="16.843091834711018"/>
  </r>
  <r>
    <x v="550"/>
    <x v="190"/>
    <s v="CUST-0010"/>
    <s v="Corporate"/>
    <x v="1"/>
    <x v="4"/>
    <x v="4"/>
    <x v="18"/>
    <n v="2"/>
    <n v="148.32"/>
    <n v="0"/>
    <n v="296.64"/>
    <n v="106.58"/>
    <n v="83.47999999999999"/>
    <x v="2"/>
    <x v="2"/>
    <n v="3"/>
    <s v="Jul"/>
    <s v="07"/>
    <s v="profit"/>
    <s v="small"/>
    <n v="28.141855447680687"/>
  </r>
  <r>
    <x v="551"/>
    <x v="191"/>
    <s v="CUST-0073"/>
    <s v="Corporate"/>
    <x v="0"/>
    <x v="5"/>
    <x v="0"/>
    <x v="0"/>
    <n v="2"/>
    <n v="44.8"/>
    <n v="0.1"/>
    <n v="80.64"/>
    <n v="24.56"/>
    <n v="31.520000000000003"/>
    <x v="2"/>
    <x v="3"/>
    <n v="5"/>
    <s v="Jul"/>
    <s v="07"/>
    <s v="profit"/>
    <s v="small"/>
    <n v="39.087301587301596"/>
  </r>
  <r>
    <x v="552"/>
    <x v="191"/>
    <s v="CUST-0318"/>
    <s v="Corporate"/>
    <x v="0"/>
    <x v="0"/>
    <x v="0"/>
    <x v="3"/>
    <n v="5"/>
    <n v="155.36000000000001"/>
    <n v="0.2"/>
    <n v="621.44000000000005"/>
    <n v="79.42"/>
    <n v="224.34000000000003"/>
    <x v="4"/>
    <x v="5"/>
    <n v="2"/>
    <s v="Jul"/>
    <s v="07"/>
    <s v="profit"/>
    <s v="medium"/>
    <n v="36.100025746652939"/>
  </r>
  <r>
    <x v="553"/>
    <x v="191"/>
    <s v="CUST-0262"/>
    <s v="Corporate"/>
    <x v="1"/>
    <x v="1"/>
    <x v="3"/>
    <x v="9"/>
    <n v="5"/>
    <n v="538.61"/>
    <n v="0"/>
    <n v="2693.05"/>
    <n v="313.52999999999997"/>
    <n v="1125.4000000000003"/>
    <x v="3"/>
    <x v="3"/>
    <n v="5"/>
    <s v="Jul"/>
    <s v="07"/>
    <s v="profit"/>
    <s v="large"/>
    <n v="41.789049590612883"/>
  </r>
  <r>
    <x v="554"/>
    <x v="191"/>
    <s v="CUST-0222"/>
    <s v="Consumer"/>
    <x v="3"/>
    <x v="10"/>
    <x v="0"/>
    <x v="8"/>
    <n v="3"/>
    <n v="60.7"/>
    <n v="0"/>
    <n v="182.10000000000002"/>
    <n v="28.86"/>
    <n v="95.520000000000024"/>
    <x v="2"/>
    <x v="7"/>
    <n v="5"/>
    <s v="Jul"/>
    <s v="07"/>
    <s v="profit"/>
    <s v="small"/>
    <n v="52.454695222405277"/>
  </r>
  <r>
    <x v="555"/>
    <x v="191"/>
    <s v="CUST-0108"/>
    <s v="Corporate"/>
    <x v="2"/>
    <x v="3"/>
    <x v="3"/>
    <x v="9"/>
    <n v="3"/>
    <n v="786.77"/>
    <n v="0"/>
    <n v="2360.31"/>
    <n v="478.71"/>
    <n v="924.18000000000006"/>
    <x v="2"/>
    <x v="7"/>
    <n v="1"/>
    <s v="Jul"/>
    <s v="07"/>
    <s v="profit"/>
    <s v="large"/>
    <n v="39.155026246552367"/>
  </r>
  <r>
    <x v="556"/>
    <x v="192"/>
    <s v="CUST-0357"/>
    <s v="Small Business"/>
    <x v="0"/>
    <x v="5"/>
    <x v="1"/>
    <x v="19"/>
    <n v="1"/>
    <n v="82.83"/>
    <n v="0.05"/>
    <n v="78.688499999999991"/>
    <n v="62.05"/>
    <n v="16.638499999999993"/>
    <x v="1"/>
    <x v="6"/>
    <n v="4"/>
    <s v="Jul"/>
    <s v="07"/>
    <s v="profit"/>
    <s v="small"/>
    <n v="21.144767024406356"/>
  </r>
  <r>
    <x v="557"/>
    <x v="192"/>
    <s v="CUST-0193"/>
    <s v="Small Business"/>
    <x v="1"/>
    <x v="9"/>
    <x v="1"/>
    <x v="19"/>
    <n v="1"/>
    <n v="76.17"/>
    <n v="0.2"/>
    <n v="60.936000000000007"/>
    <n v="43.53"/>
    <n v="17.406000000000006"/>
    <x v="0"/>
    <x v="6"/>
    <n v="3"/>
    <s v="Jul"/>
    <s v="07"/>
    <s v="profit"/>
    <s v="small"/>
    <n v="28.56439543127216"/>
  </r>
  <r>
    <x v="558"/>
    <x v="192"/>
    <s v="CUST-0389"/>
    <s v="Corporate"/>
    <x v="3"/>
    <x v="8"/>
    <x v="1"/>
    <x v="19"/>
    <n v="1"/>
    <n v="36.85"/>
    <n v="0.1"/>
    <n v="33.164999999999999"/>
    <n v="24.91"/>
    <n v="8.254999999999999"/>
    <x v="0"/>
    <x v="4"/>
    <n v="2"/>
    <s v="Jul"/>
    <s v="07"/>
    <s v="profit"/>
    <s v="small"/>
    <n v="24.890698025026381"/>
  </r>
  <r>
    <x v="559"/>
    <x v="193"/>
    <s v="CUST-0361"/>
    <s v="Small Business"/>
    <x v="1"/>
    <x v="1"/>
    <x v="0"/>
    <x v="8"/>
    <n v="1"/>
    <n v="186.47"/>
    <n v="0.05"/>
    <n v="177.1465"/>
    <n v="110.9"/>
    <n v="66.246499999999997"/>
    <x v="2"/>
    <x v="4"/>
    <n v="1"/>
    <s v="Jul"/>
    <s v="07"/>
    <s v="profit"/>
    <s v="small"/>
    <n v="37.396448702062976"/>
  </r>
  <r>
    <x v="560"/>
    <x v="193"/>
    <s v="CUST-0290"/>
    <s v="Small Business"/>
    <x v="1"/>
    <x v="4"/>
    <x v="3"/>
    <x v="20"/>
    <n v="3"/>
    <n v="46.64"/>
    <n v="0.1"/>
    <n v="125.92800000000001"/>
    <n v="32.39"/>
    <n v="28.75800000000001"/>
    <x v="2"/>
    <x v="3"/>
    <n v="2"/>
    <s v="Jul"/>
    <s v="07"/>
    <s v="profit"/>
    <s v="small"/>
    <n v="22.83685915761388"/>
  </r>
  <r>
    <x v="561"/>
    <x v="193"/>
    <s v="CUST-0348"/>
    <s v="Consumer"/>
    <x v="3"/>
    <x v="10"/>
    <x v="2"/>
    <x v="10"/>
    <n v="4"/>
    <n v="745.57"/>
    <n v="0"/>
    <n v="2982.28"/>
    <n v="566.61"/>
    <n v="715.84000000000015"/>
    <x v="2"/>
    <x v="1"/>
    <n v="4"/>
    <s v="Jul"/>
    <s v="07"/>
    <s v="profit"/>
    <s v="large"/>
    <n v="24.003111713185888"/>
  </r>
  <r>
    <x v="562"/>
    <x v="194"/>
    <s v="CUST-0141"/>
    <s v="Consumer"/>
    <x v="0"/>
    <x v="6"/>
    <x v="3"/>
    <x v="4"/>
    <n v="2"/>
    <n v="47.64"/>
    <n v="0.2"/>
    <n v="76.224000000000004"/>
    <n v="29.62"/>
    <n v="16.984000000000002"/>
    <x v="2"/>
    <x v="0"/>
    <n v="4"/>
    <s v="Jul"/>
    <s v="07"/>
    <s v="profit"/>
    <s v="small"/>
    <n v="22.281696053736358"/>
  </r>
  <r>
    <x v="563"/>
    <x v="194"/>
    <s v="CUST-0201"/>
    <s v="Consumer"/>
    <x v="2"/>
    <x v="11"/>
    <x v="0"/>
    <x v="17"/>
    <n v="2"/>
    <n v="31.86"/>
    <n v="0"/>
    <n v="63.72"/>
    <n v="18.920000000000002"/>
    <n v="25.879999999999995"/>
    <x v="0"/>
    <x v="2"/>
    <n v="5"/>
    <s v="Jul"/>
    <s v="07"/>
    <s v="profit"/>
    <s v="small"/>
    <n v="40.615191462649079"/>
  </r>
  <r>
    <x v="564"/>
    <x v="194"/>
    <s v="CUST-0033"/>
    <s v="Small Business"/>
    <x v="0"/>
    <x v="0"/>
    <x v="1"/>
    <x v="15"/>
    <n v="1"/>
    <n v="196.28"/>
    <n v="0"/>
    <n v="196.28"/>
    <n v="130.57"/>
    <n v="65.710000000000008"/>
    <x v="3"/>
    <x v="5"/>
    <n v="4"/>
    <s v="Jul"/>
    <s v="07"/>
    <s v="profit"/>
    <s v="small"/>
    <n v="33.477684939881804"/>
  </r>
  <r>
    <x v="565"/>
    <x v="195"/>
    <s v="CUST-0171"/>
    <s v="Small Business"/>
    <x v="1"/>
    <x v="4"/>
    <x v="1"/>
    <x v="6"/>
    <n v="8"/>
    <n v="216.51"/>
    <n v="0.15"/>
    <n v="1472.2679999999998"/>
    <n v="151.68"/>
    <n v="258.82799999999975"/>
    <x v="4"/>
    <x v="2"/>
    <n v="5"/>
    <s v="Jul"/>
    <s v="07"/>
    <s v="profit"/>
    <s v="medium"/>
    <n v="17.580223165890978"/>
  </r>
  <r>
    <x v="566"/>
    <x v="195"/>
    <s v="CUST-0356"/>
    <s v="Consumer"/>
    <x v="0"/>
    <x v="0"/>
    <x v="0"/>
    <x v="17"/>
    <n v="6"/>
    <n v="24.88"/>
    <n v="0"/>
    <n v="149.28"/>
    <n v="12.57"/>
    <n v="73.86"/>
    <x v="4"/>
    <x v="5"/>
    <n v="5"/>
    <s v="Jul"/>
    <s v="07"/>
    <s v="profit"/>
    <s v="small"/>
    <n v="49.477491961414785"/>
  </r>
  <r>
    <x v="567"/>
    <x v="195"/>
    <s v="CUST-0196"/>
    <s v="Corporate"/>
    <x v="0"/>
    <x v="5"/>
    <x v="0"/>
    <x v="8"/>
    <n v="1"/>
    <n v="151.88"/>
    <n v="0"/>
    <n v="151.88"/>
    <n v="82.33"/>
    <n v="69.55"/>
    <x v="3"/>
    <x v="6"/>
    <n v="3"/>
    <s v="Jul"/>
    <s v="07"/>
    <s v="profit"/>
    <s v="small"/>
    <n v="45.792731103502767"/>
  </r>
  <r>
    <x v="568"/>
    <x v="195"/>
    <s v="CUST-0346"/>
    <s v="Consumer"/>
    <x v="1"/>
    <x v="9"/>
    <x v="0"/>
    <x v="17"/>
    <n v="3"/>
    <n v="20.239999999999998"/>
    <n v="0"/>
    <n v="60.72"/>
    <n v="10.81"/>
    <n v="28.29"/>
    <x v="1"/>
    <x v="7"/>
    <n v="4"/>
    <s v="Jul"/>
    <s v="07"/>
    <s v="profit"/>
    <s v="small"/>
    <n v="46.590909090909086"/>
  </r>
  <r>
    <x v="569"/>
    <x v="195"/>
    <s v="CUST-0182"/>
    <s v="Corporate"/>
    <x v="3"/>
    <x v="10"/>
    <x v="2"/>
    <x v="10"/>
    <n v="1"/>
    <n v="1096.3800000000001"/>
    <n v="0.05"/>
    <n v="1041.5610000000001"/>
    <n v="975.63"/>
    <n v="65.931000000000154"/>
    <x v="1"/>
    <x v="0"/>
    <n v="3"/>
    <s v="Jul"/>
    <s v="07"/>
    <s v="profit"/>
    <s v="medium"/>
    <n v="6.330018117037806"/>
  </r>
  <r>
    <x v="570"/>
    <x v="196"/>
    <s v="CUST-0160"/>
    <s v="Small Business"/>
    <x v="1"/>
    <x v="9"/>
    <x v="2"/>
    <x v="10"/>
    <n v="8"/>
    <n v="695.37"/>
    <n v="0.1"/>
    <n v="5006.6639999999998"/>
    <n v="593.32000000000005"/>
    <n v="260.10399999999936"/>
    <x v="2"/>
    <x v="3"/>
    <n v="3"/>
    <s v="Jul"/>
    <s v="07"/>
    <s v="profit"/>
    <s v="large"/>
    <n v="5.195155896221503"/>
  </r>
  <r>
    <x v="571"/>
    <x v="196"/>
    <s v="CUST-0287"/>
    <s v="Consumer"/>
    <x v="3"/>
    <x v="7"/>
    <x v="4"/>
    <x v="18"/>
    <n v="1"/>
    <n v="115.3"/>
    <n v="0.15"/>
    <n v="98.004999999999995"/>
    <n v="69.87"/>
    <n v="28.134999999999991"/>
    <x v="1"/>
    <x v="7"/>
    <n v="3"/>
    <s v="Jul"/>
    <s v="07"/>
    <s v="profit"/>
    <s v="small"/>
    <n v="28.707718993928871"/>
  </r>
  <r>
    <x v="572"/>
    <x v="197"/>
    <s v="CUST-0355"/>
    <s v="Corporate"/>
    <x v="1"/>
    <x v="9"/>
    <x v="2"/>
    <x v="13"/>
    <n v="3"/>
    <n v="928.21"/>
    <n v="0.05"/>
    <n v="2645.3984999999998"/>
    <n v="787.83"/>
    <n v="281.90849999999955"/>
    <x v="2"/>
    <x v="7"/>
    <n v="4"/>
    <s v="Jul"/>
    <s v="07"/>
    <s v="profit"/>
    <s v="large"/>
    <n v="10.656560816829661"/>
  </r>
  <r>
    <x v="573"/>
    <x v="197"/>
    <s v="CUST-0115"/>
    <s v="Small Business"/>
    <x v="0"/>
    <x v="6"/>
    <x v="0"/>
    <x v="0"/>
    <n v="1"/>
    <n v="31.82"/>
    <n v="0"/>
    <n v="31.82"/>
    <n v="13.71"/>
    <n v="18.11"/>
    <x v="4"/>
    <x v="0"/>
    <n v="4"/>
    <s v="Jul"/>
    <s v="07"/>
    <s v="profit"/>
    <s v="small"/>
    <n v="56.913890634820859"/>
  </r>
  <r>
    <x v="574"/>
    <x v="198"/>
    <s v="CUST-0006"/>
    <s v="Consumer"/>
    <x v="1"/>
    <x v="4"/>
    <x v="2"/>
    <x v="5"/>
    <n v="5"/>
    <n v="247.96"/>
    <n v="0"/>
    <n v="1239.8"/>
    <n v="209.18"/>
    <n v="193.89999999999986"/>
    <x v="0"/>
    <x v="5"/>
    <n v="4"/>
    <s v="Jul"/>
    <s v="07"/>
    <s v="profit"/>
    <s v="medium"/>
    <n v="15.639619293434414"/>
  </r>
  <r>
    <x v="575"/>
    <x v="199"/>
    <s v="CUST-0146"/>
    <s v="Consumer"/>
    <x v="2"/>
    <x v="3"/>
    <x v="2"/>
    <x v="12"/>
    <n v="10"/>
    <n v="256.92"/>
    <n v="0"/>
    <n v="2569.2000000000003"/>
    <n v="208.66"/>
    <n v="482.60000000000036"/>
    <x v="4"/>
    <x v="1"/>
    <n v="5"/>
    <s v="Aug"/>
    <s v="08"/>
    <s v="profit"/>
    <s v="large"/>
    <n v="18.784057294099345"/>
  </r>
  <r>
    <x v="576"/>
    <x v="199"/>
    <s v="CUST-0195"/>
    <s v="Small Business"/>
    <x v="2"/>
    <x v="3"/>
    <x v="4"/>
    <x v="11"/>
    <n v="1"/>
    <n v="205.7"/>
    <n v="0.1"/>
    <n v="185.13"/>
    <n v="163.68"/>
    <n v="21.449999999999989"/>
    <x v="3"/>
    <x v="7"/>
    <n v="5"/>
    <s v="Aug"/>
    <s v="08"/>
    <s v="profit"/>
    <s v="small"/>
    <n v="11.586452762923345"/>
  </r>
  <r>
    <x v="577"/>
    <x v="199"/>
    <s v="CUST-0223"/>
    <s v="Small Business"/>
    <x v="3"/>
    <x v="10"/>
    <x v="4"/>
    <x v="11"/>
    <n v="10"/>
    <n v="297.43"/>
    <n v="0.2"/>
    <n v="2379.44"/>
    <n v="215.79"/>
    <n v="221.53999999999996"/>
    <x v="3"/>
    <x v="2"/>
    <n v="3"/>
    <s v="Aug"/>
    <s v="08"/>
    <s v="profit"/>
    <s v="large"/>
    <n v="9.3105940893655639"/>
  </r>
  <r>
    <x v="578"/>
    <x v="200"/>
    <s v="CUST-0126"/>
    <s v="Consumer"/>
    <x v="2"/>
    <x v="11"/>
    <x v="3"/>
    <x v="16"/>
    <n v="3"/>
    <n v="48.96"/>
    <n v="0.2"/>
    <n v="117.504"/>
    <n v="33.020000000000003"/>
    <n v="18.444000000000003"/>
    <x v="2"/>
    <x v="4"/>
    <n v="5"/>
    <s v="Aug"/>
    <s v="08"/>
    <s v="profit"/>
    <s v="small"/>
    <n v="15.696486928104578"/>
  </r>
  <r>
    <x v="579"/>
    <x v="201"/>
    <s v="CUST-0251"/>
    <s v="Consumer"/>
    <x v="2"/>
    <x v="3"/>
    <x v="4"/>
    <x v="11"/>
    <n v="5"/>
    <n v="277.29000000000002"/>
    <n v="0.2"/>
    <n v="1109.1600000000001"/>
    <n v="218.88"/>
    <n v="14.759999999999991"/>
    <x v="3"/>
    <x v="0"/>
    <n v="5"/>
    <s v="Aug"/>
    <s v="08"/>
    <s v="profit"/>
    <s v="medium"/>
    <n v="1.3307367737747475"/>
  </r>
  <r>
    <x v="580"/>
    <x v="201"/>
    <s v="CUST-0365"/>
    <s v="Corporate"/>
    <x v="2"/>
    <x v="11"/>
    <x v="0"/>
    <x v="0"/>
    <n v="2"/>
    <n v="58.06"/>
    <n v="0"/>
    <n v="116.12"/>
    <n v="26.83"/>
    <n v="62.460000000000008"/>
    <x v="2"/>
    <x v="0"/>
    <n v="5"/>
    <s v="Aug"/>
    <s v="08"/>
    <s v="profit"/>
    <s v="small"/>
    <n v="53.789183603169143"/>
  </r>
  <r>
    <x v="581"/>
    <x v="201"/>
    <s v="CUST-0121"/>
    <s v="Corporate"/>
    <x v="0"/>
    <x v="0"/>
    <x v="0"/>
    <x v="8"/>
    <n v="1"/>
    <n v="146.71"/>
    <n v="0"/>
    <n v="146.71"/>
    <n v="71.959999999999994"/>
    <n v="74.750000000000014"/>
    <x v="4"/>
    <x v="1"/>
    <n v="4"/>
    <s v="Aug"/>
    <s v="08"/>
    <s v="profit"/>
    <s v="small"/>
    <n v="50.950855429077777"/>
  </r>
  <r>
    <x v="582"/>
    <x v="202"/>
    <s v="CUST-0266"/>
    <s v="Corporate"/>
    <x v="0"/>
    <x v="0"/>
    <x v="4"/>
    <x v="11"/>
    <n v="4"/>
    <n v="569.04"/>
    <n v="0"/>
    <n v="2276.16"/>
    <n v="412.66"/>
    <n v="625.51999999999975"/>
    <x v="4"/>
    <x v="5"/>
    <n v="4"/>
    <s v="Aug"/>
    <s v="08"/>
    <s v="profit"/>
    <s v="large"/>
    <n v="27.481372135526495"/>
  </r>
  <r>
    <x v="583"/>
    <x v="202"/>
    <s v="CUST-0092"/>
    <s v="Corporate"/>
    <x v="2"/>
    <x v="11"/>
    <x v="0"/>
    <x v="3"/>
    <n v="2"/>
    <n v="94.14"/>
    <n v="0"/>
    <n v="188.28"/>
    <n v="51.01"/>
    <n v="86.26"/>
    <x v="4"/>
    <x v="1"/>
    <n v="4"/>
    <s v="Aug"/>
    <s v="08"/>
    <s v="profit"/>
    <s v="small"/>
    <n v="45.814743998300408"/>
  </r>
  <r>
    <x v="584"/>
    <x v="202"/>
    <s v="CUST-0037"/>
    <s v="Corporate"/>
    <x v="0"/>
    <x v="6"/>
    <x v="4"/>
    <x v="14"/>
    <n v="6"/>
    <n v="188.97"/>
    <n v="0"/>
    <n v="1133.82"/>
    <n v="132.21"/>
    <n v="340.55999999999995"/>
    <x v="3"/>
    <x v="4"/>
    <n v="4"/>
    <s v="Aug"/>
    <s v="08"/>
    <s v="profit"/>
    <s v="medium"/>
    <n v="30.036513732338467"/>
  </r>
  <r>
    <x v="585"/>
    <x v="202"/>
    <s v="CUST-0386"/>
    <s v="Small Business"/>
    <x v="2"/>
    <x v="3"/>
    <x v="1"/>
    <x v="6"/>
    <n v="4"/>
    <n v="103.57"/>
    <n v="0.2"/>
    <n v="331.42399999999998"/>
    <n v="60.78"/>
    <n v="88.303999999999974"/>
    <x v="2"/>
    <x v="1"/>
    <n v="1"/>
    <s v="Aug"/>
    <s v="08"/>
    <s v="profit"/>
    <s v="small"/>
    <n v="26.64381577676933"/>
  </r>
  <r>
    <x v="586"/>
    <x v="203"/>
    <s v="CUST-0335"/>
    <s v="Small Business"/>
    <x v="1"/>
    <x v="9"/>
    <x v="4"/>
    <x v="18"/>
    <n v="4"/>
    <n v="208.79"/>
    <n v="0"/>
    <n v="835.16"/>
    <n v="150.16999999999999"/>
    <n v="234.48000000000002"/>
    <x v="4"/>
    <x v="6"/>
    <n v="3"/>
    <s v="Aug"/>
    <s v="08"/>
    <s v="profit"/>
    <s v="medium"/>
    <n v="28.076057282436899"/>
  </r>
  <r>
    <x v="587"/>
    <x v="203"/>
    <s v="CUST-0044"/>
    <s v="Corporate"/>
    <x v="1"/>
    <x v="9"/>
    <x v="1"/>
    <x v="15"/>
    <n v="5"/>
    <n v="110.65"/>
    <n v="0"/>
    <n v="553.25"/>
    <n v="71.569999999999993"/>
    <n v="195.40000000000003"/>
    <x v="4"/>
    <x v="6"/>
    <n v="5"/>
    <s v="Aug"/>
    <s v="08"/>
    <s v="profit"/>
    <s v="medium"/>
    <n v="35.31857207410755"/>
  </r>
  <r>
    <x v="588"/>
    <x v="203"/>
    <s v="CUST-0157"/>
    <s v="Small Business"/>
    <x v="0"/>
    <x v="6"/>
    <x v="1"/>
    <x v="15"/>
    <n v="1"/>
    <n v="104.58"/>
    <n v="0.15"/>
    <n v="88.893000000000001"/>
    <n v="60.59"/>
    <n v="28.302999999999997"/>
    <x v="3"/>
    <x v="0"/>
    <n v="5"/>
    <s v="Aug"/>
    <s v="08"/>
    <s v="profit"/>
    <s v="small"/>
    <n v="31.839402427637719"/>
  </r>
  <r>
    <x v="589"/>
    <x v="203"/>
    <s v="CUST-0012"/>
    <s v="Small Business"/>
    <x v="1"/>
    <x v="9"/>
    <x v="1"/>
    <x v="6"/>
    <n v="2"/>
    <n v="87.35"/>
    <n v="0"/>
    <n v="174.7"/>
    <n v="58.08"/>
    <n v="58.539999999999992"/>
    <x v="3"/>
    <x v="3"/>
    <n v="3"/>
    <s v="Aug"/>
    <s v="08"/>
    <s v="profit"/>
    <s v="small"/>
    <n v="33.508872352604463"/>
  </r>
  <r>
    <x v="590"/>
    <x v="203"/>
    <s v="CUST-0274"/>
    <s v="Corporate"/>
    <x v="1"/>
    <x v="1"/>
    <x v="3"/>
    <x v="9"/>
    <n v="1"/>
    <n v="519.32000000000005"/>
    <n v="0"/>
    <n v="519.32000000000005"/>
    <n v="306.49"/>
    <n v="212.83000000000004"/>
    <x v="4"/>
    <x v="0"/>
    <n v="2"/>
    <s v="Aug"/>
    <s v="08"/>
    <s v="profit"/>
    <s v="medium"/>
    <n v="40.982438573519218"/>
  </r>
  <r>
    <x v="591"/>
    <x v="203"/>
    <s v="CUST-0353"/>
    <s v="Small Business"/>
    <x v="3"/>
    <x v="7"/>
    <x v="0"/>
    <x v="3"/>
    <n v="3"/>
    <n v="116.68"/>
    <n v="0"/>
    <n v="350.04"/>
    <n v="66.959999999999994"/>
    <n v="149.16000000000003"/>
    <x v="1"/>
    <x v="5"/>
    <n v="3"/>
    <s v="Aug"/>
    <s v="08"/>
    <s v="profit"/>
    <s v="small"/>
    <n v="42.612272883099081"/>
  </r>
  <r>
    <x v="592"/>
    <x v="203"/>
    <s v="CUST-0088"/>
    <s v="Corporate"/>
    <x v="0"/>
    <x v="6"/>
    <x v="2"/>
    <x v="12"/>
    <n v="1"/>
    <n v="306.10000000000002"/>
    <n v="0.05"/>
    <n v="290.79500000000002"/>
    <n v="264.79000000000002"/>
    <n v="26.004999999999995"/>
    <x v="1"/>
    <x v="6"/>
    <n v="3"/>
    <s v="Aug"/>
    <s v="08"/>
    <s v="profit"/>
    <s v="small"/>
    <n v="8.9427259753434534"/>
  </r>
  <r>
    <x v="593"/>
    <x v="203"/>
    <s v="CUST-0222"/>
    <s v="Small Business"/>
    <x v="1"/>
    <x v="4"/>
    <x v="2"/>
    <x v="2"/>
    <n v="1"/>
    <n v="234.81"/>
    <n v="0"/>
    <n v="234.81"/>
    <n v="185.15"/>
    <n v="49.66"/>
    <x v="1"/>
    <x v="3"/>
    <n v="4"/>
    <s v="Aug"/>
    <s v="08"/>
    <s v="profit"/>
    <s v="small"/>
    <n v="21.149014096503553"/>
  </r>
  <r>
    <x v="594"/>
    <x v="204"/>
    <s v="CUST-0033"/>
    <s v="Corporate"/>
    <x v="2"/>
    <x v="3"/>
    <x v="3"/>
    <x v="16"/>
    <n v="1"/>
    <n v="87.81"/>
    <n v="0"/>
    <n v="87.81"/>
    <n v="53.83"/>
    <n v="33.980000000000004"/>
    <x v="2"/>
    <x v="4"/>
    <n v="4"/>
    <s v="Aug"/>
    <s v="08"/>
    <s v="profit"/>
    <s v="small"/>
    <n v="38.697187108529782"/>
  </r>
  <r>
    <x v="595"/>
    <x v="204"/>
    <s v="CUST-0178"/>
    <s v="Small Business"/>
    <x v="0"/>
    <x v="6"/>
    <x v="3"/>
    <x v="20"/>
    <n v="3"/>
    <n v="99.03"/>
    <n v="0.15"/>
    <n v="252.52650000000003"/>
    <n v="62.86"/>
    <n v="63.946500000000043"/>
    <x v="0"/>
    <x v="6"/>
    <n v="4"/>
    <s v="Aug"/>
    <s v="08"/>
    <s v="profit"/>
    <s v="small"/>
    <n v="25.322688905916817"/>
  </r>
  <r>
    <x v="596"/>
    <x v="204"/>
    <s v="CUST-0358"/>
    <s v="Small Business"/>
    <x v="1"/>
    <x v="1"/>
    <x v="1"/>
    <x v="15"/>
    <n v="2"/>
    <n v="100.56"/>
    <n v="0.1"/>
    <n v="181.00800000000001"/>
    <n v="71.81"/>
    <n v="37.388000000000005"/>
    <x v="3"/>
    <x v="6"/>
    <n v="4"/>
    <s v="Aug"/>
    <s v="08"/>
    <s v="profit"/>
    <s v="small"/>
    <n v="20.655440643507472"/>
  </r>
  <r>
    <x v="597"/>
    <x v="205"/>
    <s v="CUST-0370"/>
    <s v="Consumer"/>
    <x v="2"/>
    <x v="2"/>
    <x v="2"/>
    <x v="13"/>
    <n v="6"/>
    <n v="519.02"/>
    <n v="0.1"/>
    <n v="2802.7080000000001"/>
    <n v="418.22"/>
    <n v="293.38799999999992"/>
    <x v="1"/>
    <x v="6"/>
    <n v="5"/>
    <s v="Aug"/>
    <s v="08"/>
    <s v="profit"/>
    <s v="large"/>
    <n v="10.468018787544043"/>
  </r>
  <r>
    <x v="598"/>
    <x v="205"/>
    <s v="CUST-0260"/>
    <s v="Consumer"/>
    <x v="2"/>
    <x v="11"/>
    <x v="0"/>
    <x v="8"/>
    <n v="2"/>
    <n v="58.39"/>
    <n v="0"/>
    <n v="116.78"/>
    <n v="36.42"/>
    <n v="43.94"/>
    <x v="1"/>
    <x v="5"/>
    <n v="2"/>
    <s v="Aug"/>
    <s v="08"/>
    <s v="profit"/>
    <s v="small"/>
    <n v="37.626305874293543"/>
  </r>
  <r>
    <x v="599"/>
    <x v="206"/>
    <s v="CUST-0364"/>
    <s v="Consumer"/>
    <x v="3"/>
    <x v="8"/>
    <x v="1"/>
    <x v="1"/>
    <n v="1"/>
    <n v="195.78"/>
    <n v="0"/>
    <n v="195.78"/>
    <n v="117.63"/>
    <n v="78.150000000000006"/>
    <x v="0"/>
    <x v="0"/>
    <n v="4"/>
    <s v="Aug"/>
    <s v="08"/>
    <s v="profit"/>
    <s v="small"/>
    <n v="39.917254060680357"/>
  </r>
  <r>
    <x v="600"/>
    <x v="206"/>
    <s v="CUST-0083"/>
    <s v="Consumer"/>
    <x v="1"/>
    <x v="4"/>
    <x v="2"/>
    <x v="2"/>
    <n v="2"/>
    <n v="323.10000000000002"/>
    <n v="0"/>
    <n v="646.20000000000005"/>
    <n v="256.20999999999998"/>
    <n v="133.78000000000009"/>
    <x v="3"/>
    <x v="2"/>
    <n v="3"/>
    <s v="Aug"/>
    <s v="08"/>
    <s v="profit"/>
    <s v="medium"/>
    <n v="20.702568864128764"/>
  </r>
  <r>
    <x v="601"/>
    <x v="206"/>
    <s v="CUST-0092"/>
    <s v="Consumer"/>
    <x v="0"/>
    <x v="5"/>
    <x v="2"/>
    <x v="12"/>
    <n v="1"/>
    <n v="242.65"/>
    <n v="0.05"/>
    <n v="230.51749999999998"/>
    <n v="193.95"/>
    <n v="36.567499999999995"/>
    <x v="3"/>
    <x v="4"/>
    <n v="4"/>
    <s v="Aug"/>
    <s v="08"/>
    <s v="profit"/>
    <s v="small"/>
    <n v="15.863220796685717"/>
  </r>
  <r>
    <x v="602"/>
    <x v="206"/>
    <s v="CUST-0307"/>
    <s v="Consumer"/>
    <x v="0"/>
    <x v="6"/>
    <x v="2"/>
    <x v="2"/>
    <n v="3"/>
    <n v="317.17"/>
    <n v="0.05"/>
    <n v="903.93449999999996"/>
    <n v="251.37"/>
    <n v="149.82449999999994"/>
    <x v="3"/>
    <x v="6"/>
    <n v="5"/>
    <s v="Aug"/>
    <s v="08"/>
    <s v="profit"/>
    <s v="medium"/>
    <n v="16.574707570072828"/>
  </r>
  <r>
    <x v="603"/>
    <x v="207"/>
    <s v="CUST-0099"/>
    <s v="Small Business"/>
    <x v="0"/>
    <x v="6"/>
    <x v="3"/>
    <x v="9"/>
    <n v="1"/>
    <n v="740.69"/>
    <n v="0"/>
    <n v="740.69"/>
    <n v="525.89"/>
    <n v="214.80000000000007"/>
    <x v="3"/>
    <x v="4"/>
    <n v="5"/>
    <s v="Aug"/>
    <s v="08"/>
    <s v="profit"/>
    <s v="medium"/>
    <n v="28.999986499075192"/>
  </r>
  <r>
    <x v="604"/>
    <x v="207"/>
    <s v="CUST-0320"/>
    <s v="Consumer"/>
    <x v="0"/>
    <x v="6"/>
    <x v="2"/>
    <x v="13"/>
    <n v="2"/>
    <n v="879.21"/>
    <n v="0.1"/>
    <n v="1582.5780000000002"/>
    <n v="785.48"/>
    <n v="11.618000000000166"/>
    <x v="2"/>
    <x v="6"/>
    <n v="5"/>
    <s v="Aug"/>
    <s v="08"/>
    <s v="profit"/>
    <s v="medium"/>
    <n v="0.73411863427901591"/>
  </r>
  <r>
    <x v="605"/>
    <x v="207"/>
    <s v="CUST-0109"/>
    <s v="Corporate"/>
    <x v="0"/>
    <x v="6"/>
    <x v="2"/>
    <x v="13"/>
    <n v="3"/>
    <n v="384.71"/>
    <n v="0"/>
    <n v="1154.1299999999999"/>
    <n v="327.58"/>
    <n v="171.38999999999987"/>
    <x v="4"/>
    <x v="2"/>
    <n v="4"/>
    <s v="Aug"/>
    <s v="08"/>
    <s v="profit"/>
    <s v="medium"/>
    <n v="14.850146863871478"/>
  </r>
  <r>
    <x v="606"/>
    <x v="207"/>
    <s v="CUST-0053"/>
    <s v="Small Business"/>
    <x v="1"/>
    <x v="1"/>
    <x v="4"/>
    <x v="18"/>
    <n v="4"/>
    <n v="68.349999999999994"/>
    <n v="0.05"/>
    <n v="259.72999999999996"/>
    <n v="42.58"/>
    <n v="89.409999999999968"/>
    <x v="2"/>
    <x v="3"/>
    <n v="3"/>
    <s v="Aug"/>
    <s v="08"/>
    <s v="profit"/>
    <s v="small"/>
    <n v="34.424209756285364"/>
  </r>
  <r>
    <x v="607"/>
    <x v="208"/>
    <s v="CUST-0353"/>
    <s v="Corporate"/>
    <x v="3"/>
    <x v="8"/>
    <x v="2"/>
    <x v="5"/>
    <n v="1"/>
    <n v="294.98"/>
    <n v="0.1"/>
    <n v="265.48200000000003"/>
    <n v="234.67"/>
    <n v="30.81200000000004"/>
    <x v="1"/>
    <x v="2"/>
    <n v="4"/>
    <s v="Aug"/>
    <s v="08"/>
    <s v="profit"/>
    <s v="small"/>
    <n v="11.606059921199945"/>
  </r>
  <r>
    <x v="608"/>
    <x v="209"/>
    <s v="CUST-0120"/>
    <s v="Consumer"/>
    <x v="3"/>
    <x v="10"/>
    <x v="0"/>
    <x v="3"/>
    <n v="3"/>
    <n v="85.88"/>
    <n v="0.2"/>
    <n v="206.11199999999999"/>
    <n v="42.07"/>
    <n v="79.901999999999987"/>
    <x v="2"/>
    <x v="2"/>
    <n v="3"/>
    <s v="Aug"/>
    <s v="08"/>
    <s v="profit"/>
    <s v="small"/>
    <n v="38.766301816488117"/>
  </r>
  <r>
    <x v="609"/>
    <x v="209"/>
    <s v="CUST-0105"/>
    <s v="Small Business"/>
    <x v="2"/>
    <x v="11"/>
    <x v="1"/>
    <x v="15"/>
    <n v="1"/>
    <n v="135.36000000000001"/>
    <n v="0"/>
    <n v="135.36000000000001"/>
    <n v="99.9"/>
    <n v="35.460000000000008"/>
    <x v="3"/>
    <x v="4"/>
    <n v="5"/>
    <s v="Aug"/>
    <s v="08"/>
    <s v="profit"/>
    <s v="small"/>
    <n v="26.196808510638302"/>
  </r>
  <r>
    <x v="610"/>
    <x v="209"/>
    <s v="CUST-0267"/>
    <s v="Corporate"/>
    <x v="2"/>
    <x v="11"/>
    <x v="0"/>
    <x v="3"/>
    <n v="3"/>
    <n v="128.71"/>
    <n v="0.1"/>
    <n v="347.517"/>
    <n v="73.09"/>
    <n v="128.24699999999999"/>
    <x v="0"/>
    <x v="5"/>
    <n v="3"/>
    <s v="Aug"/>
    <s v="08"/>
    <s v="profit"/>
    <s v="small"/>
    <n v="36.903806144735363"/>
  </r>
  <r>
    <x v="611"/>
    <x v="210"/>
    <s v="CUST-0196"/>
    <s v="Small Business"/>
    <x v="3"/>
    <x v="10"/>
    <x v="1"/>
    <x v="6"/>
    <n v="3"/>
    <n v="90.87"/>
    <n v="0"/>
    <n v="272.61"/>
    <n v="58.35"/>
    <n v="97.56"/>
    <x v="0"/>
    <x v="3"/>
    <n v="4"/>
    <s v="Aug"/>
    <s v="08"/>
    <s v="profit"/>
    <s v="small"/>
    <n v="35.787388577088144"/>
  </r>
  <r>
    <x v="612"/>
    <x v="210"/>
    <s v="CUST-0282"/>
    <s v="Consumer"/>
    <x v="3"/>
    <x v="7"/>
    <x v="2"/>
    <x v="12"/>
    <n v="1"/>
    <n v="188.49"/>
    <n v="0"/>
    <n v="188.49"/>
    <n v="164.2"/>
    <n v="24.29000000000002"/>
    <x v="4"/>
    <x v="2"/>
    <n v="4"/>
    <s v="Aug"/>
    <s v="08"/>
    <s v="profit"/>
    <s v="small"/>
    <n v="12.886625285161028"/>
  </r>
  <r>
    <x v="613"/>
    <x v="210"/>
    <s v="CUST-0230"/>
    <s v="Small Business"/>
    <x v="3"/>
    <x v="10"/>
    <x v="0"/>
    <x v="0"/>
    <n v="1"/>
    <n v="71.91"/>
    <n v="0"/>
    <n v="71.91"/>
    <n v="42.34"/>
    <n v="29.569999999999993"/>
    <x v="4"/>
    <x v="1"/>
    <n v="5"/>
    <s v="Aug"/>
    <s v="08"/>
    <s v="profit"/>
    <s v="small"/>
    <n v="41.120845501321092"/>
  </r>
  <r>
    <x v="614"/>
    <x v="210"/>
    <s v="CUST-0390"/>
    <s v="Consumer"/>
    <x v="1"/>
    <x v="1"/>
    <x v="0"/>
    <x v="8"/>
    <n v="2"/>
    <n v="114.69"/>
    <n v="0.1"/>
    <n v="206.44200000000001"/>
    <n v="69.739999999999995"/>
    <n v="66.962000000000018"/>
    <x v="1"/>
    <x v="5"/>
    <n v="5"/>
    <s v="Aug"/>
    <s v="08"/>
    <s v="profit"/>
    <s v="small"/>
    <n v="32.436229061915697"/>
  </r>
  <r>
    <x v="615"/>
    <x v="211"/>
    <s v="CUST-0238"/>
    <s v="Corporate"/>
    <x v="3"/>
    <x v="10"/>
    <x v="0"/>
    <x v="17"/>
    <n v="4"/>
    <n v="28.49"/>
    <n v="0"/>
    <n v="113.96"/>
    <n v="11.95"/>
    <n v="66.16"/>
    <x v="1"/>
    <x v="1"/>
    <n v="4"/>
    <s v="Aug"/>
    <s v="08"/>
    <s v="profit"/>
    <s v="small"/>
    <n v="58.055458055458054"/>
  </r>
  <r>
    <x v="616"/>
    <x v="211"/>
    <s v="CUST-0257"/>
    <s v="Small Business"/>
    <x v="3"/>
    <x v="7"/>
    <x v="0"/>
    <x v="17"/>
    <n v="6"/>
    <n v="17"/>
    <n v="0"/>
    <n v="102"/>
    <n v="8.01"/>
    <n v="53.94"/>
    <x v="0"/>
    <x v="0"/>
    <n v="4"/>
    <s v="Aug"/>
    <s v="08"/>
    <s v="profit"/>
    <s v="small"/>
    <n v="52.882352941176471"/>
  </r>
  <r>
    <x v="617"/>
    <x v="212"/>
    <s v="CUST-0210"/>
    <s v="Consumer"/>
    <x v="1"/>
    <x v="1"/>
    <x v="0"/>
    <x v="3"/>
    <n v="3"/>
    <n v="156.46"/>
    <n v="0.05"/>
    <n v="445.911"/>
    <n v="87.1"/>
    <n v="184.61100000000005"/>
    <x v="3"/>
    <x v="6"/>
    <n v="5"/>
    <s v="Aug"/>
    <s v="08"/>
    <s v="profit"/>
    <s v="small"/>
    <n v="41.400862503952588"/>
  </r>
  <r>
    <x v="618"/>
    <x v="212"/>
    <s v="CUST-0189"/>
    <s v="Small Business"/>
    <x v="2"/>
    <x v="2"/>
    <x v="2"/>
    <x v="12"/>
    <n v="4"/>
    <n v="676.4"/>
    <n v="0.1"/>
    <n v="2435.04"/>
    <n v="530.51"/>
    <n v="313"/>
    <x v="3"/>
    <x v="6"/>
    <n v="5"/>
    <s v="Aug"/>
    <s v="08"/>
    <s v="profit"/>
    <s v="large"/>
    <n v="12.853998291609173"/>
  </r>
  <r>
    <x v="619"/>
    <x v="213"/>
    <s v="CUST-0341"/>
    <s v="Small Business"/>
    <x v="2"/>
    <x v="2"/>
    <x v="1"/>
    <x v="15"/>
    <n v="4"/>
    <n v="111.21"/>
    <n v="0"/>
    <n v="444.84"/>
    <n v="62.91"/>
    <n v="193.2"/>
    <x v="4"/>
    <x v="1"/>
    <n v="4"/>
    <s v="Aug"/>
    <s v="08"/>
    <s v="profit"/>
    <s v="small"/>
    <n v="43.431346101969247"/>
  </r>
  <r>
    <x v="620"/>
    <x v="213"/>
    <s v="CUST-0365"/>
    <s v="Corporate"/>
    <x v="3"/>
    <x v="7"/>
    <x v="3"/>
    <x v="16"/>
    <n v="1"/>
    <n v="56.79"/>
    <n v="0"/>
    <n v="56.79"/>
    <n v="35.75"/>
    <n v="21.04"/>
    <x v="1"/>
    <x v="2"/>
    <n v="4"/>
    <s v="Aug"/>
    <s v="08"/>
    <s v="profit"/>
    <s v="small"/>
    <n v="37.048776192991724"/>
  </r>
  <r>
    <x v="621"/>
    <x v="213"/>
    <s v="CUST-0196"/>
    <s v="Small Business"/>
    <x v="2"/>
    <x v="2"/>
    <x v="2"/>
    <x v="12"/>
    <n v="8"/>
    <n v="241.2"/>
    <n v="0.1"/>
    <n v="1736.6399999999999"/>
    <n v="201.64"/>
    <n v="123.51999999999998"/>
    <x v="0"/>
    <x v="6"/>
    <n v="5"/>
    <s v="Aug"/>
    <s v="08"/>
    <s v="profit"/>
    <s v="medium"/>
    <n v="7.112585222037958"/>
  </r>
  <r>
    <x v="622"/>
    <x v="213"/>
    <s v="CUST-0384"/>
    <s v="Corporate"/>
    <x v="2"/>
    <x v="3"/>
    <x v="3"/>
    <x v="4"/>
    <n v="1"/>
    <n v="16.149999999999999"/>
    <n v="0"/>
    <n v="16.149999999999999"/>
    <n v="10.26"/>
    <n v="5.8899999999999988"/>
    <x v="0"/>
    <x v="5"/>
    <n v="5"/>
    <s v="Aug"/>
    <s v="08"/>
    <s v="profit"/>
    <s v="small"/>
    <n v="36.470588235294116"/>
  </r>
  <r>
    <x v="623"/>
    <x v="213"/>
    <s v="CUST-0221"/>
    <s v="Consumer"/>
    <x v="1"/>
    <x v="9"/>
    <x v="1"/>
    <x v="19"/>
    <n v="2"/>
    <n v="34.200000000000003"/>
    <n v="0"/>
    <n v="68.400000000000006"/>
    <n v="20.36"/>
    <n v="27.680000000000007"/>
    <x v="4"/>
    <x v="7"/>
    <n v="3"/>
    <s v="Aug"/>
    <s v="08"/>
    <s v="profit"/>
    <s v="small"/>
    <n v="40.467836257309948"/>
  </r>
  <r>
    <x v="624"/>
    <x v="213"/>
    <s v="CUST-0031"/>
    <s v="Small Business"/>
    <x v="1"/>
    <x v="9"/>
    <x v="2"/>
    <x v="12"/>
    <n v="5"/>
    <n v="250.09"/>
    <n v="0"/>
    <n v="1250.45"/>
    <n v="189.5"/>
    <n v="302.95000000000005"/>
    <x v="4"/>
    <x v="4"/>
    <n v="3"/>
    <s v="Aug"/>
    <s v="08"/>
    <s v="profit"/>
    <s v="medium"/>
    <n v="24.227278179855254"/>
  </r>
  <r>
    <x v="625"/>
    <x v="214"/>
    <s v="CUST-0194"/>
    <s v="Consumer"/>
    <x v="0"/>
    <x v="5"/>
    <x v="3"/>
    <x v="20"/>
    <n v="1"/>
    <n v="96.11"/>
    <n v="0"/>
    <n v="96.11"/>
    <n v="54.53"/>
    <n v="41.58"/>
    <x v="0"/>
    <x v="2"/>
    <n v="4"/>
    <s v="Aug"/>
    <s v="08"/>
    <s v="profit"/>
    <s v="small"/>
    <n v="43.262927895120171"/>
  </r>
  <r>
    <x v="626"/>
    <x v="215"/>
    <s v="CUST-0341"/>
    <s v="Small Business"/>
    <x v="0"/>
    <x v="0"/>
    <x v="0"/>
    <x v="3"/>
    <n v="1"/>
    <n v="98.22"/>
    <n v="0.2"/>
    <n v="78.576000000000008"/>
    <n v="45.17"/>
    <n v="33.406000000000006"/>
    <x v="3"/>
    <x v="2"/>
    <n v="3"/>
    <s v="Aug"/>
    <s v="08"/>
    <s v="profit"/>
    <s v="small"/>
    <n v="42.514253716147429"/>
  </r>
  <r>
    <x v="627"/>
    <x v="215"/>
    <s v="CUST-0220"/>
    <s v="Corporate"/>
    <x v="2"/>
    <x v="11"/>
    <x v="1"/>
    <x v="1"/>
    <n v="2"/>
    <n v="268.99"/>
    <n v="0"/>
    <n v="537.98"/>
    <n v="148.65"/>
    <n v="240.68"/>
    <x v="0"/>
    <x v="7"/>
    <n v="5"/>
    <s v="Aug"/>
    <s v="08"/>
    <s v="profit"/>
    <s v="medium"/>
    <n v="44.737722591917915"/>
  </r>
  <r>
    <x v="628"/>
    <x v="215"/>
    <s v="CUST-0002"/>
    <s v="Corporate"/>
    <x v="0"/>
    <x v="6"/>
    <x v="1"/>
    <x v="6"/>
    <n v="5"/>
    <n v="179.67"/>
    <n v="0.15"/>
    <n v="763.59749999999985"/>
    <n v="121.15"/>
    <n v="157.84749999999985"/>
    <x v="1"/>
    <x v="3"/>
    <n v="1"/>
    <s v="Aug"/>
    <s v="08"/>
    <s v="profit"/>
    <s v="medium"/>
    <n v="20.671557987028493"/>
  </r>
  <r>
    <x v="629"/>
    <x v="216"/>
    <s v="CUST-0244"/>
    <s v="Small Business"/>
    <x v="3"/>
    <x v="8"/>
    <x v="2"/>
    <x v="2"/>
    <n v="2"/>
    <n v="183.4"/>
    <n v="0.1"/>
    <n v="330.12"/>
    <n v="145.82"/>
    <n v="38.480000000000018"/>
    <x v="1"/>
    <x v="4"/>
    <n v="1"/>
    <s v="Aug"/>
    <s v="08"/>
    <s v="profit"/>
    <s v="small"/>
    <n v="11.656367381558226"/>
  </r>
  <r>
    <x v="630"/>
    <x v="216"/>
    <s v="CUST-0311"/>
    <s v="Corporate"/>
    <x v="0"/>
    <x v="5"/>
    <x v="0"/>
    <x v="8"/>
    <n v="2"/>
    <n v="47.91"/>
    <n v="0.05"/>
    <n v="91.028999999999996"/>
    <n v="26.83"/>
    <n v="37.369"/>
    <x v="1"/>
    <x v="2"/>
    <n v="4"/>
    <s v="Aug"/>
    <s v="08"/>
    <s v="profit"/>
    <s v="small"/>
    <n v="41.051752738138397"/>
  </r>
  <r>
    <x v="631"/>
    <x v="216"/>
    <s v="CUST-0365"/>
    <s v="Consumer"/>
    <x v="0"/>
    <x v="5"/>
    <x v="3"/>
    <x v="20"/>
    <n v="2"/>
    <n v="178.03"/>
    <n v="0.1"/>
    <n v="320.45400000000001"/>
    <n v="103"/>
    <n v="114.45400000000001"/>
    <x v="2"/>
    <x v="5"/>
    <n v="3"/>
    <s v="Aug"/>
    <s v="08"/>
    <s v="profit"/>
    <s v="small"/>
    <n v="35.71620263750804"/>
  </r>
  <r>
    <x v="632"/>
    <x v="216"/>
    <s v="CUST-0247"/>
    <s v="Small Business"/>
    <x v="1"/>
    <x v="4"/>
    <x v="1"/>
    <x v="6"/>
    <n v="6"/>
    <n v="214.79"/>
    <n v="0.2"/>
    <n v="1030.992"/>
    <n v="118.29"/>
    <n v="321.25199999999995"/>
    <x v="2"/>
    <x v="4"/>
    <n v="3"/>
    <s v="Aug"/>
    <s v="08"/>
    <s v="profit"/>
    <s v="medium"/>
    <n v="31.159504632431673"/>
  </r>
  <r>
    <x v="633"/>
    <x v="217"/>
    <s v="CUST-0197"/>
    <s v="Corporate"/>
    <x v="0"/>
    <x v="0"/>
    <x v="2"/>
    <x v="10"/>
    <n v="6"/>
    <n v="729.1"/>
    <n v="0"/>
    <n v="4374.6000000000004"/>
    <n v="547.54999999999995"/>
    <n v="1089.3000000000006"/>
    <x v="4"/>
    <x v="1"/>
    <n v="4"/>
    <s v="Aug"/>
    <s v="08"/>
    <s v="profit"/>
    <s v="large"/>
    <n v="24.90056233712798"/>
  </r>
  <r>
    <x v="634"/>
    <x v="218"/>
    <s v="CUST-0115"/>
    <s v="Small Business"/>
    <x v="1"/>
    <x v="4"/>
    <x v="3"/>
    <x v="4"/>
    <n v="4"/>
    <n v="37.29"/>
    <n v="0"/>
    <n v="149.16"/>
    <n v="21.09"/>
    <n v="64.8"/>
    <x v="2"/>
    <x v="2"/>
    <n v="4"/>
    <s v="Aug"/>
    <s v="08"/>
    <s v="profit"/>
    <s v="small"/>
    <n v="43.443282381335479"/>
  </r>
  <r>
    <x v="635"/>
    <x v="218"/>
    <s v="CUST-0045"/>
    <s v="Consumer"/>
    <x v="1"/>
    <x v="4"/>
    <x v="4"/>
    <x v="7"/>
    <n v="1"/>
    <n v="888.53"/>
    <n v="0"/>
    <n v="888.53"/>
    <n v="571.30999999999995"/>
    <n v="317.22000000000003"/>
    <x v="3"/>
    <x v="7"/>
    <n v="5"/>
    <s v="Aug"/>
    <s v="08"/>
    <s v="profit"/>
    <s v="medium"/>
    <n v="35.701664547060879"/>
  </r>
  <r>
    <x v="636"/>
    <x v="218"/>
    <s v="CUST-0032"/>
    <s v="Small Business"/>
    <x v="2"/>
    <x v="11"/>
    <x v="3"/>
    <x v="4"/>
    <n v="3"/>
    <n v="33.770000000000003"/>
    <n v="0"/>
    <n v="101.31"/>
    <n v="24.47"/>
    <n v="27.900000000000006"/>
    <x v="2"/>
    <x v="4"/>
    <n v="5"/>
    <s v="Aug"/>
    <s v="08"/>
    <s v="profit"/>
    <s v="small"/>
    <n v="27.53923600829139"/>
  </r>
  <r>
    <x v="637"/>
    <x v="218"/>
    <s v="CUST-0055"/>
    <s v="Corporate"/>
    <x v="3"/>
    <x v="10"/>
    <x v="3"/>
    <x v="9"/>
    <n v="3"/>
    <n v="651.33000000000004"/>
    <n v="0.05"/>
    <n v="1856.2905000000001"/>
    <n v="384.61"/>
    <n v="702.46050000000014"/>
    <x v="3"/>
    <x v="0"/>
    <n v="3"/>
    <s v="Aug"/>
    <s v="08"/>
    <s v="profit"/>
    <s v="medium"/>
    <n v="37.842164251769866"/>
  </r>
  <r>
    <x v="638"/>
    <x v="218"/>
    <s v="CUST-0341"/>
    <s v="Small Business"/>
    <x v="1"/>
    <x v="4"/>
    <x v="1"/>
    <x v="6"/>
    <n v="3"/>
    <n v="215.82"/>
    <n v="0"/>
    <n v="647.46"/>
    <n v="140.29"/>
    <n v="226.59000000000003"/>
    <x v="3"/>
    <x v="7"/>
    <n v="3"/>
    <s v="Aug"/>
    <s v="08"/>
    <s v="profit"/>
    <s v="medium"/>
    <n v="34.996756556389585"/>
  </r>
  <r>
    <x v="639"/>
    <x v="218"/>
    <s v="CUST-0361"/>
    <s v="Corporate"/>
    <x v="1"/>
    <x v="9"/>
    <x v="3"/>
    <x v="4"/>
    <n v="5"/>
    <n v="22.39"/>
    <n v="0.05"/>
    <n v="106.35249999999999"/>
    <n v="13"/>
    <n v="41.352499999999992"/>
    <x v="3"/>
    <x v="7"/>
    <n v="3"/>
    <s v="Aug"/>
    <s v="08"/>
    <s v="profit"/>
    <s v="small"/>
    <n v="38.882489833337246"/>
  </r>
  <r>
    <x v="640"/>
    <x v="219"/>
    <s v="CUST-0338"/>
    <s v="Consumer"/>
    <x v="3"/>
    <x v="8"/>
    <x v="1"/>
    <x v="15"/>
    <n v="4"/>
    <n v="149.07"/>
    <n v="0"/>
    <n v="596.28"/>
    <n v="110.24"/>
    <n v="155.32"/>
    <x v="3"/>
    <x v="6"/>
    <n v="4"/>
    <s v="Aug"/>
    <s v="08"/>
    <s v="profit"/>
    <s v="medium"/>
    <n v="26.048165291473801"/>
  </r>
  <r>
    <x v="641"/>
    <x v="219"/>
    <s v="CUST-0281"/>
    <s v="Corporate"/>
    <x v="2"/>
    <x v="11"/>
    <x v="1"/>
    <x v="6"/>
    <n v="3"/>
    <n v="199.12"/>
    <n v="0"/>
    <n v="597.36"/>
    <n v="133.77000000000001"/>
    <n v="196.04999999999995"/>
    <x v="3"/>
    <x v="3"/>
    <n v="4"/>
    <s v="Aug"/>
    <s v="08"/>
    <s v="profit"/>
    <s v="medium"/>
    <n v="32.81940538368822"/>
  </r>
  <r>
    <x v="642"/>
    <x v="220"/>
    <s v="CUST-0357"/>
    <s v="Corporate"/>
    <x v="1"/>
    <x v="9"/>
    <x v="1"/>
    <x v="19"/>
    <n v="1"/>
    <n v="105.73"/>
    <n v="0"/>
    <n v="105.73"/>
    <n v="64.290000000000006"/>
    <n v="41.44"/>
    <x v="0"/>
    <x v="3"/>
    <n v="3"/>
    <s v="Aug"/>
    <s v="08"/>
    <s v="profit"/>
    <s v="small"/>
    <n v="39.194173839023925"/>
  </r>
  <r>
    <x v="643"/>
    <x v="220"/>
    <s v="CUST-0193"/>
    <s v="Corporate"/>
    <x v="0"/>
    <x v="5"/>
    <x v="1"/>
    <x v="15"/>
    <n v="4"/>
    <n v="155"/>
    <n v="0.15"/>
    <n v="527"/>
    <n v="115.97"/>
    <n v="63.120000000000005"/>
    <x v="4"/>
    <x v="5"/>
    <n v="2"/>
    <s v="Aug"/>
    <s v="08"/>
    <s v="profit"/>
    <s v="medium"/>
    <n v="11.977229601518028"/>
  </r>
  <r>
    <x v="644"/>
    <x v="220"/>
    <s v="CUST-0370"/>
    <s v="Corporate"/>
    <x v="2"/>
    <x v="2"/>
    <x v="3"/>
    <x v="16"/>
    <n v="2"/>
    <n v="143.13"/>
    <n v="0"/>
    <n v="286.26"/>
    <n v="103.99"/>
    <n v="78.28"/>
    <x v="4"/>
    <x v="5"/>
    <n v="2"/>
    <s v="Aug"/>
    <s v="08"/>
    <s v="profit"/>
    <s v="small"/>
    <n v="27.345769580102008"/>
  </r>
  <r>
    <x v="645"/>
    <x v="221"/>
    <s v="CUST-0046"/>
    <s v="Corporate"/>
    <x v="1"/>
    <x v="9"/>
    <x v="4"/>
    <x v="18"/>
    <n v="10"/>
    <n v="190.72"/>
    <n v="0.1"/>
    <n v="1716.48"/>
    <n v="116.17"/>
    <n v="554.78"/>
    <x v="1"/>
    <x v="1"/>
    <n v="4"/>
    <s v="Aug"/>
    <s v="08"/>
    <s v="profit"/>
    <s v="medium"/>
    <n v="32.320796047725572"/>
  </r>
  <r>
    <x v="646"/>
    <x v="221"/>
    <s v="CUST-0012"/>
    <s v="Small Business"/>
    <x v="1"/>
    <x v="9"/>
    <x v="0"/>
    <x v="17"/>
    <n v="3"/>
    <n v="11.24"/>
    <n v="0.05"/>
    <n v="32.033999999999999"/>
    <n v="7.07"/>
    <n v="10.823999999999998"/>
    <x v="2"/>
    <x v="0"/>
    <n v="3"/>
    <s v="Aug"/>
    <s v="08"/>
    <s v="profit"/>
    <s v="small"/>
    <n v="33.789099082225135"/>
  </r>
  <r>
    <x v="647"/>
    <x v="221"/>
    <s v="CUST-0033"/>
    <s v="Small Business"/>
    <x v="1"/>
    <x v="1"/>
    <x v="1"/>
    <x v="15"/>
    <n v="3"/>
    <n v="95.27"/>
    <n v="0"/>
    <n v="285.81"/>
    <n v="52.4"/>
    <n v="128.61000000000001"/>
    <x v="2"/>
    <x v="3"/>
    <n v="4"/>
    <s v="Aug"/>
    <s v="08"/>
    <s v="profit"/>
    <s v="small"/>
    <n v="44.998425527448312"/>
  </r>
  <r>
    <x v="648"/>
    <x v="222"/>
    <s v="CUST-0366"/>
    <s v="Small Business"/>
    <x v="1"/>
    <x v="4"/>
    <x v="1"/>
    <x v="1"/>
    <n v="2"/>
    <n v="253.5"/>
    <n v="0.05"/>
    <n v="481.65"/>
    <n v="162.93"/>
    <n v="155.78999999999996"/>
    <x v="3"/>
    <x v="4"/>
    <n v="5"/>
    <s v="Aug"/>
    <s v="08"/>
    <s v="profit"/>
    <s v="small"/>
    <n v="32.345063843039547"/>
  </r>
  <r>
    <x v="649"/>
    <x v="222"/>
    <s v="CUST-0021"/>
    <s v="Consumer"/>
    <x v="0"/>
    <x v="5"/>
    <x v="3"/>
    <x v="16"/>
    <n v="2"/>
    <n v="132.75"/>
    <n v="0"/>
    <n v="265.5"/>
    <n v="81.099999999999994"/>
    <n v="103.30000000000001"/>
    <x v="2"/>
    <x v="4"/>
    <n v="4"/>
    <s v="Aug"/>
    <s v="08"/>
    <s v="profit"/>
    <s v="small"/>
    <n v="38.907721280602644"/>
  </r>
  <r>
    <x v="650"/>
    <x v="222"/>
    <s v="CUST-0088"/>
    <s v="Corporate"/>
    <x v="0"/>
    <x v="5"/>
    <x v="2"/>
    <x v="5"/>
    <n v="1"/>
    <n v="259.89"/>
    <n v="0.2"/>
    <n v="207.91200000000001"/>
    <n v="232.54"/>
    <n v="-24.627999999999986"/>
    <x v="3"/>
    <x v="4"/>
    <n v="3"/>
    <s v="Aug"/>
    <s v="08"/>
    <s v="profit"/>
    <s v="small"/>
    <n v="-11.845396129131549"/>
  </r>
  <r>
    <x v="651"/>
    <x v="223"/>
    <s v="CUST-0181"/>
    <s v="Small Business"/>
    <x v="1"/>
    <x v="9"/>
    <x v="3"/>
    <x v="9"/>
    <n v="2"/>
    <n v="578.45000000000005"/>
    <n v="0.15"/>
    <n v="983.36500000000001"/>
    <n v="382.36"/>
    <n v="218.64499999999998"/>
    <x v="2"/>
    <x v="4"/>
    <n v="4"/>
    <s v="Aug"/>
    <s v="08"/>
    <s v="profit"/>
    <s v="medium"/>
    <n v="22.234368723719065"/>
  </r>
  <r>
    <x v="652"/>
    <x v="223"/>
    <s v="CUST-0111"/>
    <s v="Small Business"/>
    <x v="2"/>
    <x v="3"/>
    <x v="1"/>
    <x v="19"/>
    <n v="8"/>
    <n v="47.52"/>
    <n v="0.1"/>
    <n v="342.14400000000001"/>
    <n v="33.85"/>
    <n v="71.343999999999994"/>
    <x v="0"/>
    <x v="1"/>
    <n v="3"/>
    <s v="Aug"/>
    <s v="08"/>
    <s v="profit"/>
    <s v="small"/>
    <n v="20.852038907594462"/>
  </r>
  <r>
    <x v="653"/>
    <x v="223"/>
    <s v="CUST-0347"/>
    <s v="Corporate"/>
    <x v="3"/>
    <x v="8"/>
    <x v="0"/>
    <x v="17"/>
    <n v="2"/>
    <n v="22.85"/>
    <n v="0.2"/>
    <n v="36.56"/>
    <n v="13.36"/>
    <n v="9.8400000000000034"/>
    <x v="4"/>
    <x v="4"/>
    <n v="2"/>
    <s v="Aug"/>
    <s v="08"/>
    <s v="profit"/>
    <s v="small"/>
    <n v="26.914660831509856"/>
  </r>
  <r>
    <x v="654"/>
    <x v="224"/>
    <s v="CUST-0223"/>
    <s v="Corporate"/>
    <x v="3"/>
    <x v="8"/>
    <x v="1"/>
    <x v="15"/>
    <n v="5"/>
    <n v="151.46"/>
    <n v="0"/>
    <n v="757.30000000000007"/>
    <n v="96.52"/>
    <n v="274.7000000000001"/>
    <x v="3"/>
    <x v="4"/>
    <n v="2"/>
    <s v="Aug"/>
    <s v="08"/>
    <s v="profit"/>
    <s v="medium"/>
    <n v="36.273603591707392"/>
  </r>
  <r>
    <x v="655"/>
    <x v="224"/>
    <s v="CUST-0399"/>
    <s v="Corporate"/>
    <x v="2"/>
    <x v="2"/>
    <x v="2"/>
    <x v="10"/>
    <n v="1"/>
    <n v="1162.98"/>
    <n v="0.15"/>
    <n v="988.53300000000002"/>
    <n v="975.72"/>
    <n v="12.812999999999988"/>
    <x v="4"/>
    <x v="4"/>
    <n v="3"/>
    <s v="Aug"/>
    <s v="08"/>
    <s v="profit"/>
    <s v="medium"/>
    <n v="1.2961631022940041"/>
  </r>
  <r>
    <x v="656"/>
    <x v="224"/>
    <s v="CUST-0302"/>
    <s v="Corporate"/>
    <x v="0"/>
    <x v="0"/>
    <x v="2"/>
    <x v="13"/>
    <n v="2"/>
    <n v="602.91"/>
    <n v="0.15"/>
    <n v="1024.9469999999999"/>
    <n v="533.12"/>
    <n v="-41.29300000000012"/>
    <x v="3"/>
    <x v="7"/>
    <n v="5"/>
    <s v="Aug"/>
    <s v="08"/>
    <s v="profit"/>
    <s v="medium"/>
    <n v="-4.0287936839661098"/>
  </r>
  <r>
    <x v="657"/>
    <x v="224"/>
    <s v="CUST-0177"/>
    <s v="Small Business"/>
    <x v="3"/>
    <x v="8"/>
    <x v="3"/>
    <x v="9"/>
    <n v="8"/>
    <n v="544.85"/>
    <n v="0"/>
    <n v="4358.8"/>
    <n v="310.94"/>
    <n v="1871.2800000000002"/>
    <x v="2"/>
    <x v="6"/>
    <n v="4"/>
    <s v="Aug"/>
    <s v="08"/>
    <s v="profit"/>
    <s v="large"/>
    <n v="42.931081949160323"/>
  </r>
  <r>
    <x v="658"/>
    <x v="225"/>
    <s v="CUST-0028"/>
    <s v="Small Business"/>
    <x v="3"/>
    <x v="7"/>
    <x v="2"/>
    <x v="10"/>
    <n v="2"/>
    <n v="1164.99"/>
    <n v="0.1"/>
    <n v="2096.982"/>
    <n v="923.86"/>
    <n v="249.26199999999994"/>
    <x v="0"/>
    <x v="4"/>
    <n v="4"/>
    <s v="Aug"/>
    <s v="08"/>
    <s v="profit"/>
    <s v="large"/>
    <n v="11.886701936401932"/>
  </r>
  <r>
    <x v="659"/>
    <x v="225"/>
    <s v="CUST-0267"/>
    <s v="Small Business"/>
    <x v="1"/>
    <x v="9"/>
    <x v="0"/>
    <x v="3"/>
    <n v="1"/>
    <n v="61.97"/>
    <n v="0.2"/>
    <n v="49.576000000000001"/>
    <n v="25"/>
    <n v="24.576000000000001"/>
    <x v="4"/>
    <x v="1"/>
    <n v="4"/>
    <s v="Aug"/>
    <s v="08"/>
    <s v="profit"/>
    <s v="small"/>
    <n v="49.57237372922382"/>
  </r>
  <r>
    <x v="660"/>
    <x v="225"/>
    <s v="CUST-0048"/>
    <s v="Consumer"/>
    <x v="0"/>
    <x v="5"/>
    <x v="2"/>
    <x v="5"/>
    <n v="1"/>
    <n v="139.76"/>
    <n v="0.1"/>
    <n v="125.78399999999999"/>
    <n v="119.23"/>
    <n v="6.5539999999999878"/>
    <x v="2"/>
    <x v="5"/>
    <n v="2"/>
    <s v="Aug"/>
    <s v="08"/>
    <s v="profit"/>
    <s v="small"/>
    <n v="5.21051962093747"/>
  </r>
  <r>
    <x v="661"/>
    <x v="226"/>
    <s v="CUST-0246"/>
    <s v="Corporate"/>
    <x v="1"/>
    <x v="9"/>
    <x v="4"/>
    <x v="7"/>
    <n v="2"/>
    <n v="1027.51"/>
    <n v="0.1"/>
    <n v="1849.518"/>
    <n v="819.81"/>
    <n v="209.89800000000014"/>
    <x v="2"/>
    <x v="2"/>
    <n v="4"/>
    <s v="Aug"/>
    <s v="08"/>
    <s v="profit"/>
    <s v="medium"/>
    <n v="11.348794658932768"/>
  </r>
  <r>
    <x v="662"/>
    <x v="226"/>
    <s v="CUST-0271"/>
    <s v="Small Business"/>
    <x v="2"/>
    <x v="3"/>
    <x v="0"/>
    <x v="17"/>
    <n v="10"/>
    <n v="27.28"/>
    <n v="0.1"/>
    <n v="245.52"/>
    <n v="12.94"/>
    <n v="116.12"/>
    <x v="2"/>
    <x v="5"/>
    <n v="4"/>
    <s v="Aug"/>
    <s v="08"/>
    <s v="profit"/>
    <s v="small"/>
    <n v="47.295536005213421"/>
  </r>
  <r>
    <x v="663"/>
    <x v="226"/>
    <s v="CUST-0254"/>
    <s v="Corporate"/>
    <x v="3"/>
    <x v="10"/>
    <x v="3"/>
    <x v="16"/>
    <n v="2"/>
    <n v="46.85"/>
    <n v="0"/>
    <n v="93.7"/>
    <n v="31.7"/>
    <n v="30.300000000000004"/>
    <x v="4"/>
    <x v="7"/>
    <n v="5"/>
    <s v="Aug"/>
    <s v="08"/>
    <s v="profit"/>
    <s v="small"/>
    <n v="32.337246531483459"/>
  </r>
  <r>
    <x v="664"/>
    <x v="226"/>
    <s v="CUST-0110"/>
    <s v="Consumer"/>
    <x v="0"/>
    <x v="6"/>
    <x v="4"/>
    <x v="11"/>
    <n v="1"/>
    <n v="519.23"/>
    <n v="0"/>
    <n v="519.23"/>
    <n v="327.02999999999997"/>
    <n v="192.20000000000005"/>
    <x v="2"/>
    <x v="6"/>
    <n v="3"/>
    <s v="Aug"/>
    <s v="08"/>
    <s v="profit"/>
    <s v="medium"/>
    <n v="37.016351135335022"/>
  </r>
  <r>
    <x v="665"/>
    <x v="227"/>
    <s v="CUST-0169"/>
    <s v="Corporate"/>
    <x v="1"/>
    <x v="4"/>
    <x v="4"/>
    <x v="14"/>
    <n v="2"/>
    <n v="426.1"/>
    <n v="0.1"/>
    <n v="766.98"/>
    <n v="264.82"/>
    <n v="237.34000000000003"/>
    <x v="0"/>
    <x v="2"/>
    <n v="1"/>
    <s v="Aug"/>
    <s v="08"/>
    <s v="profit"/>
    <s v="medium"/>
    <n v="30.944744321885842"/>
  </r>
  <r>
    <x v="666"/>
    <x v="227"/>
    <s v="CUST-0079"/>
    <s v="Corporate"/>
    <x v="1"/>
    <x v="1"/>
    <x v="3"/>
    <x v="16"/>
    <n v="1"/>
    <n v="75.260000000000005"/>
    <n v="0.05"/>
    <n v="71.497"/>
    <n v="56.31"/>
    <n v="15.186999999999998"/>
    <x v="3"/>
    <x v="0"/>
    <n v="1"/>
    <s v="Aug"/>
    <s v="08"/>
    <s v="profit"/>
    <s v="small"/>
    <n v="21.241450690238747"/>
  </r>
  <r>
    <x v="667"/>
    <x v="227"/>
    <s v="CUST-0138"/>
    <s v="Consumer"/>
    <x v="2"/>
    <x v="11"/>
    <x v="1"/>
    <x v="6"/>
    <n v="2"/>
    <n v="87.48"/>
    <n v="0"/>
    <n v="174.96"/>
    <n v="58.69"/>
    <n v="57.580000000000013"/>
    <x v="1"/>
    <x v="0"/>
    <n v="3"/>
    <s v="Aug"/>
    <s v="08"/>
    <s v="profit"/>
    <s v="small"/>
    <n v="32.910379515317793"/>
  </r>
  <r>
    <x v="668"/>
    <x v="227"/>
    <s v="CUST-0203"/>
    <s v="Corporate"/>
    <x v="3"/>
    <x v="7"/>
    <x v="4"/>
    <x v="7"/>
    <n v="1"/>
    <n v="305.23"/>
    <n v="0"/>
    <n v="305.23"/>
    <n v="190.25"/>
    <n v="114.98000000000002"/>
    <x v="0"/>
    <x v="5"/>
    <n v="3"/>
    <s v="Aug"/>
    <s v="08"/>
    <s v="profit"/>
    <s v="small"/>
    <n v="37.669953805327133"/>
  </r>
  <r>
    <x v="669"/>
    <x v="227"/>
    <s v="CUST-0350"/>
    <s v="Small Business"/>
    <x v="0"/>
    <x v="6"/>
    <x v="2"/>
    <x v="12"/>
    <n v="2"/>
    <n v="677.83"/>
    <n v="0.05"/>
    <n v="1287.877"/>
    <n v="510.11"/>
    <n v="267.65699999999993"/>
    <x v="4"/>
    <x v="7"/>
    <n v="5"/>
    <s v="Aug"/>
    <s v="08"/>
    <s v="profit"/>
    <s v="medium"/>
    <n v="20.782807674956533"/>
  </r>
  <r>
    <x v="670"/>
    <x v="228"/>
    <s v="CUST-0011"/>
    <s v="Consumer"/>
    <x v="1"/>
    <x v="4"/>
    <x v="1"/>
    <x v="1"/>
    <n v="1"/>
    <n v="235.61"/>
    <n v="0"/>
    <n v="235.61"/>
    <n v="133.19"/>
    <n v="102.42000000000002"/>
    <x v="4"/>
    <x v="7"/>
    <n v="4"/>
    <s v="Sep"/>
    <s v="09"/>
    <s v="profit"/>
    <s v="small"/>
    <n v="43.470141335257424"/>
  </r>
  <r>
    <x v="671"/>
    <x v="228"/>
    <s v="CUST-0149"/>
    <s v="Corporate"/>
    <x v="1"/>
    <x v="9"/>
    <x v="1"/>
    <x v="15"/>
    <n v="4"/>
    <n v="38.85"/>
    <n v="0.05"/>
    <n v="147.63"/>
    <n v="22.69"/>
    <n v="56.86999999999999"/>
    <x v="1"/>
    <x v="2"/>
    <n v="5"/>
    <s v="Sep"/>
    <s v="09"/>
    <s v="profit"/>
    <s v="small"/>
    <n v="38.521980627243778"/>
  </r>
  <r>
    <x v="672"/>
    <x v="228"/>
    <s v="CUST-0127"/>
    <s v="Small Business"/>
    <x v="2"/>
    <x v="3"/>
    <x v="2"/>
    <x v="13"/>
    <n v="5"/>
    <n v="883.4"/>
    <n v="0.2"/>
    <n v="3533.6000000000004"/>
    <n v="770.3"/>
    <n v="-317.89999999999964"/>
    <x v="1"/>
    <x v="4"/>
    <n v="4"/>
    <s v="Sep"/>
    <s v="09"/>
    <s v="profit"/>
    <s v="large"/>
    <n v="-8.9964908308806777"/>
  </r>
  <r>
    <x v="673"/>
    <x v="228"/>
    <s v="CUST-0325"/>
    <s v="Consumer"/>
    <x v="3"/>
    <x v="7"/>
    <x v="1"/>
    <x v="19"/>
    <n v="10"/>
    <n v="91.61"/>
    <n v="0.05"/>
    <n v="870.29499999999996"/>
    <n v="59.5"/>
    <n v="275.29499999999996"/>
    <x v="4"/>
    <x v="2"/>
    <n v="3"/>
    <s v="Sep"/>
    <s v="09"/>
    <s v="profit"/>
    <s v="medium"/>
    <n v="31.632377527160326"/>
  </r>
  <r>
    <x v="674"/>
    <x v="229"/>
    <s v="CUST-0269"/>
    <s v="Corporate"/>
    <x v="3"/>
    <x v="7"/>
    <x v="2"/>
    <x v="13"/>
    <n v="5"/>
    <n v="1043.28"/>
    <n v="0"/>
    <n v="5216.3999999999996"/>
    <n v="872.24"/>
    <n v="855.19999999999982"/>
    <x v="4"/>
    <x v="4"/>
    <n v="4"/>
    <s v="Sep"/>
    <s v="09"/>
    <s v="profit"/>
    <s v="large"/>
    <n v="16.394448278506246"/>
  </r>
  <r>
    <x v="675"/>
    <x v="229"/>
    <s v="CUST-0215"/>
    <s v="Consumer"/>
    <x v="2"/>
    <x v="11"/>
    <x v="0"/>
    <x v="3"/>
    <n v="1"/>
    <n v="117.26"/>
    <n v="0"/>
    <n v="117.26"/>
    <n v="67.3"/>
    <n v="49.960000000000008"/>
    <x v="0"/>
    <x v="5"/>
    <n v="3"/>
    <s v="Sep"/>
    <s v="09"/>
    <s v="profit"/>
    <s v="small"/>
    <n v="42.606174313491394"/>
  </r>
  <r>
    <x v="676"/>
    <x v="229"/>
    <s v="CUST-0187"/>
    <s v="Corporate"/>
    <x v="0"/>
    <x v="6"/>
    <x v="2"/>
    <x v="5"/>
    <n v="1"/>
    <n v="87.23"/>
    <n v="0.2"/>
    <n v="69.784000000000006"/>
    <n v="72.33"/>
    <n v="-2.5459999999999923"/>
    <x v="0"/>
    <x v="2"/>
    <n v="2"/>
    <s v="Sep"/>
    <s v="09"/>
    <s v="profit"/>
    <s v="small"/>
    <n v="-3.6484007795483087"/>
  </r>
  <r>
    <x v="677"/>
    <x v="230"/>
    <s v="CUST-0302"/>
    <s v="Small Business"/>
    <x v="2"/>
    <x v="2"/>
    <x v="2"/>
    <x v="2"/>
    <n v="5"/>
    <n v="365.07"/>
    <n v="0.1"/>
    <n v="1642.8150000000001"/>
    <n v="321.43"/>
    <n v="35.664999999999964"/>
    <x v="2"/>
    <x v="7"/>
    <n v="3"/>
    <s v="Sep"/>
    <s v="09"/>
    <s v="profit"/>
    <s v="medium"/>
    <n v="2.170968733545771"/>
  </r>
  <r>
    <x v="678"/>
    <x v="231"/>
    <s v="CUST-0336"/>
    <s v="Consumer"/>
    <x v="0"/>
    <x v="0"/>
    <x v="4"/>
    <x v="7"/>
    <n v="3"/>
    <n v="378.51"/>
    <n v="0.15"/>
    <n v="965.20049999999992"/>
    <n v="294.76"/>
    <n v="80.920499999999947"/>
    <x v="4"/>
    <x v="0"/>
    <n v="5"/>
    <s v="Sep"/>
    <s v="09"/>
    <s v="profit"/>
    <s v="medium"/>
    <n v="8.3838021219425354"/>
  </r>
  <r>
    <x v="679"/>
    <x v="232"/>
    <s v="CUST-0066"/>
    <s v="Consumer"/>
    <x v="1"/>
    <x v="4"/>
    <x v="2"/>
    <x v="2"/>
    <n v="2"/>
    <n v="309.02999999999997"/>
    <n v="0"/>
    <n v="618.05999999999995"/>
    <n v="264.14999999999998"/>
    <n v="89.759999999999991"/>
    <x v="1"/>
    <x v="1"/>
    <n v="5"/>
    <s v="Sep"/>
    <s v="09"/>
    <s v="profit"/>
    <s v="medium"/>
    <n v="14.52286185807203"/>
  </r>
  <r>
    <x v="680"/>
    <x v="232"/>
    <s v="CUST-0258"/>
    <s v="Consumer"/>
    <x v="0"/>
    <x v="6"/>
    <x v="1"/>
    <x v="6"/>
    <n v="1"/>
    <n v="227.93"/>
    <n v="0.05"/>
    <n v="216.5335"/>
    <n v="150.5"/>
    <n v="66.033500000000004"/>
    <x v="4"/>
    <x v="1"/>
    <n v="4"/>
    <s v="Sep"/>
    <s v="09"/>
    <s v="profit"/>
    <s v="small"/>
    <n v="30.495743152907057"/>
  </r>
  <r>
    <x v="681"/>
    <x v="233"/>
    <s v="CUST-0273"/>
    <s v="Small Business"/>
    <x v="3"/>
    <x v="10"/>
    <x v="2"/>
    <x v="10"/>
    <n v="5"/>
    <n v="1366.85"/>
    <n v="0.05"/>
    <n v="6492.5374999999995"/>
    <n v="1217.7"/>
    <n v="404.03749999999945"/>
    <x v="3"/>
    <x v="3"/>
    <n v="4"/>
    <s v="Sep"/>
    <s v="09"/>
    <s v="profit"/>
    <s v="large"/>
    <n v="6.2231061430141832"/>
  </r>
  <r>
    <x v="682"/>
    <x v="233"/>
    <s v="CUST-0357"/>
    <s v="Consumer"/>
    <x v="3"/>
    <x v="7"/>
    <x v="0"/>
    <x v="3"/>
    <n v="1"/>
    <n v="88.1"/>
    <n v="0"/>
    <n v="88.1"/>
    <n v="51.29"/>
    <n v="36.809999999999995"/>
    <x v="2"/>
    <x v="0"/>
    <n v="4"/>
    <s v="Sep"/>
    <s v="09"/>
    <s v="profit"/>
    <s v="small"/>
    <n v="41.782065834279223"/>
  </r>
  <r>
    <x v="683"/>
    <x v="233"/>
    <s v="CUST-0274"/>
    <s v="Consumer"/>
    <x v="2"/>
    <x v="2"/>
    <x v="1"/>
    <x v="6"/>
    <n v="1"/>
    <n v="103.72"/>
    <n v="0"/>
    <n v="103.72"/>
    <n v="73.22"/>
    <n v="30.5"/>
    <x v="0"/>
    <x v="5"/>
    <n v="4"/>
    <s v="Sep"/>
    <s v="09"/>
    <s v="profit"/>
    <s v="small"/>
    <n v="29.406093328191286"/>
  </r>
  <r>
    <x v="684"/>
    <x v="233"/>
    <s v="CUST-0108"/>
    <s v="Small Business"/>
    <x v="0"/>
    <x v="5"/>
    <x v="3"/>
    <x v="9"/>
    <n v="10"/>
    <n v="752.71"/>
    <n v="0.2"/>
    <n v="6021.68"/>
    <n v="523.82000000000005"/>
    <n v="783.47999999999956"/>
    <x v="3"/>
    <x v="5"/>
    <n v="4"/>
    <s v="Sep"/>
    <s v="09"/>
    <s v="profit"/>
    <s v="large"/>
    <n v="13.010986967092233"/>
  </r>
  <r>
    <x v="685"/>
    <x v="233"/>
    <s v="CUST-0151"/>
    <s v="Corporate"/>
    <x v="2"/>
    <x v="2"/>
    <x v="0"/>
    <x v="8"/>
    <n v="1"/>
    <n v="101.8"/>
    <n v="0.15"/>
    <n v="86.53"/>
    <n v="42.08"/>
    <n v="44.45"/>
    <x v="3"/>
    <x v="5"/>
    <n v="5"/>
    <s v="Sep"/>
    <s v="09"/>
    <s v="profit"/>
    <s v="small"/>
    <n v="51.369467236796481"/>
  </r>
  <r>
    <x v="686"/>
    <x v="234"/>
    <s v="CUST-0335"/>
    <s v="Corporate"/>
    <x v="0"/>
    <x v="5"/>
    <x v="2"/>
    <x v="5"/>
    <n v="4"/>
    <n v="77.72"/>
    <n v="0"/>
    <n v="310.88"/>
    <n v="58.62"/>
    <n v="76.400000000000006"/>
    <x v="2"/>
    <x v="4"/>
    <n v="5"/>
    <s v="Sep"/>
    <s v="09"/>
    <s v="profit"/>
    <s v="small"/>
    <n v="24.575398867730318"/>
  </r>
  <r>
    <x v="687"/>
    <x v="234"/>
    <s v="CUST-0223"/>
    <s v="Corporate"/>
    <x v="1"/>
    <x v="4"/>
    <x v="2"/>
    <x v="5"/>
    <n v="2"/>
    <n v="85.06"/>
    <n v="0.1"/>
    <n v="153.108"/>
    <n v="68.52"/>
    <n v="16.068000000000012"/>
    <x v="4"/>
    <x v="0"/>
    <n v="2"/>
    <s v="Sep"/>
    <s v="09"/>
    <s v="profit"/>
    <s v="small"/>
    <n v="10.494552864644573"/>
  </r>
  <r>
    <x v="688"/>
    <x v="234"/>
    <s v="CUST-0159"/>
    <s v="Consumer"/>
    <x v="1"/>
    <x v="9"/>
    <x v="2"/>
    <x v="13"/>
    <n v="1"/>
    <n v="952.48"/>
    <n v="0"/>
    <n v="952.48"/>
    <n v="832.07"/>
    <n v="120.40999999999997"/>
    <x v="4"/>
    <x v="6"/>
    <n v="4"/>
    <s v="Sep"/>
    <s v="09"/>
    <s v="profit"/>
    <s v="medium"/>
    <n v="12.641735259533004"/>
  </r>
  <r>
    <x v="689"/>
    <x v="235"/>
    <s v="CUST-0385"/>
    <s v="Consumer"/>
    <x v="1"/>
    <x v="4"/>
    <x v="2"/>
    <x v="13"/>
    <n v="4"/>
    <n v="357.64"/>
    <n v="0"/>
    <n v="1430.56"/>
    <n v="308.72000000000003"/>
    <n v="195.67999999999984"/>
    <x v="2"/>
    <x v="2"/>
    <n v="4"/>
    <s v="Sep"/>
    <s v="09"/>
    <s v="profit"/>
    <s v="medium"/>
    <n v="13.678559445252198"/>
  </r>
  <r>
    <x v="690"/>
    <x v="235"/>
    <s v="CUST-0074"/>
    <s v="Small Business"/>
    <x v="0"/>
    <x v="0"/>
    <x v="2"/>
    <x v="10"/>
    <n v="1"/>
    <n v="1222.58"/>
    <n v="0"/>
    <n v="1222.58"/>
    <n v="982.13"/>
    <n v="240.44999999999993"/>
    <x v="2"/>
    <x v="5"/>
    <n v="5"/>
    <s v="Sep"/>
    <s v="09"/>
    <s v="profit"/>
    <s v="medium"/>
    <n v="19.667424626609296"/>
  </r>
  <r>
    <x v="691"/>
    <x v="235"/>
    <s v="CUST-0228"/>
    <s v="Consumer"/>
    <x v="0"/>
    <x v="0"/>
    <x v="2"/>
    <x v="10"/>
    <n v="1"/>
    <n v="1056.78"/>
    <n v="0.1"/>
    <n v="951.10199999999998"/>
    <n v="821.39"/>
    <n v="129.71199999999999"/>
    <x v="0"/>
    <x v="7"/>
    <n v="4"/>
    <s v="Sep"/>
    <s v="09"/>
    <s v="profit"/>
    <s v="medium"/>
    <n v="13.638074570340509"/>
  </r>
  <r>
    <x v="692"/>
    <x v="235"/>
    <s v="CUST-0152"/>
    <s v="Consumer"/>
    <x v="0"/>
    <x v="0"/>
    <x v="2"/>
    <x v="2"/>
    <n v="5"/>
    <n v="336.06"/>
    <n v="0"/>
    <n v="1680.3"/>
    <n v="270.82"/>
    <n v="326.20000000000005"/>
    <x v="2"/>
    <x v="6"/>
    <n v="3"/>
    <s v="Sep"/>
    <s v="09"/>
    <s v="profit"/>
    <s v="medium"/>
    <n v="19.413200023805278"/>
  </r>
  <r>
    <x v="693"/>
    <x v="236"/>
    <s v="CUST-0351"/>
    <s v="Corporate"/>
    <x v="2"/>
    <x v="2"/>
    <x v="3"/>
    <x v="4"/>
    <n v="1"/>
    <n v="20.61"/>
    <n v="0.2"/>
    <n v="16.488"/>
    <n v="13.87"/>
    <n v="2.6180000000000003"/>
    <x v="3"/>
    <x v="0"/>
    <n v="3"/>
    <s v="Sep"/>
    <s v="09"/>
    <s v="profit"/>
    <s v="small"/>
    <n v="15.878214459000487"/>
  </r>
  <r>
    <x v="694"/>
    <x v="236"/>
    <s v="CUST-0044"/>
    <s v="Consumer"/>
    <x v="0"/>
    <x v="5"/>
    <x v="2"/>
    <x v="10"/>
    <n v="2"/>
    <n v="1367.35"/>
    <n v="0"/>
    <n v="2734.7"/>
    <n v="1172.81"/>
    <n v="389.07999999999993"/>
    <x v="2"/>
    <x v="3"/>
    <n v="3"/>
    <s v="Sep"/>
    <s v="09"/>
    <s v="profit"/>
    <s v="large"/>
    <n v="14.227520386148388"/>
  </r>
  <r>
    <x v="695"/>
    <x v="236"/>
    <s v="CUST-0054"/>
    <s v="Corporate"/>
    <x v="2"/>
    <x v="2"/>
    <x v="0"/>
    <x v="0"/>
    <n v="5"/>
    <n v="69.16"/>
    <n v="0"/>
    <n v="345.79999999999995"/>
    <n v="42.36"/>
    <n v="133.99999999999994"/>
    <x v="1"/>
    <x v="7"/>
    <n v="5"/>
    <s v="Sep"/>
    <s v="09"/>
    <s v="profit"/>
    <s v="small"/>
    <n v="38.750722961249267"/>
  </r>
  <r>
    <x v="696"/>
    <x v="237"/>
    <s v="CUST-0229"/>
    <s v="Small Business"/>
    <x v="3"/>
    <x v="10"/>
    <x v="1"/>
    <x v="19"/>
    <n v="1"/>
    <n v="99.94"/>
    <n v="0"/>
    <n v="99.94"/>
    <n v="57.73"/>
    <n v="42.21"/>
    <x v="1"/>
    <x v="2"/>
    <n v="2"/>
    <s v="Sep"/>
    <s v="09"/>
    <s v="profit"/>
    <s v="small"/>
    <n v="42.235341204722836"/>
  </r>
  <r>
    <x v="697"/>
    <x v="238"/>
    <s v="CUST-0254"/>
    <s v="Corporate"/>
    <x v="3"/>
    <x v="7"/>
    <x v="0"/>
    <x v="8"/>
    <n v="4"/>
    <n v="70.319999999999993"/>
    <n v="0"/>
    <n v="281.27999999999997"/>
    <n v="40.03"/>
    <n v="121.15999999999997"/>
    <x v="1"/>
    <x v="6"/>
    <n v="4"/>
    <s v="Sep"/>
    <s v="09"/>
    <s v="profit"/>
    <s v="small"/>
    <n v="43.074516496018198"/>
  </r>
  <r>
    <x v="698"/>
    <x v="238"/>
    <s v="CUST-0274"/>
    <s v="Corporate"/>
    <x v="3"/>
    <x v="8"/>
    <x v="0"/>
    <x v="0"/>
    <n v="2"/>
    <n v="77.14"/>
    <n v="0.05"/>
    <n v="146.566"/>
    <n v="37.53"/>
    <n v="71.506"/>
    <x v="2"/>
    <x v="4"/>
    <n v="4"/>
    <s v="Sep"/>
    <s v="09"/>
    <s v="profit"/>
    <s v="small"/>
    <n v="48.787576927800444"/>
  </r>
  <r>
    <x v="699"/>
    <x v="239"/>
    <s v="CUST-0105"/>
    <s v="Consumer"/>
    <x v="3"/>
    <x v="10"/>
    <x v="0"/>
    <x v="3"/>
    <n v="1"/>
    <n v="103.23"/>
    <n v="0"/>
    <n v="103.23"/>
    <n v="47.06"/>
    <n v="56.17"/>
    <x v="0"/>
    <x v="0"/>
    <n v="5"/>
    <s v="Sep"/>
    <s v="09"/>
    <s v="profit"/>
    <s v="small"/>
    <n v="54.412476993122148"/>
  </r>
  <r>
    <x v="700"/>
    <x v="240"/>
    <s v="CUST-0283"/>
    <s v="Corporate"/>
    <x v="3"/>
    <x v="8"/>
    <x v="3"/>
    <x v="4"/>
    <n v="2"/>
    <n v="46.63"/>
    <n v="0.15"/>
    <n v="79.271000000000001"/>
    <n v="31.61"/>
    <n v="16.051000000000002"/>
    <x v="4"/>
    <x v="4"/>
    <n v="5"/>
    <s v="Sep"/>
    <s v="09"/>
    <s v="profit"/>
    <s v="small"/>
    <n v="20.24826229011871"/>
  </r>
  <r>
    <x v="701"/>
    <x v="241"/>
    <s v="CUST-0218"/>
    <s v="Corporate"/>
    <x v="3"/>
    <x v="8"/>
    <x v="2"/>
    <x v="13"/>
    <n v="4"/>
    <n v="393.79"/>
    <n v="0.1"/>
    <n v="1417.644"/>
    <n v="313.31"/>
    <n v="164.404"/>
    <x v="3"/>
    <x v="2"/>
    <n v="4"/>
    <s v="Sep"/>
    <s v="09"/>
    <s v="profit"/>
    <s v="medium"/>
    <n v="11.596987678147688"/>
  </r>
  <r>
    <x v="702"/>
    <x v="242"/>
    <s v="CUST-0292"/>
    <s v="Corporate"/>
    <x v="2"/>
    <x v="3"/>
    <x v="2"/>
    <x v="2"/>
    <n v="1"/>
    <n v="402.08"/>
    <n v="0"/>
    <n v="402.08"/>
    <n v="360.05"/>
    <n v="42.029999999999973"/>
    <x v="4"/>
    <x v="3"/>
    <n v="4"/>
    <s v="Sep"/>
    <s v="09"/>
    <s v="profit"/>
    <s v="small"/>
    <n v="10.453143653004371"/>
  </r>
  <r>
    <x v="703"/>
    <x v="242"/>
    <s v="CUST-0356"/>
    <s v="Consumer"/>
    <x v="1"/>
    <x v="9"/>
    <x v="2"/>
    <x v="2"/>
    <n v="2"/>
    <n v="338.47"/>
    <n v="0.1"/>
    <n v="609.24600000000009"/>
    <n v="289.42"/>
    <n v="30.406000000000063"/>
    <x v="0"/>
    <x v="2"/>
    <n v="3"/>
    <s v="Sep"/>
    <s v="09"/>
    <s v="profit"/>
    <s v="medium"/>
    <n v="4.9907590694071127"/>
  </r>
  <r>
    <x v="704"/>
    <x v="242"/>
    <s v="CUST-0233"/>
    <s v="Small Business"/>
    <x v="3"/>
    <x v="7"/>
    <x v="3"/>
    <x v="4"/>
    <n v="2"/>
    <n v="34.96"/>
    <n v="0.05"/>
    <n v="66.423999999999992"/>
    <n v="25.01"/>
    <n v="16.403999999999989"/>
    <x v="0"/>
    <x v="1"/>
    <n v="5"/>
    <s v="Sep"/>
    <s v="09"/>
    <s v="profit"/>
    <s v="small"/>
    <n v="24.695893050704552"/>
  </r>
  <r>
    <x v="705"/>
    <x v="243"/>
    <s v="CUST-0029"/>
    <s v="Consumer"/>
    <x v="1"/>
    <x v="4"/>
    <x v="0"/>
    <x v="0"/>
    <n v="4"/>
    <n v="42.67"/>
    <n v="0.05"/>
    <n v="162.14599999999999"/>
    <n v="26.75"/>
    <n v="55.145999999999987"/>
    <x v="1"/>
    <x v="3"/>
    <n v="5"/>
    <s v="Sep"/>
    <s v="09"/>
    <s v="profit"/>
    <s v="small"/>
    <n v="34.010089672270666"/>
  </r>
  <r>
    <x v="706"/>
    <x v="243"/>
    <s v="CUST-0085"/>
    <s v="Consumer"/>
    <x v="2"/>
    <x v="2"/>
    <x v="3"/>
    <x v="4"/>
    <n v="3"/>
    <n v="43.03"/>
    <n v="0.15"/>
    <n v="109.7265"/>
    <n v="28.24"/>
    <n v="25.006500000000003"/>
    <x v="0"/>
    <x v="6"/>
    <n v="3"/>
    <s v="Sep"/>
    <s v="09"/>
    <s v="profit"/>
    <s v="small"/>
    <n v="22.789845661713446"/>
  </r>
  <r>
    <x v="707"/>
    <x v="243"/>
    <s v="CUST-0055"/>
    <s v="Consumer"/>
    <x v="2"/>
    <x v="3"/>
    <x v="2"/>
    <x v="10"/>
    <n v="1"/>
    <n v="922.03"/>
    <n v="0"/>
    <n v="922.03"/>
    <n v="722.12"/>
    <n v="199.90999999999997"/>
    <x v="4"/>
    <x v="5"/>
    <n v="5"/>
    <s v="Sep"/>
    <s v="09"/>
    <s v="profit"/>
    <s v="medium"/>
    <n v="21.681507109313145"/>
  </r>
  <r>
    <x v="708"/>
    <x v="243"/>
    <s v="CUST-0289"/>
    <s v="Corporate"/>
    <x v="2"/>
    <x v="3"/>
    <x v="4"/>
    <x v="11"/>
    <n v="10"/>
    <n v="426.43"/>
    <n v="0.05"/>
    <n v="4051.085"/>
    <n v="338.38"/>
    <n v="667.28499999999985"/>
    <x v="3"/>
    <x v="5"/>
    <n v="3"/>
    <s v="Sep"/>
    <s v="09"/>
    <s v="profit"/>
    <s v="large"/>
    <n v="16.471760034657379"/>
  </r>
  <r>
    <x v="709"/>
    <x v="243"/>
    <s v="CUST-0372"/>
    <s v="Corporate"/>
    <x v="1"/>
    <x v="9"/>
    <x v="3"/>
    <x v="4"/>
    <n v="1"/>
    <n v="49.26"/>
    <n v="0.1"/>
    <n v="44.333999999999996"/>
    <n v="29.54"/>
    <n v="14.793999999999997"/>
    <x v="4"/>
    <x v="2"/>
    <n v="4"/>
    <s v="Sep"/>
    <s v="09"/>
    <s v="profit"/>
    <s v="small"/>
    <n v="33.369423016195242"/>
  </r>
  <r>
    <x v="710"/>
    <x v="244"/>
    <s v="CUST-0020"/>
    <s v="Corporate"/>
    <x v="0"/>
    <x v="5"/>
    <x v="3"/>
    <x v="4"/>
    <n v="4"/>
    <n v="31.08"/>
    <n v="0.05"/>
    <n v="118.10399999999998"/>
    <n v="18.489999999999998"/>
    <n v="44.143999999999991"/>
    <x v="4"/>
    <x v="3"/>
    <n v="4"/>
    <s v="Sep"/>
    <s v="09"/>
    <s v="profit"/>
    <s v="small"/>
    <n v="37.377226850911057"/>
  </r>
  <r>
    <x v="711"/>
    <x v="244"/>
    <s v="CUST-0083"/>
    <s v="Small Business"/>
    <x v="3"/>
    <x v="10"/>
    <x v="2"/>
    <x v="10"/>
    <n v="3"/>
    <n v="1364.61"/>
    <n v="0.1"/>
    <n v="3684.4470000000001"/>
    <n v="1180.75"/>
    <n v="142.19700000000012"/>
    <x v="2"/>
    <x v="7"/>
    <n v="4"/>
    <s v="Sep"/>
    <s v="09"/>
    <s v="profit"/>
    <s v="large"/>
    <n v="3.8593851397509615"/>
  </r>
  <r>
    <x v="712"/>
    <x v="244"/>
    <s v="CUST-0199"/>
    <s v="Consumer"/>
    <x v="1"/>
    <x v="4"/>
    <x v="2"/>
    <x v="5"/>
    <n v="6"/>
    <n v="127.29"/>
    <n v="0.1"/>
    <n v="687.36599999999999"/>
    <n v="98.22"/>
    <n v="98.046000000000049"/>
    <x v="4"/>
    <x v="2"/>
    <n v="5"/>
    <s v="Sep"/>
    <s v="09"/>
    <s v="profit"/>
    <s v="medium"/>
    <n v="14.264016550134869"/>
  </r>
  <r>
    <x v="713"/>
    <x v="245"/>
    <s v="CUST-0045"/>
    <s v="Corporate"/>
    <x v="2"/>
    <x v="2"/>
    <x v="0"/>
    <x v="3"/>
    <n v="5"/>
    <n v="51.69"/>
    <n v="0.1"/>
    <n v="232.60499999999999"/>
    <n v="33.409999999999997"/>
    <n v="65.555000000000007"/>
    <x v="3"/>
    <x v="0"/>
    <n v="3"/>
    <s v="Sep"/>
    <s v="09"/>
    <s v="profit"/>
    <s v="small"/>
    <n v="28.182971131317043"/>
  </r>
  <r>
    <x v="714"/>
    <x v="245"/>
    <s v="CUST-0236"/>
    <s v="Corporate"/>
    <x v="2"/>
    <x v="3"/>
    <x v="3"/>
    <x v="16"/>
    <n v="1"/>
    <n v="33.520000000000003"/>
    <n v="0.1"/>
    <n v="30.168000000000003"/>
    <n v="21.28"/>
    <n v="8.8880000000000017"/>
    <x v="1"/>
    <x v="1"/>
    <n v="5"/>
    <s v="Sep"/>
    <s v="09"/>
    <s v="profit"/>
    <s v="small"/>
    <n v="29.461681251657389"/>
  </r>
  <r>
    <x v="715"/>
    <x v="246"/>
    <s v="CUST-0210"/>
    <s v="Small Business"/>
    <x v="1"/>
    <x v="4"/>
    <x v="0"/>
    <x v="0"/>
    <n v="2"/>
    <n v="86.09"/>
    <n v="0"/>
    <n v="172.18"/>
    <n v="35.049999999999997"/>
    <n v="102.08000000000001"/>
    <x v="4"/>
    <x v="0"/>
    <n v="4"/>
    <s v="Sep"/>
    <s v="09"/>
    <s v="profit"/>
    <s v="small"/>
    <n v="59.286792891160424"/>
  </r>
  <r>
    <x v="716"/>
    <x v="246"/>
    <s v="CUST-0022"/>
    <s v="Small Business"/>
    <x v="1"/>
    <x v="1"/>
    <x v="1"/>
    <x v="6"/>
    <n v="5"/>
    <n v="118.47"/>
    <n v="0.2"/>
    <n v="473.88000000000005"/>
    <n v="72.69"/>
    <n v="110.43000000000006"/>
    <x v="3"/>
    <x v="4"/>
    <n v="4"/>
    <s v="Sep"/>
    <s v="09"/>
    <s v="profit"/>
    <s v="small"/>
    <n v="23.303367941250961"/>
  </r>
  <r>
    <x v="717"/>
    <x v="247"/>
    <s v="CUST-0199"/>
    <s v="Corporate"/>
    <x v="3"/>
    <x v="10"/>
    <x v="0"/>
    <x v="0"/>
    <n v="2"/>
    <n v="80.45"/>
    <n v="0"/>
    <n v="160.9"/>
    <n v="46.45"/>
    <n v="68"/>
    <x v="3"/>
    <x v="7"/>
    <n v="4"/>
    <s v="Sep"/>
    <s v="09"/>
    <s v="profit"/>
    <s v="small"/>
    <n v="42.262274704785582"/>
  </r>
  <r>
    <x v="718"/>
    <x v="247"/>
    <s v="CUST-0169"/>
    <s v="Consumer"/>
    <x v="0"/>
    <x v="6"/>
    <x v="0"/>
    <x v="3"/>
    <n v="4"/>
    <n v="53.09"/>
    <n v="0"/>
    <n v="212.36"/>
    <n v="32.119999999999997"/>
    <n v="83.880000000000024"/>
    <x v="0"/>
    <x v="7"/>
    <n v="5"/>
    <s v="Sep"/>
    <s v="09"/>
    <s v="profit"/>
    <s v="small"/>
    <n v="39.498964023356578"/>
  </r>
  <r>
    <x v="719"/>
    <x v="248"/>
    <s v="CUST-0291"/>
    <s v="Consumer"/>
    <x v="3"/>
    <x v="8"/>
    <x v="0"/>
    <x v="3"/>
    <n v="1"/>
    <n v="53.72"/>
    <n v="0"/>
    <n v="53.72"/>
    <n v="28.81"/>
    <n v="24.91"/>
    <x v="2"/>
    <x v="6"/>
    <n v="2"/>
    <s v="Sep"/>
    <s v="09"/>
    <s v="profit"/>
    <s v="small"/>
    <n v="46.37006701414743"/>
  </r>
  <r>
    <x v="720"/>
    <x v="249"/>
    <s v="CUST-0139"/>
    <s v="Corporate"/>
    <x v="3"/>
    <x v="7"/>
    <x v="1"/>
    <x v="1"/>
    <n v="8"/>
    <n v="392.93"/>
    <n v="0.1"/>
    <n v="2829.096"/>
    <n v="277.93"/>
    <n v="605.65599999999995"/>
    <x v="4"/>
    <x v="2"/>
    <n v="3"/>
    <s v="Sep"/>
    <s v="09"/>
    <s v="profit"/>
    <s v="large"/>
    <n v="21.408110576664772"/>
  </r>
  <r>
    <x v="721"/>
    <x v="249"/>
    <s v="CUST-0095"/>
    <s v="Consumer"/>
    <x v="1"/>
    <x v="9"/>
    <x v="4"/>
    <x v="14"/>
    <n v="1"/>
    <n v="190.38"/>
    <n v="0.15"/>
    <n v="161.82299999999998"/>
    <n v="125.19"/>
    <n v="36.632999999999981"/>
    <x v="3"/>
    <x v="6"/>
    <n v="4"/>
    <s v="Sep"/>
    <s v="09"/>
    <s v="profit"/>
    <s v="small"/>
    <n v="22.637696742737425"/>
  </r>
  <r>
    <x v="722"/>
    <x v="250"/>
    <s v="CUST-0357"/>
    <s v="Corporate"/>
    <x v="1"/>
    <x v="1"/>
    <x v="1"/>
    <x v="15"/>
    <n v="2"/>
    <n v="63.76"/>
    <n v="0.1"/>
    <n v="114.768"/>
    <n v="35.81"/>
    <n v="43.147999999999996"/>
    <x v="0"/>
    <x v="6"/>
    <n v="5"/>
    <s v="Sep"/>
    <s v="09"/>
    <s v="profit"/>
    <s v="small"/>
    <n v="37.595845531855566"/>
  </r>
  <r>
    <x v="723"/>
    <x v="250"/>
    <s v="CUST-0376"/>
    <s v="Small Business"/>
    <x v="3"/>
    <x v="8"/>
    <x v="0"/>
    <x v="0"/>
    <n v="3"/>
    <n v="30.06"/>
    <n v="0.15"/>
    <n v="76.652999999999992"/>
    <n v="14.52"/>
    <n v="33.092999999999989"/>
    <x v="0"/>
    <x v="5"/>
    <n v="3"/>
    <s v="Sep"/>
    <s v="09"/>
    <s v="profit"/>
    <s v="small"/>
    <n v="43.172478572267217"/>
  </r>
  <r>
    <x v="724"/>
    <x v="250"/>
    <s v="CUST-0231"/>
    <s v="Consumer"/>
    <x v="1"/>
    <x v="1"/>
    <x v="0"/>
    <x v="0"/>
    <n v="2"/>
    <n v="57.46"/>
    <n v="0"/>
    <n v="114.92"/>
    <n v="32.799999999999997"/>
    <n v="49.320000000000007"/>
    <x v="1"/>
    <x v="2"/>
    <n v="1"/>
    <s v="Sep"/>
    <s v="09"/>
    <s v="profit"/>
    <s v="small"/>
    <n v="42.916811695092242"/>
  </r>
  <r>
    <x v="725"/>
    <x v="251"/>
    <s v="CUST-0098"/>
    <s v="Small Business"/>
    <x v="3"/>
    <x v="10"/>
    <x v="1"/>
    <x v="15"/>
    <n v="2"/>
    <n v="101.43"/>
    <n v="0"/>
    <n v="202.86"/>
    <n v="64.989999999999995"/>
    <n v="72.880000000000024"/>
    <x v="2"/>
    <x v="5"/>
    <n v="4"/>
    <s v="Sep"/>
    <s v="09"/>
    <s v="profit"/>
    <s v="small"/>
    <n v="35.926254559794941"/>
  </r>
  <r>
    <x v="726"/>
    <x v="252"/>
    <s v="CUST-0212"/>
    <s v="Corporate"/>
    <x v="0"/>
    <x v="5"/>
    <x v="4"/>
    <x v="18"/>
    <n v="2"/>
    <n v="230.36"/>
    <n v="0.2"/>
    <n v="368.57600000000002"/>
    <n v="161.16"/>
    <n v="46.256000000000029"/>
    <x v="0"/>
    <x v="7"/>
    <n v="5"/>
    <s v="Sep"/>
    <s v="09"/>
    <s v="profit"/>
    <s v="small"/>
    <n v="12.549921861434285"/>
  </r>
  <r>
    <x v="727"/>
    <x v="252"/>
    <s v="CUST-0278"/>
    <s v="Corporate"/>
    <x v="1"/>
    <x v="1"/>
    <x v="0"/>
    <x v="8"/>
    <n v="1"/>
    <n v="64.84"/>
    <n v="0.05"/>
    <n v="61.597999999999999"/>
    <n v="39.299999999999997"/>
    <n v="22.298000000000002"/>
    <x v="1"/>
    <x v="1"/>
    <n v="5"/>
    <s v="Sep"/>
    <s v="09"/>
    <s v="profit"/>
    <s v="small"/>
    <n v="36.199227247637914"/>
  </r>
  <r>
    <x v="728"/>
    <x v="252"/>
    <s v="CUST-0333"/>
    <s v="Consumer"/>
    <x v="0"/>
    <x v="0"/>
    <x v="1"/>
    <x v="1"/>
    <n v="5"/>
    <n v="279.26"/>
    <n v="0"/>
    <n v="1396.3"/>
    <n v="170.23"/>
    <n v="545.15"/>
    <x v="2"/>
    <x v="6"/>
    <n v="2"/>
    <s v="Sep"/>
    <s v="09"/>
    <s v="profit"/>
    <s v="medium"/>
    <n v="39.042469383370339"/>
  </r>
  <r>
    <x v="729"/>
    <x v="253"/>
    <s v="CUST-0115"/>
    <s v="Corporate"/>
    <x v="0"/>
    <x v="5"/>
    <x v="1"/>
    <x v="19"/>
    <n v="1"/>
    <n v="85.18"/>
    <n v="0.05"/>
    <n v="80.921000000000006"/>
    <n v="55.31"/>
    <n v="25.611000000000004"/>
    <x v="2"/>
    <x v="6"/>
    <n v="2"/>
    <s v="Sep"/>
    <s v="09"/>
    <s v="profit"/>
    <s v="small"/>
    <n v="31.649386438625328"/>
  </r>
  <r>
    <x v="730"/>
    <x v="253"/>
    <s v="CUST-0380"/>
    <s v="Corporate"/>
    <x v="1"/>
    <x v="1"/>
    <x v="3"/>
    <x v="4"/>
    <n v="6"/>
    <n v="25.32"/>
    <n v="0.1"/>
    <n v="136.72800000000001"/>
    <n v="14.97"/>
    <n v="46.908000000000001"/>
    <x v="3"/>
    <x v="7"/>
    <n v="5"/>
    <s v="Sep"/>
    <s v="09"/>
    <s v="profit"/>
    <s v="small"/>
    <n v="34.307530279094259"/>
  </r>
  <r>
    <x v="731"/>
    <x v="253"/>
    <s v="CUST-0213"/>
    <s v="Consumer"/>
    <x v="1"/>
    <x v="9"/>
    <x v="0"/>
    <x v="8"/>
    <n v="1"/>
    <n v="198.93"/>
    <n v="0.15"/>
    <n v="169.09049999999999"/>
    <n v="116.15"/>
    <n v="52.940499999999986"/>
    <x v="3"/>
    <x v="5"/>
    <n v="3"/>
    <s v="Sep"/>
    <s v="09"/>
    <s v="profit"/>
    <s v="small"/>
    <n v="31.308973596979129"/>
  </r>
  <r>
    <x v="732"/>
    <x v="253"/>
    <s v="CUST-0316"/>
    <s v="Small Business"/>
    <x v="1"/>
    <x v="4"/>
    <x v="4"/>
    <x v="18"/>
    <n v="3"/>
    <n v="123.67"/>
    <n v="0"/>
    <n v="371.01"/>
    <n v="75.209999999999994"/>
    <n v="145.38"/>
    <x v="1"/>
    <x v="5"/>
    <n v="5"/>
    <s v="Sep"/>
    <s v="09"/>
    <s v="profit"/>
    <s v="small"/>
    <n v="39.184927629983015"/>
  </r>
  <r>
    <x v="733"/>
    <x v="254"/>
    <s v="CUST-0224"/>
    <s v="Consumer"/>
    <x v="3"/>
    <x v="8"/>
    <x v="0"/>
    <x v="0"/>
    <n v="6"/>
    <n v="86.06"/>
    <n v="0.05"/>
    <n v="490.54199999999997"/>
    <n v="47.54"/>
    <n v="205.30199999999996"/>
    <x v="3"/>
    <x v="3"/>
    <n v="4"/>
    <s v="Sep"/>
    <s v="09"/>
    <s v="profit"/>
    <s v="small"/>
    <n v="41.852073828540668"/>
  </r>
  <r>
    <x v="734"/>
    <x v="254"/>
    <s v="CUST-0048"/>
    <s v="Consumer"/>
    <x v="2"/>
    <x v="2"/>
    <x v="0"/>
    <x v="3"/>
    <n v="1"/>
    <n v="141.16"/>
    <n v="0"/>
    <n v="141.16"/>
    <n v="69.62"/>
    <n v="71.539999999999992"/>
    <x v="3"/>
    <x v="6"/>
    <n v="1"/>
    <s v="Sep"/>
    <s v="09"/>
    <s v="profit"/>
    <s v="small"/>
    <n v="50.68007934258997"/>
  </r>
  <r>
    <x v="735"/>
    <x v="255"/>
    <s v="CUST-0067"/>
    <s v="Corporate"/>
    <x v="0"/>
    <x v="5"/>
    <x v="1"/>
    <x v="15"/>
    <n v="2"/>
    <n v="34.729999999999997"/>
    <n v="0.1"/>
    <n v="62.513999999999996"/>
    <n v="21.13"/>
    <n v="20.253999999999998"/>
    <x v="0"/>
    <x v="3"/>
    <n v="3"/>
    <s v="Oct"/>
    <s v="10"/>
    <s v="profit"/>
    <s v="small"/>
    <n v="32.399142592059377"/>
  </r>
  <r>
    <x v="736"/>
    <x v="255"/>
    <s v="CUST-0074"/>
    <s v="Small Business"/>
    <x v="1"/>
    <x v="1"/>
    <x v="3"/>
    <x v="9"/>
    <n v="3"/>
    <n v="275.99"/>
    <n v="0"/>
    <n v="827.97"/>
    <n v="160.6"/>
    <n v="346.17000000000007"/>
    <x v="3"/>
    <x v="2"/>
    <n v="2"/>
    <s v="Oct"/>
    <s v="10"/>
    <s v="profit"/>
    <s v="medium"/>
    <n v="41.809485850936632"/>
  </r>
  <r>
    <x v="737"/>
    <x v="255"/>
    <s v="CUST-0107"/>
    <s v="Corporate"/>
    <x v="3"/>
    <x v="7"/>
    <x v="3"/>
    <x v="4"/>
    <n v="1"/>
    <n v="16.07"/>
    <n v="0.15"/>
    <n v="13.6595"/>
    <n v="11.14"/>
    <n v="2.519499999999999"/>
    <x v="3"/>
    <x v="0"/>
    <n v="5"/>
    <s v="Oct"/>
    <s v="10"/>
    <s v="profit"/>
    <s v="small"/>
    <n v="18.445038251766164"/>
  </r>
  <r>
    <x v="738"/>
    <x v="256"/>
    <s v="CUST-0231"/>
    <s v="Consumer"/>
    <x v="1"/>
    <x v="1"/>
    <x v="0"/>
    <x v="3"/>
    <n v="6"/>
    <n v="155.11000000000001"/>
    <n v="0.1"/>
    <n v="837.59400000000005"/>
    <n v="97.86"/>
    <n v="250.43400000000008"/>
    <x v="4"/>
    <x v="1"/>
    <n v="1"/>
    <s v="Oct"/>
    <s v="10"/>
    <s v="profit"/>
    <s v="medium"/>
    <n v="29.899211312401956"/>
  </r>
  <r>
    <x v="739"/>
    <x v="256"/>
    <s v="CUST-0315"/>
    <s v="Small Business"/>
    <x v="0"/>
    <x v="6"/>
    <x v="2"/>
    <x v="2"/>
    <n v="10"/>
    <n v="313.55"/>
    <n v="0.05"/>
    <n v="2978.7249999999999"/>
    <n v="241.99"/>
    <n v="558.82499999999982"/>
    <x v="2"/>
    <x v="5"/>
    <n v="3"/>
    <s v="Oct"/>
    <s v="10"/>
    <s v="profit"/>
    <s v="large"/>
    <n v="18.760543521137393"/>
  </r>
  <r>
    <x v="740"/>
    <x v="256"/>
    <s v="CUST-0187"/>
    <s v="Consumer"/>
    <x v="0"/>
    <x v="5"/>
    <x v="1"/>
    <x v="19"/>
    <n v="2"/>
    <n v="43.32"/>
    <n v="0"/>
    <n v="86.64"/>
    <n v="32.229999999999997"/>
    <n v="22.180000000000007"/>
    <x v="4"/>
    <x v="5"/>
    <n v="4"/>
    <s v="Oct"/>
    <s v="10"/>
    <s v="profit"/>
    <s v="small"/>
    <n v="25.600184672206836"/>
  </r>
  <r>
    <x v="741"/>
    <x v="256"/>
    <s v="CUST-0240"/>
    <s v="Small Business"/>
    <x v="0"/>
    <x v="6"/>
    <x v="2"/>
    <x v="13"/>
    <n v="4"/>
    <n v="514.07000000000005"/>
    <n v="0.1"/>
    <n v="1850.6520000000003"/>
    <n v="425.53"/>
    <n v="148.53200000000038"/>
    <x v="1"/>
    <x v="6"/>
    <n v="4"/>
    <s v="Oct"/>
    <s v="10"/>
    <s v="profit"/>
    <s v="medium"/>
    <n v="8.0259281593730396"/>
  </r>
  <r>
    <x v="742"/>
    <x v="256"/>
    <s v="CUST-0301"/>
    <s v="Corporate"/>
    <x v="2"/>
    <x v="11"/>
    <x v="4"/>
    <x v="11"/>
    <n v="1"/>
    <n v="240.04"/>
    <n v="0.1"/>
    <n v="216.036"/>
    <n v="182.53"/>
    <n v="33.506"/>
    <x v="4"/>
    <x v="4"/>
    <n v="5"/>
    <s v="Oct"/>
    <s v="10"/>
    <s v="profit"/>
    <s v="small"/>
    <n v="15.509452128348981"/>
  </r>
  <r>
    <x v="743"/>
    <x v="257"/>
    <s v="CUST-0103"/>
    <s v="Small Business"/>
    <x v="2"/>
    <x v="2"/>
    <x v="0"/>
    <x v="3"/>
    <n v="1"/>
    <n v="90.85"/>
    <n v="0"/>
    <n v="90.85"/>
    <n v="42.08"/>
    <n v="48.769999999999996"/>
    <x v="0"/>
    <x v="7"/>
    <n v="5"/>
    <s v="Oct"/>
    <s v="10"/>
    <s v="profit"/>
    <s v="small"/>
    <n v="53.681893230599883"/>
  </r>
  <r>
    <x v="744"/>
    <x v="257"/>
    <s v="CUST-0331"/>
    <s v="Small Business"/>
    <x v="2"/>
    <x v="2"/>
    <x v="1"/>
    <x v="1"/>
    <n v="2"/>
    <n v="125.19"/>
    <n v="0.1"/>
    <n v="225.34200000000001"/>
    <n v="93.05"/>
    <n v="39.242000000000019"/>
    <x v="0"/>
    <x v="6"/>
    <n v="1"/>
    <s v="Oct"/>
    <s v="10"/>
    <s v="profit"/>
    <s v="small"/>
    <n v="17.414418972051379"/>
  </r>
  <r>
    <x v="745"/>
    <x v="257"/>
    <s v="CUST-0075"/>
    <s v="Corporate"/>
    <x v="3"/>
    <x v="7"/>
    <x v="2"/>
    <x v="5"/>
    <n v="1"/>
    <n v="145.93"/>
    <n v="0"/>
    <n v="145.93"/>
    <n v="127.27"/>
    <n v="18.660000000000011"/>
    <x v="3"/>
    <x v="5"/>
    <n v="3"/>
    <s v="Oct"/>
    <s v="10"/>
    <s v="profit"/>
    <s v="small"/>
    <n v="12.786952648530123"/>
  </r>
  <r>
    <x v="746"/>
    <x v="257"/>
    <s v="CUST-0309"/>
    <s v="Consumer"/>
    <x v="2"/>
    <x v="3"/>
    <x v="2"/>
    <x v="5"/>
    <n v="3"/>
    <n v="87.72"/>
    <n v="0"/>
    <n v="263.15999999999997"/>
    <n v="71.48"/>
    <n v="48.71999999999997"/>
    <x v="2"/>
    <x v="4"/>
    <n v="2"/>
    <s v="Oct"/>
    <s v="10"/>
    <s v="profit"/>
    <s v="small"/>
    <n v="18.513451892384854"/>
  </r>
  <r>
    <x v="747"/>
    <x v="257"/>
    <s v="CUST-0026"/>
    <s v="Corporate"/>
    <x v="1"/>
    <x v="1"/>
    <x v="4"/>
    <x v="14"/>
    <n v="5"/>
    <n v="292.36"/>
    <n v="0"/>
    <n v="1461.8000000000002"/>
    <n v="196.1"/>
    <n v="481.30000000000018"/>
    <x v="1"/>
    <x v="5"/>
    <n v="5"/>
    <s v="Oct"/>
    <s v="10"/>
    <s v="profit"/>
    <s v="medium"/>
    <n v="32.925160760705985"/>
  </r>
  <r>
    <x v="748"/>
    <x v="258"/>
    <s v="CUST-0330"/>
    <s v="Small Business"/>
    <x v="1"/>
    <x v="4"/>
    <x v="0"/>
    <x v="17"/>
    <n v="3"/>
    <n v="20.23"/>
    <n v="0"/>
    <n v="60.69"/>
    <n v="10.11"/>
    <n v="30.36"/>
    <x v="3"/>
    <x v="0"/>
    <n v="3"/>
    <s v="Oct"/>
    <s v="10"/>
    <s v="profit"/>
    <s v="small"/>
    <n v="50.024715768660414"/>
  </r>
  <r>
    <x v="749"/>
    <x v="258"/>
    <s v="CUST-0049"/>
    <s v="Corporate"/>
    <x v="0"/>
    <x v="6"/>
    <x v="1"/>
    <x v="1"/>
    <n v="3"/>
    <n v="82.21"/>
    <n v="0"/>
    <n v="246.63"/>
    <n v="52.89"/>
    <n v="87.95999999999998"/>
    <x v="0"/>
    <x v="1"/>
    <n v="3"/>
    <s v="Oct"/>
    <s v="10"/>
    <s v="profit"/>
    <s v="small"/>
    <n v="35.664760977983207"/>
  </r>
  <r>
    <x v="750"/>
    <x v="258"/>
    <s v="CUST-0253"/>
    <s v="Small Business"/>
    <x v="0"/>
    <x v="6"/>
    <x v="4"/>
    <x v="14"/>
    <n v="1"/>
    <n v="285.89"/>
    <n v="0.2"/>
    <n v="228.71199999999999"/>
    <n v="210.81"/>
    <n v="17.901999999999987"/>
    <x v="3"/>
    <x v="7"/>
    <n v="5"/>
    <s v="Oct"/>
    <s v="10"/>
    <s v="profit"/>
    <s v="small"/>
    <n v="7.8273112036097743"/>
  </r>
  <r>
    <x v="751"/>
    <x v="258"/>
    <s v="CUST-0116"/>
    <s v="Consumer"/>
    <x v="0"/>
    <x v="6"/>
    <x v="2"/>
    <x v="13"/>
    <n v="5"/>
    <n v="338.27"/>
    <n v="0.1"/>
    <n v="1522.2149999999999"/>
    <n v="303.92"/>
    <n v="2.6149999999997817"/>
    <x v="3"/>
    <x v="4"/>
    <n v="5"/>
    <s v="Oct"/>
    <s v="10"/>
    <s v="profit"/>
    <s v="medium"/>
    <n v="0.17178913622581449"/>
  </r>
  <r>
    <x v="752"/>
    <x v="258"/>
    <s v="CUST-0039"/>
    <s v="Corporate"/>
    <x v="2"/>
    <x v="3"/>
    <x v="1"/>
    <x v="19"/>
    <n v="1"/>
    <n v="113.74"/>
    <n v="0.2"/>
    <n v="90.992000000000004"/>
    <n v="65.56"/>
    <n v="25.432000000000002"/>
    <x v="0"/>
    <x v="6"/>
    <n v="3"/>
    <s v="Oct"/>
    <s v="10"/>
    <s v="profit"/>
    <s v="small"/>
    <n v="27.949709864603484"/>
  </r>
  <r>
    <x v="753"/>
    <x v="258"/>
    <s v="CUST-0212"/>
    <s v="Small Business"/>
    <x v="2"/>
    <x v="3"/>
    <x v="2"/>
    <x v="13"/>
    <n v="4"/>
    <n v="766.76"/>
    <n v="0.15"/>
    <n v="2606.9839999999999"/>
    <n v="676.29"/>
    <n v="-98.175999999999931"/>
    <x v="1"/>
    <x v="2"/>
    <n v="4"/>
    <s v="Oct"/>
    <s v="10"/>
    <s v="profit"/>
    <s v="large"/>
    <n v="-3.7658842555228547"/>
  </r>
  <r>
    <x v="754"/>
    <x v="259"/>
    <s v="CUST-0393"/>
    <s v="Corporate"/>
    <x v="2"/>
    <x v="2"/>
    <x v="2"/>
    <x v="12"/>
    <n v="2"/>
    <n v="513.70000000000005"/>
    <n v="0"/>
    <n v="1027.4000000000001"/>
    <n v="387.1"/>
    <n v="253.20000000000005"/>
    <x v="3"/>
    <x v="7"/>
    <n v="4"/>
    <s v="Oct"/>
    <s v="10"/>
    <s v="profit"/>
    <s v="medium"/>
    <n v="24.644734280708587"/>
  </r>
  <r>
    <x v="755"/>
    <x v="259"/>
    <s v="CUST-0240"/>
    <s v="Corporate"/>
    <x v="1"/>
    <x v="4"/>
    <x v="3"/>
    <x v="16"/>
    <n v="1"/>
    <n v="111.87"/>
    <n v="0.1"/>
    <n v="100.68300000000001"/>
    <n v="82.22"/>
    <n v="18.463000000000008"/>
    <x v="4"/>
    <x v="0"/>
    <n v="2"/>
    <s v="Oct"/>
    <s v="10"/>
    <s v="profit"/>
    <s v="small"/>
    <n v="18.337753146012741"/>
  </r>
  <r>
    <x v="756"/>
    <x v="260"/>
    <s v="CUST-0259"/>
    <s v="Consumer"/>
    <x v="2"/>
    <x v="11"/>
    <x v="2"/>
    <x v="2"/>
    <n v="4"/>
    <n v="361.79"/>
    <n v="0.1"/>
    <n v="1302.4440000000002"/>
    <n v="297.72000000000003"/>
    <n v="111.56400000000008"/>
    <x v="4"/>
    <x v="4"/>
    <n v="5"/>
    <s v="Oct"/>
    <s v="10"/>
    <s v="profit"/>
    <s v="medium"/>
    <n v="8.5657425578374244"/>
  </r>
  <r>
    <x v="757"/>
    <x v="261"/>
    <s v="CUST-0352"/>
    <s v="Corporate"/>
    <x v="1"/>
    <x v="4"/>
    <x v="4"/>
    <x v="7"/>
    <n v="1"/>
    <n v="1081.07"/>
    <n v="0.05"/>
    <n v="1027.0165"/>
    <n v="753.84"/>
    <n v="273.17649999999992"/>
    <x v="2"/>
    <x v="2"/>
    <n v="3"/>
    <s v="Oct"/>
    <s v="10"/>
    <s v="profit"/>
    <s v="medium"/>
    <n v="26.599037113814621"/>
  </r>
  <r>
    <x v="758"/>
    <x v="261"/>
    <s v="CUST-0232"/>
    <s v="Corporate"/>
    <x v="3"/>
    <x v="8"/>
    <x v="3"/>
    <x v="4"/>
    <n v="1"/>
    <n v="21.14"/>
    <n v="0.1"/>
    <n v="19.026"/>
    <n v="12.07"/>
    <n v="6.9559999999999995"/>
    <x v="0"/>
    <x v="2"/>
    <n v="5"/>
    <s v="Oct"/>
    <s v="10"/>
    <s v="profit"/>
    <s v="small"/>
    <n v="36.560496163145167"/>
  </r>
  <r>
    <x v="759"/>
    <x v="261"/>
    <s v="CUST-0190"/>
    <s v="Consumer"/>
    <x v="1"/>
    <x v="9"/>
    <x v="2"/>
    <x v="12"/>
    <n v="2"/>
    <n v="266.64"/>
    <n v="0.05"/>
    <n v="506.61599999999993"/>
    <n v="224.1"/>
    <n v="58.41599999999994"/>
    <x v="3"/>
    <x v="6"/>
    <n v="5"/>
    <s v="Oct"/>
    <s v="10"/>
    <s v="profit"/>
    <s v="medium"/>
    <n v="11.530626746885204"/>
  </r>
  <r>
    <x v="760"/>
    <x v="261"/>
    <s v="CUST-0056"/>
    <s v="Small Business"/>
    <x v="2"/>
    <x v="2"/>
    <x v="0"/>
    <x v="8"/>
    <n v="3"/>
    <n v="78.150000000000006"/>
    <n v="0.05"/>
    <n v="222.72749999999999"/>
    <n v="47.35"/>
    <n v="80.677499999999981"/>
    <x v="3"/>
    <x v="4"/>
    <n v="5"/>
    <s v="Oct"/>
    <s v="10"/>
    <s v="profit"/>
    <s v="small"/>
    <n v="36.222514058659115"/>
  </r>
  <r>
    <x v="761"/>
    <x v="262"/>
    <s v="CUST-0318"/>
    <s v="Small Business"/>
    <x v="3"/>
    <x v="7"/>
    <x v="2"/>
    <x v="10"/>
    <n v="2"/>
    <n v="1321.29"/>
    <n v="0"/>
    <n v="2642.58"/>
    <n v="1075.1500000000001"/>
    <n v="492.27999999999975"/>
    <x v="1"/>
    <x v="6"/>
    <n v="4"/>
    <s v="Oct"/>
    <s v="10"/>
    <s v="profit"/>
    <s v="large"/>
    <n v="18.628764313663154"/>
  </r>
  <r>
    <x v="762"/>
    <x v="262"/>
    <s v="CUST-0148"/>
    <s v="Small Business"/>
    <x v="3"/>
    <x v="8"/>
    <x v="2"/>
    <x v="5"/>
    <n v="3"/>
    <n v="163.69999999999999"/>
    <n v="0.1"/>
    <n v="441.98999999999995"/>
    <n v="143.13"/>
    <n v="12.599999999999966"/>
    <x v="3"/>
    <x v="2"/>
    <n v="3"/>
    <s v="Oct"/>
    <s v="10"/>
    <s v="profit"/>
    <s v="small"/>
    <n v="2.8507432294848223"/>
  </r>
  <r>
    <x v="763"/>
    <x v="263"/>
    <s v="CUST-0096"/>
    <s v="Corporate"/>
    <x v="3"/>
    <x v="7"/>
    <x v="3"/>
    <x v="20"/>
    <n v="2"/>
    <n v="140.86000000000001"/>
    <n v="0"/>
    <n v="281.72000000000003"/>
    <n v="81.63"/>
    <n v="118.46000000000004"/>
    <x v="1"/>
    <x v="3"/>
    <n v="5"/>
    <s v="Oct"/>
    <s v="10"/>
    <s v="profit"/>
    <s v="small"/>
    <n v="42.048842822660809"/>
  </r>
  <r>
    <x v="764"/>
    <x v="263"/>
    <s v="CUST-0005"/>
    <s v="Small Business"/>
    <x v="2"/>
    <x v="3"/>
    <x v="1"/>
    <x v="1"/>
    <n v="1"/>
    <n v="180.24"/>
    <n v="0.1"/>
    <n v="162.21600000000001"/>
    <n v="128.78"/>
    <n v="33.436000000000007"/>
    <x v="0"/>
    <x v="0"/>
    <n v="4"/>
    <s v="Oct"/>
    <s v="10"/>
    <s v="profit"/>
    <s v="small"/>
    <n v="20.612023474873013"/>
  </r>
  <r>
    <x v="765"/>
    <x v="263"/>
    <s v="CUST-0117"/>
    <s v="Small Business"/>
    <x v="0"/>
    <x v="5"/>
    <x v="0"/>
    <x v="0"/>
    <n v="3"/>
    <n v="55.72"/>
    <n v="0"/>
    <n v="167.16"/>
    <n v="35.590000000000003"/>
    <n v="60.389999999999986"/>
    <x v="2"/>
    <x v="3"/>
    <n v="5"/>
    <s v="Oct"/>
    <s v="10"/>
    <s v="profit"/>
    <s v="small"/>
    <n v="36.12706389088298"/>
  </r>
  <r>
    <x v="766"/>
    <x v="264"/>
    <s v="CUST-0132"/>
    <s v="Small Business"/>
    <x v="1"/>
    <x v="1"/>
    <x v="1"/>
    <x v="19"/>
    <n v="4"/>
    <n v="53.94"/>
    <n v="0.2"/>
    <n v="172.608"/>
    <n v="32.51"/>
    <n v="42.568000000000012"/>
    <x v="1"/>
    <x v="1"/>
    <n v="4"/>
    <s v="Oct"/>
    <s v="10"/>
    <s v="profit"/>
    <s v="small"/>
    <n v="24.661661104931412"/>
  </r>
  <r>
    <x v="767"/>
    <x v="264"/>
    <s v="CUST-0328"/>
    <s v="Consumer"/>
    <x v="1"/>
    <x v="4"/>
    <x v="2"/>
    <x v="5"/>
    <n v="1"/>
    <n v="111.31"/>
    <n v="0.05"/>
    <n v="105.7445"/>
    <n v="94.61"/>
    <n v="11.134500000000003"/>
    <x v="4"/>
    <x v="6"/>
    <n v="5"/>
    <s v="Oct"/>
    <s v="10"/>
    <s v="profit"/>
    <s v="small"/>
    <n v="10.529625654289351"/>
  </r>
  <r>
    <x v="768"/>
    <x v="264"/>
    <s v="CUST-0194"/>
    <s v="Small Business"/>
    <x v="1"/>
    <x v="1"/>
    <x v="1"/>
    <x v="15"/>
    <n v="1"/>
    <n v="90.72"/>
    <n v="0"/>
    <n v="90.72"/>
    <n v="67.48"/>
    <n v="23.239999999999995"/>
    <x v="3"/>
    <x v="1"/>
    <n v="5"/>
    <s v="Oct"/>
    <s v="10"/>
    <s v="profit"/>
    <s v="small"/>
    <n v="25.617283950617281"/>
  </r>
  <r>
    <x v="769"/>
    <x v="264"/>
    <s v="CUST-0170"/>
    <s v="Corporate"/>
    <x v="3"/>
    <x v="8"/>
    <x v="1"/>
    <x v="1"/>
    <n v="6"/>
    <n v="395.82"/>
    <n v="0"/>
    <n v="2374.92"/>
    <n v="227.51"/>
    <n v="1009.8600000000001"/>
    <x v="2"/>
    <x v="6"/>
    <n v="5"/>
    <s v="Oct"/>
    <s v="10"/>
    <s v="profit"/>
    <s v="large"/>
    <n v="42.521853367692394"/>
  </r>
  <r>
    <x v="770"/>
    <x v="265"/>
    <s v="CUST-0291"/>
    <s v="Corporate"/>
    <x v="2"/>
    <x v="2"/>
    <x v="4"/>
    <x v="11"/>
    <n v="1"/>
    <n v="139.72999999999999"/>
    <n v="0.1"/>
    <n v="125.75699999999999"/>
    <n v="97.25"/>
    <n v="28.506999999999991"/>
    <x v="0"/>
    <x v="2"/>
    <n v="5"/>
    <s v="Oct"/>
    <s v="10"/>
    <s v="profit"/>
    <s v="small"/>
    <n v="22.668320650142729"/>
  </r>
  <r>
    <x v="771"/>
    <x v="265"/>
    <s v="CUST-0250"/>
    <s v="Corporate"/>
    <x v="2"/>
    <x v="2"/>
    <x v="0"/>
    <x v="0"/>
    <n v="3"/>
    <n v="55.31"/>
    <n v="0"/>
    <n v="165.93"/>
    <n v="33.869999999999997"/>
    <n v="64.320000000000022"/>
    <x v="3"/>
    <x v="1"/>
    <n v="1"/>
    <s v="Oct"/>
    <s v="10"/>
    <s v="profit"/>
    <s v="small"/>
    <n v="38.763333935997117"/>
  </r>
  <r>
    <x v="772"/>
    <x v="265"/>
    <s v="CUST-0001"/>
    <s v="Consumer"/>
    <x v="1"/>
    <x v="1"/>
    <x v="2"/>
    <x v="5"/>
    <n v="1"/>
    <n v="252.88"/>
    <n v="0"/>
    <n v="252.88"/>
    <n v="222.91"/>
    <n v="29.97"/>
    <x v="0"/>
    <x v="3"/>
    <n v="4"/>
    <s v="Oct"/>
    <s v="10"/>
    <s v="profit"/>
    <s v="small"/>
    <n v="11.851471053464094"/>
  </r>
  <r>
    <x v="773"/>
    <x v="265"/>
    <s v="CUST-0042"/>
    <s v="Corporate"/>
    <x v="3"/>
    <x v="10"/>
    <x v="4"/>
    <x v="11"/>
    <n v="1"/>
    <n v="577.77"/>
    <n v="0.05"/>
    <n v="548.88149999999996"/>
    <n v="379.8"/>
    <n v="169.08149999999995"/>
    <x v="4"/>
    <x v="5"/>
    <n v="4"/>
    <s v="Oct"/>
    <s v="10"/>
    <s v="profit"/>
    <s v="medium"/>
    <n v="30.80473654149392"/>
  </r>
  <r>
    <x v="774"/>
    <x v="265"/>
    <s v="CUST-0089"/>
    <s v="Small Business"/>
    <x v="0"/>
    <x v="6"/>
    <x v="4"/>
    <x v="7"/>
    <n v="6"/>
    <n v="680.31"/>
    <n v="0.05"/>
    <n v="3877.7669999999994"/>
    <n v="412.69"/>
    <n v="1401.6269999999995"/>
    <x v="1"/>
    <x v="7"/>
    <n v="5"/>
    <s v="Oct"/>
    <s v="10"/>
    <s v="profit"/>
    <s v="large"/>
    <n v="36.145209343418507"/>
  </r>
  <r>
    <x v="775"/>
    <x v="265"/>
    <s v="CUST-0322"/>
    <s v="Corporate"/>
    <x v="3"/>
    <x v="8"/>
    <x v="2"/>
    <x v="13"/>
    <n v="2"/>
    <n v="500.02"/>
    <n v="0"/>
    <n v="1000.04"/>
    <n v="418.79"/>
    <n v="162.45999999999992"/>
    <x v="2"/>
    <x v="3"/>
    <n v="4"/>
    <s v="Oct"/>
    <s v="10"/>
    <s v="profit"/>
    <s v="medium"/>
    <n v="16.245350185992553"/>
  </r>
  <r>
    <x v="776"/>
    <x v="265"/>
    <s v="CUST-0240"/>
    <s v="Corporate"/>
    <x v="2"/>
    <x v="2"/>
    <x v="3"/>
    <x v="20"/>
    <n v="8"/>
    <n v="44.41"/>
    <n v="0.1"/>
    <n v="319.75200000000001"/>
    <n v="28.63"/>
    <n v="90.712000000000018"/>
    <x v="1"/>
    <x v="0"/>
    <n v="4"/>
    <s v="Oct"/>
    <s v="10"/>
    <s v="profit"/>
    <s v="small"/>
    <n v="28.369486351922745"/>
  </r>
  <r>
    <x v="777"/>
    <x v="266"/>
    <s v="CUST-0155"/>
    <s v="Consumer"/>
    <x v="1"/>
    <x v="4"/>
    <x v="0"/>
    <x v="17"/>
    <n v="4"/>
    <n v="32.64"/>
    <n v="0.1"/>
    <n v="117.504"/>
    <n v="21"/>
    <n v="33.504000000000005"/>
    <x v="2"/>
    <x v="7"/>
    <n v="3"/>
    <s v="Oct"/>
    <s v="10"/>
    <s v="profit"/>
    <s v="small"/>
    <n v="28.51307189542484"/>
  </r>
  <r>
    <x v="778"/>
    <x v="266"/>
    <s v="CUST-0391"/>
    <s v="Small Business"/>
    <x v="3"/>
    <x v="8"/>
    <x v="0"/>
    <x v="8"/>
    <n v="3"/>
    <n v="54.37"/>
    <n v="0.05"/>
    <n v="154.95449999999997"/>
    <n v="23.85"/>
    <n v="83.404499999999956"/>
    <x v="1"/>
    <x v="5"/>
    <n v="2"/>
    <s v="Oct"/>
    <s v="10"/>
    <s v="profit"/>
    <s v="small"/>
    <n v="53.825155126182189"/>
  </r>
  <r>
    <x v="779"/>
    <x v="266"/>
    <s v="CUST-0032"/>
    <s v="Consumer"/>
    <x v="2"/>
    <x v="2"/>
    <x v="4"/>
    <x v="14"/>
    <n v="2"/>
    <n v="203.39"/>
    <n v="0"/>
    <n v="406.78"/>
    <n v="158.75"/>
    <n v="89.279999999999973"/>
    <x v="2"/>
    <x v="5"/>
    <n v="5"/>
    <s v="Oct"/>
    <s v="10"/>
    <s v="profit"/>
    <s v="small"/>
    <n v="21.947981710015235"/>
  </r>
  <r>
    <x v="780"/>
    <x v="267"/>
    <s v="CUST-0004"/>
    <s v="Corporate"/>
    <x v="3"/>
    <x v="8"/>
    <x v="0"/>
    <x v="3"/>
    <n v="3"/>
    <n v="56.37"/>
    <n v="0.1"/>
    <n v="152.19899999999998"/>
    <n v="24.03"/>
    <n v="80.10899999999998"/>
    <x v="2"/>
    <x v="4"/>
    <n v="2"/>
    <s v="Oct"/>
    <s v="10"/>
    <s v="profit"/>
    <s v="small"/>
    <n v="52.634379989356027"/>
  </r>
  <r>
    <x v="781"/>
    <x v="267"/>
    <s v="CUST-0259"/>
    <s v="Corporate"/>
    <x v="3"/>
    <x v="7"/>
    <x v="2"/>
    <x v="2"/>
    <n v="1"/>
    <n v="405.56"/>
    <n v="0"/>
    <n v="405.56"/>
    <n v="333.38"/>
    <n v="72.180000000000007"/>
    <x v="1"/>
    <x v="5"/>
    <n v="5"/>
    <s v="Oct"/>
    <s v="10"/>
    <s v="profit"/>
    <s v="small"/>
    <n v="17.797613176841899"/>
  </r>
  <r>
    <x v="782"/>
    <x v="267"/>
    <s v="CUST-0316"/>
    <s v="Consumer"/>
    <x v="2"/>
    <x v="2"/>
    <x v="4"/>
    <x v="7"/>
    <n v="3"/>
    <n v="1184.43"/>
    <n v="0.15"/>
    <n v="3020.2964999999999"/>
    <n v="753.23"/>
    <n v="760.60649999999987"/>
    <x v="1"/>
    <x v="3"/>
    <n v="4"/>
    <s v="Oct"/>
    <s v="10"/>
    <s v="profit"/>
    <s v="large"/>
    <n v="25.183173241435071"/>
  </r>
  <r>
    <x v="783"/>
    <x v="268"/>
    <s v="CUST-0052"/>
    <s v="Small Business"/>
    <x v="3"/>
    <x v="8"/>
    <x v="2"/>
    <x v="13"/>
    <n v="2"/>
    <n v="436.62"/>
    <n v="0"/>
    <n v="873.24"/>
    <n v="344.38"/>
    <n v="184.48000000000002"/>
    <x v="1"/>
    <x v="7"/>
    <n v="4"/>
    <s v="Oct"/>
    <s v="10"/>
    <s v="profit"/>
    <s v="medium"/>
    <n v="21.125921854243966"/>
  </r>
  <r>
    <x v="784"/>
    <x v="268"/>
    <s v="CUST-0200"/>
    <s v="Consumer"/>
    <x v="3"/>
    <x v="7"/>
    <x v="4"/>
    <x v="14"/>
    <n v="1"/>
    <n v="251.67"/>
    <n v="0"/>
    <n v="251.67"/>
    <n v="160.38999999999999"/>
    <n v="91.28"/>
    <x v="2"/>
    <x v="1"/>
    <n v="1"/>
    <s v="Oct"/>
    <s v="10"/>
    <s v="profit"/>
    <s v="small"/>
    <n v="36.269718281877061"/>
  </r>
  <r>
    <x v="785"/>
    <x v="269"/>
    <s v="CUST-0005"/>
    <s v="Consumer"/>
    <x v="3"/>
    <x v="8"/>
    <x v="1"/>
    <x v="1"/>
    <n v="6"/>
    <n v="84.07"/>
    <n v="0.05"/>
    <n v="479.19899999999996"/>
    <n v="47.8"/>
    <n v="192.399"/>
    <x v="0"/>
    <x v="4"/>
    <n v="4"/>
    <s v="Oct"/>
    <s v="10"/>
    <s v="profit"/>
    <s v="small"/>
    <n v="40.150125521964782"/>
  </r>
  <r>
    <x v="786"/>
    <x v="269"/>
    <s v="CUST-0236"/>
    <s v="Small Business"/>
    <x v="3"/>
    <x v="8"/>
    <x v="1"/>
    <x v="1"/>
    <n v="3"/>
    <n v="239.3"/>
    <n v="0.05"/>
    <n v="682.00500000000011"/>
    <n v="171.12"/>
    <n v="168.6450000000001"/>
    <x v="4"/>
    <x v="1"/>
    <n v="5"/>
    <s v="Oct"/>
    <s v="10"/>
    <s v="profit"/>
    <s v="medium"/>
    <n v="24.727824576066169"/>
  </r>
  <r>
    <x v="787"/>
    <x v="269"/>
    <s v="CUST-0093"/>
    <s v="Small Business"/>
    <x v="1"/>
    <x v="1"/>
    <x v="1"/>
    <x v="1"/>
    <n v="8"/>
    <n v="92.51"/>
    <n v="0.1"/>
    <n v="666.072"/>
    <n v="53.85"/>
    <n v="235.27199999999999"/>
    <x v="2"/>
    <x v="1"/>
    <n v="3"/>
    <s v="Oct"/>
    <s v="10"/>
    <s v="profit"/>
    <s v="medium"/>
    <n v="35.322307498288474"/>
  </r>
  <r>
    <x v="788"/>
    <x v="270"/>
    <s v="CUST-0119"/>
    <s v="Consumer"/>
    <x v="0"/>
    <x v="0"/>
    <x v="4"/>
    <x v="18"/>
    <n v="1"/>
    <n v="171.05"/>
    <n v="0.1"/>
    <n v="153.94500000000002"/>
    <n v="108.45"/>
    <n v="45.495000000000019"/>
    <x v="3"/>
    <x v="0"/>
    <n v="5"/>
    <s v="Oct"/>
    <s v="10"/>
    <s v="profit"/>
    <s v="small"/>
    <n v="29.552762350190008"/>
  </r>
  <r>
    <x v="789"/>
    <x v="270"/>
    <s v="CUST-0197"/>
    <s v="Corporate"/>
    <x v="3"/>
    <x v="7"/>
    <x v="0"/>
    <x v="0"/>
    <n v="6"/>
    <n v="88.79"/>
    <n v="0"/>
    <n v="532.74"/>
    <n v="39.770000000000003"/>
    <n v="294.12"/>
    <x v="3"/>
    <x v="5"/>
    <n v="4"/>
    <s v="Oct"/>
    <s v="10"/>
    <s v="profit"/>
    <s v="medium"/>
    <n v="55.208919923414804"/>
  </r>
  <r>
    <x v="790"/>
    <x v="270"/>
    <s v="CUST-0194"/>
    <s v="Consumer"/>
    <x v="0"/>
    <x v="0"/>
    <x v="2"/>
    <x v="10"/>
    <n v="2"/>
    <n v="981.15"/>
    <n v="0.1"/>
    <n v="1766.07"/>
    <n v="827.95"/>
    <n v="110.16999999999985"/>
    <x v="2"/>
    <x v="4"/>
    <n v="3"/>
    <s v="Oct"/>
    <s v="10"/>
    <s v="profit"/>
    <s v="medium"/>
    <n v="6.238144580905618"/>
  </r>
  <r>
    <x v="791"/>
    <x v="270"/>
    <s v="CUST-0299"/>
    <s v="Consumer"/>
    <x v="1"/>
    <x v="9"/>
    <x v="0"/>
    <x v="8"/>
    <n v="5"/>
    <n v="84.46"/>
    <n v="0"/>
    <n v="422.29999999999995"/>
    <n v="39.229999999999997"/>
    <n v="226.14999999999998"/>
    <x v="3"/>
    <x v="4"/>
    <n v="1"/>
    <s v="Oct"/>
    <s v="10"/>
    <s v="profit"/>
    <s v="small"/>
    <n v="53.551977267345485"/>
  </r>
  <r>
    <x v="792"/>
    <x v="271"/>
    <s v="CUST-0373"/>
    <s v="Small Business"/>
    <x v="0"/>
    <x v="6"/>
    <x v="2"/>
    <x v="10"/>
    <n v="1"/>
    <n v="919.67"/>
    <n v="0.1"/>
    <n v="827.70299999999997"/>
    <n v="771.42"/>
    <n v="56.283000000000015"/>
    <x v="2"/>
    <x v="0"/>
    <n v="3"/>
    <s v="Oct"/>
    <s v="10"/>
    <s v="profit"/>
    <s v="medium"/>
    <n v="6.7999028637083612"/>
  </r>
  <r>
    <x v="793"/>
    <x v="271"/>
    <s v="CUST-0037"/>
    <s v="Small Business"/>
    <x v="3"/>
    <x v="7"/>
    <x v="2"/>
    <x v="12"/>
    <n v="2"/>
    <n v="425.47"/>
    <n v="0.1"/>
    <n v="765.84600000000012"/>
    <n v="360.17"/>
    <n v="45.506000000000085"/>
    <x v="3"/>
    <x v="3"/>
    <n v="5"/>
    <s v="Oct"/>
    <s v="10"/>
    <s v="profit"/>
    <s v="medium"/>
    <n v="5.9419256612948397"/>
  </r>
  <r>
    <x v="794"/>
    <x v="272"/>
    <s v="CUST-0129"/>
    <s v="Corporate"/>
    <x v="2"/>
    <x v="3"/>
    <x v="4"/>
    <x v="14"/>
    <n v="1"/>
    <n v="264.52"/>
    <n v="0.2"/>
    <n v="211.61599999999999"/>
    <n v="208.89"/>
    <n v="2.7259999999999991"/>
    <x v="0"/>
    <x v="2"/>
    <n v="5"/>
    <s v="Oct"/>
    <s v="10"/>
    <s v="profit"/>
    <s v="small"/>
    <n v="1.2881823680629061"/>
  </r>
  <r>
    <x v="795"/>
    <x v="272"/>
    <s v="CUST-0057"/>
    <s v="Small Business"/>
    <x v="2"/>
    <x v="11"/>
    <x v="2"/>
    <x v="5"/>
    <n v="3"/>
    <n v="50.19"/>
    <n v="0.05"/>
    <n v="143.04149999999998"/>
    <n v="40.840000000000003"/>
    <n v="20.521499999999975"/>
    <x v="1"/>
    <x v="1"/>
    <n v="4"/>
    <s v="Oct"/>
    <s v="10"/>
    <s v="profit"/>
    <s v="small"/>
    <n v="14.34653579555582"/>
  </r>
  <r>
    <x v="796"/>
    <x v="273"/>
    <s v="CUST-0169"/>
    <s v="Small Business"/>
    <x v="0"/>
    <x v="0"/>
    <x v="2"/>
    <x v="12"/>
    <n v="1"/>
    <n v="293.48"/>
    <n v="0.15"/>
    <n v="249.458"/>
    <n v="249.4"/>
    <n v="5.7999999999992724E-2"/>
    <x v="3"/>
    <x v="4"/>
    <n v="4"/>
    <s v="Oct"/>
    <s v="10"/>
    <s v="profit"/>
    <s v="small"/>
    <n v="2.3250406882117519E-2"/>
  </r>
  <r>
    <x v="797"/>
    <x v="273"/>
    <s v="CUST-0283"/>
    <s v="Corporate"/>
    <x v="1"/>
    <x v="9"/>
    <x v="1"/>
    <x v="19"/>
    <n v="4"/>
    <n v="57.86"/>
    <n v="0.2"/>
    <n v="185.15200000000002"/>
    <n v="42.58"/>
    <n v="14.832000000000022"/>
    <x v="4"/>
    <x v="1"/>
    <n v="5"/>
    <s v="Oct"/>
    <s v="10"/>
    <s v="profit"/>
    <s v="small"/>
    <n v="8.0107155202212343"/>
  </r>
  <r>
    <x v="798"/>
    <x v="273"/>
    <s v="CUST-0117"/>
    <s v="Consumer"/>
    <x v="1"/>
    <x v="1"/>
    <x v="2"/>
    <x v="12"/>
    <n v="2"/>
    <n v="429.18"/>
    <n v="0.15"/>
    <n v="729.60599999999999"/>
    <n v="344.4"/>
    <n v="40.80600000000004"/>
    <x v="3"/>
    <x v="5"/>
    <n v="5"/>
    <s v="Oct"/>
    <s v="10"/>
    <s v="profit"/>
    <s v="medium"/>
    <n v="5.5928816374865393"/>
  </r>
  <r>
    <x v="799"/>
    <x v="273"/>
    <s v="CUST-0065"/>
    <s v="Corporate"/>
    <x v="1"/>
    <x v="4"/>
    <x v="1"/>
    <x v="1"/>
    <n v="2"/>
    <n v="295.04000000000002"/>
    <n v="0"/>
    <n v="590.08000000000004"/>
    <n v="177.74"/>
    <n v="234.60000000000002"/>
    <x v="1"/>
    <x v="3"/>
    <n v="2"/>
    <s v="Oct"/>
    <s v="10"/>
    <s v="profit"/>
    <s v="medium"/>
    <n v="39.757321041214752"/>
  </r>
  <r>
    <x v="800"/>
    <x v="274"/>
    <s v="CUST-0119"/>
    <s v="Consumer"/>
    <x v="3"/>
    <x v="8"/>
    <x v="2"/>
    <x v="2"/>
    <n v="2"/>
    <n v="443.54"/>
    <n v="0"/>
    <n v="887.08"/>
    <n v="374.72"/>
    <n v="137.63999999999999"/>
    <x v="2"/>
    <x v="5"/>
    <n v="3"/>
    <s v="Oct"/>
    <s v="10"/>
    <s v="profit"/>
    <s v="medium"/>
    <n v="15.516075213058572"/>
  </r>
  <r>
    <x v="801"/>
    <x v="275"/>
    <s v="CUST-0093"/>
    <s v="Corporate"/>
    <x v="3"/>
    <x v="7"/>
    <x v="1"/>
    <x v="19"/>
    <n v="1"/>
    <n v="119.14"/>
    <n v="0"/>
    <n v="119.14"/>
    <n v="89"/>
    <n v="30.14"/>
    <x v="3"/>
    <x v="7"/>
    <n v="4"/>
    <s v="Oct"/>
    <s v="10"/>
    <s v="profit"/>
    <s v="small"/>
    <n v="25.297968776229645"/>
  </r>
  <r>
    <x v="802"/>
    <x v="276"/>
    <s v="CUST-0040"/>
    <s v="Corporate"/>
    <x v="1"/>
    <x v="1"/>
    <x v="1"/>
    <x v="15"/>
    <n v="3"/>
    <n v="199.68"/>
    <n v="0.1"/>
    <n v="539.13599999999997"/>
    <n v="144.58000000000001"/>
    <n v="105.39599999999996"/>
    <x v="2"/>
    <x v="4"/>
    <n v="4"/>
    <s v="Oct"/>
    <s v="10"/>
    <s v="profit"/>
    <s v="medium"/>
    <n v="19.549056267806261"/>
  </r>
  <r>
    <x v="803"/>
    <x v="276"/>
    <s v="CUST-0283"/>
    <s v="Corporate"/>
    <x v="1"/>
    <x v="9"/>
    <x v="1"/>
    <x v="6"/>
    <n v="2"/>
    <n v="228.5"/>
    <n v="0"/>
    <n v="457"/>
    <n v="132.13"/>
    <n v="192.74"/>
    <x v="4"/>
    <x v="1"/>
    <n v="3"/>
    <s v="Oct"/>
    <s v="10"/>
    <s v="profit"/>
    <s v="small"/>
    <n v="42.17505470459519"/>
  </r>
  <r>
    <x v="804"/>
    <x v="276"/>
    <s v="CUST-0267"/>
    <s v="Consumer"/>
    <x v="1"/>
    <x v="1"/>
    <x v="0"/>
    <x v="17"/>
    <n v="1"/>
    <n v="9.4600000000000009"/>
    <n v="0.15"/>
    <n v="8.0410000000000004"/>
    <n v="4.0199999999999996"/>
    <n v="4.0210000000000008"/>
    <x v="0"/>
    <x v="4"/>
    <n v="3"/>
    <s v="Oct"/>
    <s v="10"/>
    <s v="profit"/>
    <s v="small"/>
    <n v="50.00621813207313"/>
  </r>
  <r>
    <x v="805"/>
    <x v="277"/>
    <s v="CUST-0011"/>
    <s v="Corporate"/>
    <x v="1"/>
    <x v="9"/>
    <x v="1"/>
    <x v="15"/>
    <n v="4"/>
    <n v="36.1"/>
    <n v="0.2"/>
    <n v="115.52000000000001"/>
    <n v="25.38"/>
    <n v="14.000000000000014"/>
    <x v="3"/>
    <x v="1"/>
    <n v="3"/>
    <s v="Oct"/>
    <s v="10"/>
    <s v="profit"/>
    <s v="small"/>
    <n v="12.119113573407212"/>
  </r>
  <r>
    <x v="806"/>
    <x v="277"/>
    <s v="CUST-0228"/>
    <s v="Consumer"/>
    <x v="1"/>
    <x v="1"/>
    <x v="4"/>
    <x v="14"/>
    <n v="1"/>
    <n v="102.1"/>
    <n v="0"/>
    <n v="102.1"/>
    <n v="64.23"/>
    <n v="37.86999999999999"/>
    <x v="4"/>
    <x v="4"/>
    <n v="4"/>
    <s v="Oct"/>
    <s v="10"/>
    <s v="profit"/>
    <s v="small"/>
    <n v="37.091087169441714"/>
  </r>
  <r>
    <x v="807"/>
    <x v="277"/>
    <s v="CUST-0173"/>
    <s v="Corporate"/>
    <x v="2"/>
    <x v="3"/>
    <x v="1"/>
    <x v="19"/>
    <n v="6"/>
    <n v="87.74"/>
    <n v="0.1"/>
    <n v="473.79599999999994"/>
    <n v="65.260000000000005"/>
    <n v="82.235999999999876"/>
    <x v="2"/>
    <x v="4"/>
    <n v="5"/>
    <s v="Oct"/>
    <s v="10"/>
    <s v="profit"/>
    <s v="small"/>
    <n v="17.356837119773044"/>
  </r>
  <r>
    <x v="808"/>
    <x v="277"/>
    <s v="CUST-0348"/>
    <s v="Corporate"/>
    <x v="0"/>
    <x v="0"/>
    <x v="4"/>
    <x v="7"/>
    <n v="3"/>
    <n v="1079.17"/>
    <n v="0.2"/>
    <n v="2590.0080000000003"/>
    <n v="694.42"/>
    <n v="506.7480000000005"/>
    <x v="2"/>
    <x v="0"/>
    <n v="4"/>
    <s v="Oct"/>
    <s v="10"/>
    <s v="profit"/>
    <s v="large"/>
    <n v="19.565499411584845"/>
  </r>
  <r>
    <x v="809"/>
    <x v="278"/>
    <s v="CUST-0350"/>
    <s v="Corporate"/>
    <x v="3"/>
    <x v="7"/>
    <x v="1"/>
    <x v="6"/>
    <n v="6"/>
    <n v="74.14"/>
    <n v="0"/>
    <n v="444.84000000000003"/>
    <n v="49.95"/>
    <n v="145.13999999999999"/>
    <x v="3"/>
    <x v="4"/>
    <n v="5"/>
    <s v="Oct"/>
    <s v="10"/>
    <s v="profit"/>
    <s v="small"/>
    <n v="32.627461559212293"/>
  </r>
  <r>
    <x v="810"/>
    <x v="278"/>
    <s v="CUST-0396"/>
    <s v="Small Business"/>
    <x v="2"/>
    <x v="2"/>
    <x v="4"/>
    <x v="7"/>
    <n v="1"/>
    <n v="334.75"/>
    <n v="0.1"/>
    <n v="301.27500000000003"/>
    <n v="249.44"/>
    <n v="51.835000000000036"/>
    <x v="3"/>
    <x v="2"/>
    <n v="3"/>
    <s v="Oct"/>
    <s v="10"/>
    <s v="profit"/>
    <s v="small"/>
    <n v="17.205211185793718"/>
  </r>
  <r>
    <x v="811"/>
    <x v="278"/>
    <s v="CUST-0184"/>
    <s v="Corporate"/>
    <x v="0"/>
    <x v="6"/>
    <x v="1"/>
    <x v="6"/>
    <n v="1"/>
    <n v="217.99"/>
    <n v="0"/>
    <n v="217.99"/>
    <n v="144.13999999999999"/>
    <n v="73.850000000000023"/>
    <x v="2"/>
    <x v="4"/>
    <n v="4"/>
    <s v="Oct"/>
    <s v="10"/>
    <s v="profit"/>
    <s v="small"/>
    <n v="33.877700811963862"/>
  </r>
  <r>
    <x v="812"/>
    <x v="278"/>
    <s v="CUST-0142"/>
    <s v="Corporate"/>
    <x v="2"/>
    <x v="3"/>
    <x v="0"/>
    <x v="17"/>
    <n v="2"/>
    <n v="15.46"/>
    <n v="0"/>
    <n v="30.92"/>
    <n v="7.69"/>
    <n v="15.540000000000001"/>
    <x v="1"/>
    <x v="3"/>
    <n v="3"/>
    <s v="Oct"/>
    <s v="10"/>
    <s v="profit"/>
    <s v="small"/>
    <n v="50.258732212160417"/>
  </r>
  <r>
    <x v="813"/>
    <x v="279"/>
    <s v="CUST-0297"/>
    <s v="Corporate"/>
    <x v="0"/>
    <x v="0"/>
    <x v="2"/>
    <x v="2"/>
    <n v="3"/>
    <n v="322.70999999999998"/>
    <n v="0.15"/>
    <n v="822.91049999999984"/>
    <n v="279.18"/>
    <n v="-14.629500000000121"/>
    <x v="3"/>
    <x v="4"/>
    <n v="2"/>
    <s v="Oct"/>
    <s v="10"/>
    <s v="profit"/>
    <s v="medium"/>
    <n v="-1.7777753473798334"/>
  </r>
  <r>
    <x v="814"/>
    <x v="279"/>
    <s v="CUST-0180"/>
    <s v="Consumer"/>
    <x v="2"/>
    <x v="2"/>
    <x v="1"/>
    <x v="6"/>
    <n v="4"/>
    <n v="244.81"/>
    <n v="0.1"/>
    <n v="881.31600000000003"/>
    <n v="182.82"/>
    <n v="150.03600000000006"/>
    <x v="3"/>
    <x v="0"/>
    <n v="2"/>
    <s v="Oct"/>
    <s v="10"/>
    <s v="profit"/>
    <s v="medium"/>
    <n v="17.024086706697716"/>
  </r>
  <r>
    <x v="815"/>
    <x v="280"/>
    <s v="CUST-0074"/>
    <s v="Consumer"/>
    <x v="1"/>
    <x v="4"/>
    <x v="2"/>
    <x v="13"/>
    <n v="3"/>
    <n v="560.63"/>
    <n v="0.15"/>
    <n v="1429.6064999999999"/>
    <n v="473.34"/>
    <n v="9.5864999999998872"/>
    <x v="0"/>
    <x v="7"/>
    <n v="4"/>
    <s v="Oct"/>
    <s v="10"/>
    <s v="profit"/>
    <s v="medium"/>
    <n v="0.67056913913023541"/>
  </r>
  <r>
    <x v="816"/>
    <x v="280"/>
    <s v="CUST-0077"/>
    <s v="Small Business"/>
    <x v="0"/>
    <x v="0"/>
    <x v="0"/>
    <x v="8"/>
    <n v="2"/>
    <n v="127.37"/>
    <n v="0"/>
    <n v="254.74"/>
    <n v="51.79"/>
    <n v="151.16000000000003"/>
    <x v="3"/>
    <x v="2"/>
    <n v="4"/>
    <s v="Oct"/>
    <s v="10"/>
    <s v="profit"/>
    <s v="small"/>
    <n v="59.338933814870074"/>
  </r>
  <r>
    <x v="817"/>
    <x v="280"/>
    <s v="CUST-0333"/>
    <s v="Consumer"/>
    <x v="0"/>
    <x v="5"/>
    <x v="1"/>
    <x v="6"/>
    <n v="4"/>
    <n v="237.39"/>
    <n v="0"/>
    <n v="949.56"/>
    <n v="160.06"/>
    <n v="309.31999999999994"/>
    <x v="3"/>
    <x v="4"/>
    <n v="4"/>
    <s v="Oct"/>
    <s v="10"/>
    <s v="profit"/>
    <s v="medium"/>
    <n v="32.575087408905176"/>
  </r>
  <r>
    <x v="818"/>
    <x v="281"/>
    <s v="CUST-0226"/>
    <s v="Corporate"/>
    <x v="0"/>
    <x v="5"/>
    <x v="3"/>
    <x v="20"/>
    <n v="2"/>
    <n v="110.85"/>
    <n v="0.05"/>
    <n v="210.61499999999998"/>
    <n v="80.45"/>
    <n v="49.714999999999975"/>
    <x v="0"/>
    <x v="4"/>
    <n v="5"/>
    <s v="Oct"/>
    <s v="10"/>
    <s v="profit"/>
    <s v="small"/>
    <n v="23.604681527906362"/>
  </r>
  <r>
    <x v="819"/>
    <x v="281"/>
    <s v="CUST-0060"/>
    <s v="Small Business"/>
    <x v="2"/>
    <x v="3"/>
    <x v="4"/>
    <x v="11"/>
    <n v="2"/>
    <n v="277.77"/>
    <n v="0.1"/>
    <n v="499.98599999999999"/>
    <n v="177.83"/>
    <n v="144.32599999999996"/>
    <x v="4"/>
    <x v="0"/>
    <n v="5"/>
    <s v="Oct"/>
    <s v="10"/>
    <s v="profit"/>
    <s v="small"/>
    <n v="28.866008248230944"/>
  </r>
  <r>
    <x v="820"/>
    <x v="281"/>
    <s v="CUST-0230"/>
    <s v="Corporate"/>
    <x v="0"/>
    <x v="6"/>
    <x v="3"/>
    <x v="9"/>
    <n v="3"/>
    <n v="201.8"/>
    <n v="0.1"/>
    <n v="544.86000000000013"/>
    <n v="128.72999999999999"/>
    <n v="158.67000000000019"/>
    <x v="4"/>
    <x v="3"/>
    <n v="5"/>
    <s v="Oct"/>
    <s v="10"/>
    <s v="profit"/>
    <s v="medium"/>
    <n v="29.121242153947829"/>
  </r>
  <r>
    <x v="821"/>
    <x v="282"/>
    <s v="CUST-0210"/>
    <s v="Corporate"/>
    <x v="2"/>
    <x v="11"/>
    <x v="2"/>
    <x v="12"/>
    <n v="2"/>
    <n v="520.76"/>
    <n v="0"/>
    <n v="1041.52"/>
    <n v="416.67"/>
    <n v="208.17999999999995"/>
    <x v="2"/>
    <x v="3"/>
    <n v="4"/>
    <s v="Oct"/>
    <s v="10"/>
    <s v="profit"/>
    <s v="medium"/>
    <n v="19.98809432368077"/>
  </r>
  <r>
    <x v="822"/>
    <x v="282"/>
    <s v="CUST-0284"/>
    <s v="Small Business"/>
    <x v="0"/>
    <x v="0"/>
    <x v="0"/>
    <x v="0"/>
    <n v="1"/>
    <n v="83.49"/>
    <n v="0"/>
    <n v="83.49"/>
    <n v="35.979999999999997"/>
    <n v="47.51"/>
    <x v="1"/>
    <x v="2"/>
    <n v="3"/>
    <s v="Oct"/>
    <s v="10"/>
    <s v="profit"/>
    <s v="small"/>
    <n v="56.90501856509762"/>
  </r>
  <r>
    <x v="823"/>
    <x v="282"/>
    <s v="CUST-0199"/>
    <s v="Corporate"/>
    <x v="0"/>
    <x v="0"/>
    <x v="2"/>
    <x v="12"/>
    <n v="2"/>
    <n v="163.16"/>
    <n v="0.05"/>
    <n v="310.00399999999996"/>
    <n v="142.76"/>
    <n v="24.48399999999998"/>
    <x v="0"/>
    <x v="3"/>
    <n v="4"/>
    <s v="Oct"/>
    <s v="10"/>
    <s v="profit"/>
    <s v="small"/>
    <n v="7.8979626069340991"/>
  </r>
  <r>
    <x v="824"/>
    <x v="282"/>
    <s v="CUST-0370"/>
    <s v="Consumer"/>
    <x v="2"/>
    <x v="2"/>
    <x v="0"/>
    <x v="8"/>
    <n v="3"/>
    <n v="65.83"/>
    <n v="0"/>
    <n v="197.49"/>
    <n v="28.02"/>
    <n v="113.43"/>
    <x v="3"/>
    <x v="7"/>
    <n v="5"/>
    <s v="Oct"/>
    <s v="10"/>
    <s v="profit"/>
    <s v="small"/>
    <n v="57.435819535166345"/>
  </r>
  <r>
    <x v="825"/>
    <x v="282"/>
    <s v="CUST-0393"/>
    <s v="Small Business"/>
    <x v="1"/>
    <x v="9"/>
    <x v="3"/>
    <x v="20"/>
    <n v="1"/>
    <n v="141.1"/>
    <n v="0"/>
    <n v="141.1"/>
    <n v="93.53"/>
    <n v="47.569999999999993"/>
    <x v="2"/>
    <x v="2"/>
    <n v="3"/>
    <s v="Oct"/>
    <s v="10"/>
    <s v="profit"/>
    <s v="small"/>
    <n v="33.713678242381285"/>
  </r>
  <r>
    <x v="826"/>
    <x v="282"/>
    <s v="CUST-0302"/>
    <s v="Corporate"/>
    <x v="1"/>
    <x v="1"/>
    <x v="2"/>
    <x v="2"/>
    <n v="2"/>
    <n v="216.85"/>
    <n v="0.05"/>
    <n v="412.01499999999999"/>
    <n v="174.04"/>
    <n v="63.935000000000002"/>
    <x v="3"/>
    <x v="4"/>
    <n v="3"/>
    <s v="Oct"/>
    <s v="10"/>
    <s v="profit"/>
    <s v="small"/>
    <n v="15.517638920913074"/>
  </r>
  <r>
    <x v="827"/>
    <x v="283"/>
    <s v="CUST-0375"/>
    <s v="Consumer"/>
    <x v="3"/>
    <x v="7"/>
    <x v="4"/>
    <x v="7"/>
    <n v="1"/>
    <n v="556.73"/>
    <n v="0.2"/>
    <n v="445.38400000000001"/>
    <n v="402.62"/>
    <n v="42.76400000000001"/>
    <x v="1"/>
    <x v="1"/>
    <n v="4"/>
    <s v="Oct"/>
    <s v="10"/>
    <s v="profit"/>
    <s v="small"/>
    <n v="9.6016022129218843"/>
  </r>
  <r>
    <x v="828"/>
    <x v="284"/>
    <s v="CUST-0087"/>
    <s v="Corporate"/>
    <x v="2"/>
    <x v="11"/>
    <x v="0"/>
    <x v="17"/>
    <n v="2"/>
    <n v="17.38"/>
    <n v="0"/>
    <n v="34.76"/>
    <n v="10.58"/>
    <n v="13.599999999999998"/>
    <x v="0"/>
    <x v="2"/>
    <n v="5"/>
    <s v="Oct"/>
    <s v="10"/>
    <s v="profit"/>
    <s v="small"/>
    <n v="39.125431530494822"/>
  </r>
  <r>
    <x v="829"/>
    <x v="284"/>
    <s v="CUST-0277"/>
    <s v="Small Business"/>
    <x v="3"/>
    <x v="7"/>
    <x v="1"/>
    <x v="15"/>
    <n v="3"/>
    <n v="46.32"/>
    <n v="0"/>
    <n v="138.96"/>
    <n v="29.62"/>
    <n v="50.100000000000009"/>
    <x v="4"/>
    <x v="5"/>
    <n v="4"/>
    <s v="Oct"/>
    <s v="10"/>
    <s v="profit"/>
    <s v="small"/>
    <n v="36.053540587219345"/>
  </r>
  <r>
    <x v="830"/>
    <x v="284"/>
    <s v="CUST-0233"/>
    <s v="Corporate"/>
    <x v="1"/>
    <x v="9"/>
    <x v="1"/>
    <x v="6"/>
    <n v="2"/>
    <n v="82.66"/>
    <n v="0"/>
    <n v="165.32"/>
    <n v="46.43"/>
    <n v="72.459999999999994"/>
    <x v="3"/>
    <x v="2"/>
    <n v="4"/>
    <s v="Oct"/>
    <s v="10"/>
    <s v="profit"/>
    <s v="small"/>
    <n v="43.830147592547789"/>
  </r>
  <r>
    <x v="831"/>
    <x v="285"/>
    <s v="CUST-0041"/>
    <s v="Small Business"/>
    <x v="2"/>
    <x v="2"/>
    <x v="0"/>
    <x v="8"/>
    <n v="3"/>
    <n v="60.2"/>
    <n v="0.2"/>
    <n v="144.48000000000002"/>
    <n v="37.07"/>
    <n v="33.27000000000001"/>
    <x v="4"/>
    <x v="2"/>
    <n v="4"/>
    <s v="Nov"/>
    <s v="11"/>
    <s v="profit"/>
    <s v="small"/>
    <n v="23.027408637873759"/>
  </r>
  <r>
    <x v="832"/>
    <x v="285"/>
    <s v="CUST-0020"/>
    <s v="Corporate"/>
    <x v="0"/>
    <x v="5"/>
    <x v="0"/>
    <x v="8"/>
    <n v="3"/>
    <n v="124.36"/>
    <n v="0.15"/>
    <n v="317.11799999999999"/>
    <n v="57.97"/>
    <n v="143.208"/>
    <x v="3"/>
    <x v="7"/>
    <n v="3"/>
    <s v="Nov"/>
    <s v="11"/>
    <s v="profit"/>
    <s v="small"/>
    <n v="45.15921518173046"/>
  </r>
  <r>
    <x v="833"/>
    <x v="285"/>
    <s v="CUST-0113"/>
    <s v="Small Business"/>
    <x v="3"/>
    <x v="7"/>
    <x v="0"/>
    <x v="17"/>
    <n v="3"/>
    <n v="33.630000000000003"/>
    <n v="0.15"/>
    <n v="85.756500000000017"/>
    <n v="16.59"/>
    <n v="35.986500000000021"/>
    <x v="4"/>
    <x v="1"/>
    <n v="4"/>
    <s v="Nov"/>
    <s v="11"/>
    <s v="profit"/>
    <s v="small"/>
    <n v="41.963582935404332"/>
  </r>
  <r>
    <x v="834"/>
    <x v="285"/>
    <s v="CUST-0371"/>
    <s v="Small Business"/>
    <x v="3"/>
    <x v="10"/>
    <x v="0"/>
    <x v="0"/>
    <n v="5"/>
    <n v="72.680000000000007"/>
    <n v="0.2"/>
    <n v="290.72000000000003"/>
    <n v="42.11"/>
    <n v="80.170000000000016"/>
    <x v="4"/>
    <x v="5"/>
    <n v="4"/>
    <s v="Nov"/>
    <s v="11"/>
    <s v="profit"/>
    <s v="small"/>
    <n v="27.576362135388006"/>
  </r>
  <r>
    <x v="835"/>
    <x v="286"/>
    <s v="CUST-0327"/>
    <s v="Corporate"/>
    <x v="2"/>
    <x v="2"/>
    <x v="0"/>
    <x v="0"/>
    <n v="2"/>
    <n v="71.150000000000006"/>
    <n v="0.05"/>
    <n v="135.185"/>
    <n v="45.56"/>
    <n v="44.064999999999998"/>
    <x v="1"/>
    <x v="3"/>
    <n v="5"/>
    <s v="Nov"/>
    <s v="11"/>
    <s v="profit"/>
    <s v="small"/>
    <n v="32.596072049413763"/>
  </r>
  <r>
    <x v="836"/>
    <x v="286"/>
    <s v="CUST-0050"/>
    <s v="Consumer"/>
    <x v="1"/>
    <x v="9"/>
    <x v="1"/>
    <x v="6"/>
    <n v="2"/>
    <n v="180.27"/>
    <n v="0.05"/>
    <n v="342.51299999999998"/>
    <n v="117.53"/>
    <n v="107.45299999999997"/>
    <x v="3"/>
    <x v="1"/>
    <n v="4"/>
    <s v="Nov"/>
    <s v="11"/>
    <s v="profit"/>
    <s v="small"/>
    <n v="31.371947926064113"/>
  </r>
  <r>
    <x v="837"/>
    <x v="286"/>
    <s v="CUST-0204"/>
    <s v="Small Business"/>
    <x v="1"/>
    <x v="1"/>
    <x v="0"/>
    <x v="0"/>
    <n v="3"/>
    <n v="68.06"/>
    <n v="0"/>
    <n v="204.18"/>
    <n v="42.27"/>
    <n v="77.37"/>
    <x v="4"/>
    <x v="0"/>
    <n v="5"/>
    <s v="Nov"/>
    <s v="11"/>
    <s v="profit"/>
    <s v="small"/>
    <n v="37.893035556861591"/>
  </r>
  <r>
    <x v="838"/>
    <x v="286"/>
    <s v="CUST-0210"/>
    <s v="Consumer"/>
    <x v="2"/>
    <x v="2"/>
    <x v="3"/>
    <x v="20"/>
    <n v="1"/>
    <n v="133.08000000000001"/>
    <n v="0.15"/>
    <n v="113.11800000000001"/>
    <n v="99.04"/>
    <n v="14.078000000000003"/>
    <x v="2"/>
    <x v="7"/>
    <n v="3"/>
    <s v="Nov"/>
    <s v="11"/>
    <s v="profit"/>
    <s v="small"/>
    <n v="12.445410986757194"/>
  </r>
  <r>
    <x v="839"/>
    <x v="286"/>
    <s v="CUST-0174"/>
    <s v="Small Business"/>
    <x v="2"/>
    <x v="3"/>
    <x v="4"/>
    <x v="7"/>
    <n v="1"/>
    <n v="1028.1300000000001"/>
    <n v="0.1"/>
    <n v="925.31700000000012"/>
    <n v="735.07"/>
    <n v="190.24700000000007"/>
    <x v="3"/>
    <x v="1"/>
    <n v="4"/>
    <s v="Nov"/>
    <s v="11"/>
    <s v="profit"/>
    <s v="medium"/>
    <n v="20.560197208091935"/>
  </r>
  <r>
    <x v="840"/>
    <x v="286"/>
    <s v="CUST-0277"/>
    <s v="Consumer"/>
    <x v="0"/>
    <x v="5"/>
    <x v="2"/>
    <x v="13"/>
    <n v="3"/>
    <n v="728.81"/>
    <n v="0"/>
    <n v="2186.4299999999998"/>
    <n v="570.71"/>
    <n v="474.29999999999973"/>
    <x v="3"/>
    <x v="6"/>
    <n v="2"/>
    <s v="Nov"/>
    <s v="11"/>
    <s v="profit"/>
    <s v="large"/>
    <n v="21.692896639727767"/>
  </r>
  <r>
    <x v="841"/>
    <x v="287"/>
    <s v="CUST-0081"/>
    <s v="Small Business"/>
    <x v="0"/>
    <x v="5"/>
    <x v="1"/>
    <x v="6"/>
    <n v="1"/>
    <n v="201.04"/>
    <n v="0.05"/>
    <n v="190.98799999999997"/>
    <n v="128.55000000000001"/>
    <n v="62.43799999999996"/>
    <x v="1"/>
    <x v="4"/>
    <n v="3"/>
    <s v="Nov"/>
    <s v="11"/>
    <s v="profit"/>
    <s v="small"/>
    <n v="32.692106310344087"/>
  </r>
  <r>
    <x v="842"/>
    <x v="288"/>
    <s v="CUST-0270"/>
    <s v="Consumer"/>
    <x v="3"/>
    <x v="7"/>
    <x v="2"/>
    <x v="5"/>
    <n v="1"/>
    <n v="119.51"/>
    <n v="0"/>
    <n v="119.51"/>
    <n v="103.69"/>
    <n v="15.820000000000007"/>
    <x v="2"/>
    <x v="6"/>
    <n v="5"/>
    <s v="Nov"/>
    <s v="11"/>
    <s v="profit"/>
    <s v="small"/>
    <n v="13.237385992803954"/>
  </r>
  <r>
    <x v="843"/>
    <x v="289"/>
    <s v="CUST-0194"/>
    <s v="Small Business"/>
    <x v="3"/>
    <x v="7"/>
    <x v="2"/>
    <x v="5"/>
    <n v="1"/>
    <n v="111.4"/>
    <n v="0"/>
    <n v="111.4"/>
    <n v="96.42"/>
    <n v="14.980000000000004"/>
    <x v="1"/>
    <x v="3"/>
    <n v="5"/>
    <s v="Nov"/>
    <s v="11"/>
    <s v="profit"/>
    <s v="small"/>
    <n v="13.447037701974867"/>
  </r>
  <r>
    <x v="844"/>
    <x v="289"/>
    <s v="CUST-0310"/>
    <s v="Consumer"/>
    <x v="1"/>
    <x v="4"/>
    <x v="3"/>
    <x v="4"/>
    <n v="1"/>
    <n v="14.91"/>
    <n v="0.15"/>
    <n v="12.673500000000001"/>
    <n v="9.68"/>
    <n v="2.9935000000000009"/>
    <x v="3"/>
    <x v="6"/>
    <n v="3"/>
    <s v="Nov"/>
    <s v="11"/>
    <s v="profit"/>
    <s v="small"/>
    <n v="23.620152286266627"/>
  </r>
  <r>
    <x v="845"/>
    <x v="290"/>
    <s v="CUST-0136"/>
    <s v="Small Business"/>
    <x v="0"/>
    <x v="6"/>
    <x v="0"/>
    <x v="8"/>
    <n v="1"/>
    <n v="182.34"/>
    <n v="0"/>
    <n v="182.34"/>
    <n v="99.14"/>
    <n v="83.2"/>
    <x v="2"/>
    <x v="0"/>
    <n v="4"/>
    <s v="Nov"/>
    <s v="11"/>
    <s v="profit"/>
    <s v="small"/>
    <n v="45.629044641877812"/>
  </r>
  <r>
    <x v="846"/>
    <x v="290"/>
    <s v="CUST-0126"/>
    <s v="Corporate"/>
    <x v="1"/>
    <x v="1"/>
    <x v="0"/>
    <x v="0"/>
    <n v="6"/>
    <n v="87.85"/>
    <n v="0.05"/>
    <n v="500.74499999999989"/>
    <n v="44.78"/>
    <n v="232.06499999999988"/>
    <x v="3"/>
    <x v="0"/>
    <n v="5"/>
    <s v="Nov"/>
    <s v="11"/>
    <s v="profit"/>
    <s v="medium"/>
    <n v="46.343947518197872"/>
  </r>
  <r>
    <x v="847"/>
    <x v="291"/>
    <s v="CUST-0245"/>
    <s v="Small Business"/>
    <x v="0"/>
    <x v="6"/>
    <x v="3"/>
    <x v="4"/>
    <n v="4"/>
    <n v="29.19"/>
    <n v="0.05"/>
    <n v="110.922"/>
    <n v="18.52"/>
    <n v="36.841999999999999"/>
    <x v="3"/>
    <x v="1"/>
    <n v="4"/>
    <s v="Nov"/>
    <s v="11"/>
    <s v="profit"/>
    <s v="small"/>
    <n v="33.21433079100629"/>
  </r>
  <r>
    <x v="848"/>
    <x v="291"/>
    <s v="CUST-0316"/>
    <s v="Corporate"/>
    <x v="1"/>
    <x v="9"/>
    <x v="1"/>
    <x v="19"/>
    <n v="1"/>
    <n v="34.06"/>
    <n v="0"/>
    <n v="34.06"/>
    <n v="24.39"/>
    <n v="9.6700000000000017"/>
    <x v="2"/>
    <x v="4"/>
    <n v="2"/>
    <s v="Nov"/>
    <s v="11"/>
    <s v="profit"/>
    <s v="small"/>
    <n v="28.391074574280683"/>
  </r>
  <r>
    <x v="849"/>
    <x v="291"/>
    <s v="CUST-0209"/>
    <s v="Consumer"/>
    <x v="3"/>
    <x v="7"/>
    <x v="0"/>
    <x v="3"/>
    <n v="2"/>
    <n v="77.37"/>
    <n v="0.05"/>
    <n v="147.00300000000001"/>
    <n v="43.76"/>
    <n v="59.483000000000018"/>
    <x v="0"/>
    <x v="4"/>
    <n v="5"/>
    <s v="Nov"/>
    <s v="11"/>
    <s v="profit"/>
    <s v="small"/>
    <n v="40.463800058502216"/>
  </r>
  <r>
    <x v="850"/>
    <x v="291"/>
    <s v="CUST-0379"/>
    <s v="Small Business"/>
    <x v="2"/>
    <x v="11"/>
    <x v="1"/>
    <x v="1"/>
    <n v="4"/>
    <n v="173.3"/>
    <n v="0.05"/>
    <n v="658.54"/>
    <n v="107.38"/>
    <n v="229.01999999999998"/>
    <x v="3"/>
    <x v="2"/>
    <n v="4"/>
    <s v="Nov"/>
    <s v="11"/>
    <s v="profit"/>
    <s v="medium"/>
    <n v="34.776930786284808"/>
  </r>
  <r>
    <x v="851"/>
    <x v="291"/>
    <s v="CUST-0059"/>
    <s v="Consumer"/>
    <x v="0"/>
    <x v="0"/>
    <x v="2"/>
    <x v="13"/>
    <n v="1"/>
    <n v="905.51"/>
    <n v="0.15"/>
    <n v="769.68349999999998"/>
    <n v="792.94"/>
    <n v="-23.256500000000074"/>
    <x v="1"/>
    <x v="0"/>
    <n v="3"/>
    <s v="Nov"/>
    <s v="11"/>
    <s v="profit"/>
    <s v="medium"/>
    <n v="-3.0215666569440653"/>
  </r>
  <r>
    <x v="852"/>
    <x v="291"/>
    <s v="CUST-0151"/>
    <s v="Small Business"/>
    <x v="1"/>
    <x v="1"/>
    <x v="1"/>
    <x v="1"/>
    <n v="1"/>
    <n v="116.16"/>
    <n v="0"/>
    <n v="116.16"/>
    <n v="66.81"/>
    <n v="49.349999999999994"/>
    <x v="0"/>
    <x v="7"/>
    <n v="4"/>
    <s v="Nov"/>
    <s v="11"/>
    <s v="profit"/>
    <s v="small"/>
    <n v="42.4845041322314"/>
  </r>
  <r>
    <x v="853"/>
    <x v="292"/>
    <s v="CUST-0310"/>
    <s v="Corporate"/>
    <x v="3"/>
    <x v="10"/>
    <x v="4"/>
    <x v="11"/>
    <n v="8"/>
    <n v="187.93"/>
    <n v="0"/>
    <n v="1503.44"/>
    <n v="130.68"/>
    <n v="458"/>
    <x v="1"/>
    <x v="0"/>
    <n v="3"/>
    <s v="Nov"/>
    <s v="11"/>
    <s v="profit"/>
    <s v="medium"/>
    <n v="30.463470441121693"/>
  </r>
  <r>
    <x v="854"/>
    <x v="292"/>
    <s v="CUST-0241"/>
    <s v="Consumer"/>
    <x v="1"/>
    <x v="4"/>
    <x v="4"/>
    <x v="11"/>
    <n v="2"/>
    <n v="198.83"/>
    <n v="0"/>
    <n v="397.66"/>
    <n v="130.63"/>
    <n v="136.40000000000003"/>
    <x v="3"/>
    <x v="1"/>
    <n v="5"/>
    <s v="Nov"/>
    <s v="11"/>
    <s v="profit"/>
    <s v="small"/>
    <n v="34.300658854297652"/>
  </r>
  <r>
    <x v="855"/>
    <x v="293"/>
    <s v="CUST-0180"/>
    <s v="Small Business"/>
    <x v="0"/>
    <x v="5"/>
    <x v="2"/>
    <x v="10"/>
    <n v="2"/>
    <n v="1053.3"/>
    <n v="0"/>
    <n v="2106.6"/>
    <n v="895.67"/>
    <n v="315.26"/>
    <x v="2"/>
    <x v="4"/>
    <n v="4"/>
    <s v="Nov"/>
    <s v="11"/>
    <s v="profit"/>
    <s v="large"/>
    <n v="14.965347004652047"/>
  </r>
  <r>
    <x v="856"/>
    <x v="293"/>
    <s v="CUST-0393"/>
    <s v="Corporate"/>
    <x v="1"/>
    <x v="9"/>
    <x v="2"/>
    <x v="13"/>
    <n v="4"/>
    <n v="519.66"/>
    <n v="0"/>
    <n v="2078.64"/>
    <n v="403.72"/>
    <n v="463.75999999999976"/>
    <x v="0"/>
    <x v="4"/>
    <n v="2"/>
    <s v="Nov"/>
    <s v="11"/>
    <s v="profit"/>
    <s v="large"/>
    <n v="22.310741638763798"/>
  </r>
  <r>
    <x v="857"/>
    <x v="293"/>
    <s v="CUST-0393"/>
    <s v="Corporate"/>
    <x v="0"/>
    <x v="0"/>
    <x v="2"/>
    <x v="13"/>
    <n v="4"/>
    <n v="523.99"/>
    <n v="0.05"/>
    <n v="1991.162"/>
    <n v="450.92"/>
    <n v="187.48199999999997"/>
    <x v="0"/>
    <x v="1"/>
    <n v="5"/>
    <s v="Nov"/>
    <s v="11"/>
    <s v="profit"/>
    <s v="medium"/>
    <n v="9.4157080137125941"/>
  </r>
  <r>
    <x v="858"/>
    <x v="294"/>
    <s v="CUST-0076"/>
    <s v="Consumer"/>
    <x v="3"/>
    <x v="7"/>
    <x v="1"/>
    <x v="1"/>
    <n v="1"/>
    <n v="139.07"/>
    <n v="0.15"/>
    <n v="118.20949999999999"/>
    <n v="104.23"/>
    <n v="13.979499999999987"/>
    <x v="4"/>
    <x v="0"/>
    <n v="5"/>
    <s v="Nov"/>
    <s v="11"/>
    <s v="profit"/>
    <s v="small"/>
    <n v="11.826037670407191"/>
  </r>
  <r>
    <x v="859"/>
    <x v="294"/>
    <s v="CUST-0390"/>
    <s v="Consumer"/>
    <x v="1"/>
    <x v="9"/>
    <x v="4"/>
    <x v="14"/>
    <n v="2"/>
    <n v="130.68"/>
    <n v="0"/>
    <n v="261.36"/>
    <n v="83.45"/>
    <n v="94.460000000000008"/>
    <x v="4"/>
    <x v="6"/>
    <n v="4"/>
    <s v="Nov"/>
    <s v="11"/>
    <s v="profit"/>
    <s v="small"/>
    <n v="36.141720232629325"/>
  </r>
  <r>
    <x v="860"/>
    <x v="295"/>
    <s v="CUST-0110"/>
    <s v="Consumer"/>
    <x v="2"/>
    <x v="2"/>
    <x v="4"/>
    <x v="7"/>
    <n v="1"/>
    <n v="619.49"/>
    <n v="0.1"/>
    <n v="557.54100000000005"/>
    <n v="391.69"/>
    <n v="165.85100000000006"/>
    <x v="0"/>
    <x v="3"/>
    <n v="5"/>
    <s v="Nov"/>
    <s v="11"/>
    <s v="profit"/>
    <s v="medium"/>
    <n v="29.746870633729184"/>
  </r>
  <r>
    <x v="861"/>
    <x v="295"/>
    <s v="CUST-0092"/>
    <s v="Consumer"/>
    <x v="0"/>
    <x v="5"/>
    <x v="0"/>
    <x v="3"/>
    <n v="6"/>
    <n v="123.41"/>
    <n v="0.1"/>
    <n v="666.4140000000001"/>
    <n v="72.489999999999995"/>
    <n v="231.47400000000016"/>
    <x v="0"/>
    <x v="0"/>
    <n v="5"/>
    <s v="Nov"/>
    <s v="11"/>
    <s v="profit"/>
    <s v="medium"/>
    <n v="34.734264286164475"/>
  </r>
  <r>
    <x v="862"/>
    <x v="296"/>
    <s v="CUST-0006"/>
    <s v="Consumer"/>
    <x v="3"/>
    <x v="8"/>
    <x v="4"/>
    <x v="7"/>
    <n v="2"/>
    <n v="492.4"/>
    <n v="0.2"/>
    <n v="787.84"/>
    <n v="338.79"/>
    <n v="110.25999999999999"/>
    <x v="1"/>
    <x v="7"/>
    <n v="4"/>
    <s v="Nov"/>
    <s v="11"/>
    <s v="profit"/>
    <s v="medium"/>
    <n v="13.995227457351744"/>
  </r>
  <r>
    <x v="863"/>
    <x v="296"/>
    <s v="CUST-0018"/>
    <s v="Small Business"/>
    <x v="2"/>
    <x v="2"/>
    <x v="2"/>
    <x v="5"/>
    <n v="6"/>
    <n v="118.68"/>
    <n v="0.1"/>
    <n v="640.87200000000007"/>
    <n v="90.59"/>
    <n v="97.332000000000107"/>
    <x v="0"/>
    <x v="0"/>
    <n v="4"/>
    <s v="Nov"/>
    <s v="11"/>
    <s v="profit"/>
    <s v="medium"/>
    <n v="15.187432123731432"/>
  </r>
  <r>
    <x v="864"/>
    <x v="297"/>
    <s v="CUST-0324"/>
    <s v="Corporate"/>
    <x v="0"/>
    <x v="5"/>
    <x v="3"/>
    <x v="9"/>
    <n v="6"/>
    <n v="328.21"/>
    <n v="0.2"/>
    <n v="1575.4079999999999"/>
    <n v="242.4"/>
    <n v="121.00799999999981"/>
    <x v="1"/>
    <x v="3"/>
    <n v="4"/>
    <s v="Nov"/>
    <s v="11"/>
    <s v="profit"/>
    <s v="medium"/>
    <n v="7.6810578592973897"/>
  </r>
  <r>
    <x v="865"/>
    <x v="297"/>
    <s v="CUST-0068"/>
    <s v="Consumer"/>
    <x v="3"/>
    <x v="10"/>
    <x v="3"/>
    <x v="4"/>
    <n v="4"/>
    <n v="13.45"/>
    <n v="0.15"/>
    <n v="45.73"/>
    <n v="10.01"/>
    <n v="5.6899999999999977"/>
    <x v="1"/>
    <x v="2"/>
    <n v="2"/>
    <s v="Nov"/>
    <s v="11"/>
    <s v="profit"/>
    <s v="small"/>
    <n v="12.442597856986657"/>
  </r>
  <r>
    <x v="866"/>
    <x v="297"/>
    <s v="CUST-0171"/>
    <s v="Small Business"/>
    <x v="2"/>
    <x v="3"/>
    <x v="0"/>
    <x v="17"/>
    <n v="3"/>
    <n v="16.48"/>
    <n v="0.1"/>
    <n v="44.496000000000002"/>
    <n v="7.18"/>
    <n v="22.956000000000003"/>
    <x v="0"/>
    <x v="3"/>
    <n v="5"/>
    <s v="Nov"/>
    <s v="11"/>
    <s v="profit"/>
    <s v="small"/>
    <n v="51.591154261057184"/>
  </r>
  <r>
    <x v="867"/>
    <x v="297"/>
    <s v="CUST-0034"/>
    <s v="Consumer"/>
    <x v="1"/>
    <x v="1"/>
    <x v="0"/>
    <x v="8"/>
    <n v="5"/>
    <n v="135.36000000000001"/>
    <n v="0.1"/>
    <n v="609.12000000000012"/>
    <n v="56.16"/>
    <n v="328.32000000000016"/>
    <x v="2"/>
    <x v="3"/>
    <n v="5"/>
    <s v="Nov"/>
    <s v="11"/>
    <s v="profit"/>
    <s v="medium"/>
    <n v="53.900709219858165"/>
  </r>
  <r>
    <x v="868"/>
    <x v="298"/>
    <s v="CUST-0002"/>
    <s v="Corporate"/>
    <x v="1"/>
    <x v="4"/>
    <x v="2"/>
    <x v="12"/>
    <n v="3"/>
    <n v="174.48"/>
    <n v="0.15"/>
    <n v="444.92399999999992"/>
    <n v="141.11000000000001"/>
    <n v="21.59399999999988"/>
    <x v="0"/>
    <x v="7"/>
    <n v="2"/>
    <s v="Nov"/>
    <s v="11"/>
    <s v="profit"/>
    <s v="small"/>
    <n v="4.8534131671925733"/>
  </r>
  <r>
    <x v="869"/>
    <x v="298"/>
    <s v="CUST-0163"/>
    <s v="Small Business"/>
    <x v="0"/>
    <x v="0"/>
    <x v="0"/>
    <x v="17"/>
    <n v="1"/>
    <n v="23.29"/>
    <n v="0"/>
    <n v="23.29"/>
    <n v="12.44"/>
    <n v="10.85"/>
    <x v="3"/>
    <x v="3"/>
    <n v="5"/>
    <s v="Nov"/>
    <s v="11"/>
    <s v="profit"/>
    <s v="small"/>
    <n v="46.586517818806357"/>
  </r>
  <r>
    <x v="870"/>
    <x v="298"/>
    <s v="CUST-0098"/>
    <s v="Small Business"/>
    <x v="3"/>
    <x v="8"/>
    <x v="2"/>
    <x v="5"/>
    <n v="5"/>
    <n v="154.29"/>
    <n v="0.1"/>
    <n v="694.30499999999995"/>
    <n v="118.56"/>
    <n v="101.505"/>
    <x v="4"/>
    <x v="1"/>
    <n v="2"/>
    <s v="Nov"/>
    <s v="11"/>
    <s v="profit"/>
    <s v="medium"/>
    <n v="14.619655626849873"/>
  </r>
  <r>
    <x v="871"/>
    <x v="299"/>
    <s v="CUST-0103"/>
    <s v="Consumer"/>
    <x v="1"/>
    <x v="4"/>
    <x v="1"/>
    <x v="15"/>
    <n v="5"/>
    <n v="77.42"/>
    <n v="0"/>
    <n v="387.1"/>
    <n v="49.32"/>
    <n v="140.50000000000003"/>
    <x v="0"/>
    <x v="1"/>
    <n v="4"/>
    <s v="Nov"/>
    <s v="11"/>
    <s v="profit"/>
    <s v="small"/>
    <n v="36.29553087057608"/>
  </r>
  <r>
    <x v="872"/>
    <x v="300"/>
    <s v="CUST-0300"/>
    <s v="Corporate"/>
    <x v="1"/>
    <x v="9"/>
    <x v="4"/>
    <x v="7"/>
    <n v="3"/>
    <n v="619.64"/>
    <n v="0"/>
    <n v="1858.92"/>
    <n v="450.65"/>
    <n v="506.97000000000025"/>
    <x v="4"/>
    <x v="4"/>
    <n v="5"/>
    <s v="Nov"/>
    <s v="11"/>
    <s v="profit"/>
    <s v="medium"/>
    <n v="27.272287134465184"/>
  </r>
  <r>
    <x v="873"/>
    <x v="300"/>
    <s v="CUST-0112"/>
    <s v="Corporate"/>
    <x v="2"/>
    <x v="3"/>
    <x v="0"/>
    <x v="8"/>
    <n v="2"/>
    <n v="81.3"/>
    <n v="0"/>
    <n v="162.6"/>
    <n v="38.619999999999997"/>
    <n v="85.36"/>
    <x v="0"/>
    <x v="5"/>
    <n v="5"/>
    <s v="Nov"/>
    <s v="11"/>
    <s v="profit"/>
    <s v="small"/>
    <n v="52.49692496924969"/>
  </r>
  <r>
    <x v="874"/>
    <x v="300"/>
    <s v="CUST-0018"/>
    <s v="Corporate"/>
    <x v="2"/>
    <x v="11"/>
    <x v="0"/>
    <x v="0"/>
    <n v="3"/>
    <n v="55.89"/>
    <n v="0.1"/>
    <n v="150.90300000000002"/>
    <n v="29.8"/>
    <n v="61.503000000000014"/>
    <x v="3"/>
    <x v="7"/>
    <n v="5"/>
    <s v="Nov"/>
    <s v="11"/>
    <s v="profit"/>
    <s v="small"/>
    <n v="40.756644997117355"/>
  </r>
  <r>
    <x v="875"/>
    <x v="300"/>
    <s v="CUST-0240"/>
    <s v="Small Business"/>
    <x v="0"/>
    <x v="0"/>
    <x v="2"/>
    <x v="12"/>
    <n v="6"/>
    <n v="411.52"/>
    <n v="0"/>
    <n v="2469.12"/>
    <n v="349.59"/>
    <n v="371.57999999999993"/>
    <x v="4"/>
    <x v="5"/>
    <n v="4"/>
    <s v="Nov"/>
    <s v="11"/>
    <s v="profit"/>
    <s v="large"/>
    <n v="15.049086314152408"/>
  </r>
  <r>
    <x v="876"/>
    <x v="301"/>
    <s v="CUST-0248"/>
    <s v="Small Business"/>
    <x v="3"/>
    <x v="8"/>
    <x v="0"/>
    <x v="3"/>
    <n v="4"/>
    <n v="127.71"/>
    <n v="0.1"/>
    <n v="459.75599999999997"/>
    <n v="67.89"/>
    <n v="188.19599999999997"/>
    <x v="1"/>
    <x v="1"/>
    <n v="2"/>
    <s v="Nov"/>
    <s v="11"/>
    <s v="profit"/>
    <s v="small"/>
    <n v="40.933886670320774"/>
  </r>
  <r>
    <x v="877"/>
    <x v="301"/>
    <s v="CUST-0296"/>
    <s v="Corporate"/>
    <x v="0"/>
    <x v="6"/>
    <x v="3"/>
    <x v="16"/>
    <n v="2"/>
    <n v="120.4"/>
    <n v="0"/>
    <n v="240.8"/>
    <n v="68.61"/>
    <n v="103.58000000000001"/>
    <x v="2"/>
    <x v="5"/>
    <n v="3"/>
    <s v="Nov"/>
    <s v="11"/>
    <s v="profit"/>
    <s v="small"/>
    <n v="43.014950166112961"/>
  </r>
  <r>
    <x v="878"/>
    <x v="301"/>
    <s v="CUST-0171"/>
    <s v="Consumer"/>
    <x v="3"/>
    <x v="10"/>
    <x v="2"/>
    <x v="5"/>
    <n v="4"/>
    <n v="269.38"/>
    <n v="0"/>
    <n v="1077.52"/>
    <n v="203.44"/>
    <n v="263.76"/>
    <x v="3"/>
    <x v="1"/>
    <n v="5"/>
    <s v="Nov"/>
    <s v="11"/>
    <s v="profit"/>
    <s v="medium"/>
    <n v="24.478431954859307"/>
  </r>
  <r>
    <x v="879"/>
    <x v="302"/>
    <s v="CUST-0155"/>
    <s v="Corporate"/>
    <x v="0"/>
    <x v="5"/>
    <x v="2"/>
    <x v="5"/>
    <n v="1"/>
    <n v="153.85"/>
    <n v="0.15"/>
    <n v="130.77249999999998"/>
    <n v="134.65"/>
    <n v="-3.8775000000000261"/>
    <x v="3"/>
    <x v="3"/>
    <n v="3"/>
    <s v="Nov"/>
    <s v="11"/>
    <s v="profit"/>
    <s v="small"/>
    <n v="-2.9650729320002496"/>
  </r>
  <r>
    <x v="880"/>
    <x v="302"/>
    <s v="CUST-0242"/>
    <s v="Small Business"/>
    <x v="2"/>
    <x v="3"/>
    <x v="2"/>
    <x v="10"/>
    <n v="2"/>
    <n v="1193.0999999999999"/>
    <n v="0"/>
    <n v="2386.1999999999998"/>
    <n v="1046.2"/>
    <n v="293.79999999999973"/>
    <x v="1"/>
    <x v="4"/>
    <n v="5"/>
    <s v="Nov"/>
    <s v="11"/>
    <s v="profit"/>
    <s v="large"/>
    <n v="12.312463330818865"/>
  </r>
  <r>
    <x v="881"/>
    <x v="303"/>
    <s v="CUST-0069"/>
    <s v="Corporate"/>
    <x v="0"/>
    <x v="6"/>
    <x v="1"/>
    <x v="1"/>
    <n v="1"/>
    <n v="303.05"/>
    <n v="0.1"/>
    <n v="272.745"/>
    <n v="181.04"/>
    <n v="91.705000000000013"/>
    <x v="0"/>
    <x v="1"/>
    <n v="5"/>
    <s v="Nov"/>
    <s v="11"/>
    <s v="profit"/>
    <s v="small"/>
    <n v="33.622981172890434"/>
  </r>
  <r>
    <x v="882"/>
    <x v="304"/>
    <s v="CUST-0014"/>
    <s v="Consumer"/>
    <x v="2"/>
    <x v="11"/>
    <x v="1"/>
    <x v="1"/>
    <n v="3"/>
    <n v="266.99"/>
    <n v="0.2"/>
    <n v="640.77600000000007"/>
    <n v="171.72"/>
    <n v="125.6160000000001"/>
    <x v="2"/>
    <x v="3"/>
    <n v="5"/>
    <s v="Nov"/>
    <s v="11"/>
    <s v="profit"/>
    <s v="medium"/>
    <n v="19.603730476796898"/>
  </r>
  <r>
    <x v="883"/>
    <x v="304"/>
    <s v="CUST-0097"/>
    <s v="Consumer"/>
    <x v="1"/>
    <x v="4"/>
    <x v="4"/>
    <x v="18"/>
    <n v="3"/>
    <n v="155.28"/>
    <n v="0"/>
    <n v="465.84000000000003"/>
    <n v="124.17"/>
    <n v="93.330000000000041"/>
    <x v="4"/>
    <x v="1"/>
    <n v="4"/>
    <s v="Nov"/>
    <s v="11"/>
    <s v="profit"/>
    <s v="small"/>
    <n v="20.034775888717164"/>
  </r>
  <r>
    <x v="884"/>
    <x v="304"/>
    <s v="CUST-0216"/>
    <s v="Consumer"/>
    <x v="1"/>
    <x v="9"/>
    <x v="4"/>
    <x v="11"/>
    <n v="5"/>
    <n v="324.33999999999997"/>
    <n v="0"/>
    <n v="1621.6999999999998"/>
    <n v="240.99"/>
    <n v="416.74999999999977"/>
    <x v="4"/>
    <x v="6"/>
    <n v="4"/>
    <s v="Nov"/>
    <s v="11"/>
    <s v="profit"/>
    <s v="medium"/>
    <n v="25.698341246839725"/>
  </r>
  <r>
    <x v="885"/>
    <x v="305"/>
    <s v="CUST-0007"/>
    <s v="Consumer"/>
    <x v="0"/>
    <x v="5"/>
    <x v="1"/>
    <x v="1"/>
    <n v="5"/>
    <n v="336.06"/>
    <n v="0.15"/>
    <n v="1428.2549999999999"/>
    <n v="228.77"/>
    <n v="284.40499999999975"/>
    <x v="0"/>
    <x v="3"/>
    <n v="4"/>
    <s v="Nov"/>
    <s v="11"/>
    <s v="profit"/>
    <s v="medium"/>
    <n v="19.912760676489828"/>
  </r>
  <r>
    <x v="886"/>
    <x v="305"/>
    <s v="CUST-0133"/>
    <s v="Small Business"/>
    <x v="1"/>
    <x v="1"/>
    <x v="4"/>
    <x v="7"/>
    <n v="4"/>
    <n v="310.43"/>
    <n v="0"/>
    <n v="1241.72"/>
    <n v="207.75"/>
    <n v="410.72"/>
    <x v="3"/>
    <x v="0"/>
    <n v="4"/>
    <s v="Nov"/>
    <s v="11"/>
    <s v="profit"/>
    <s v="medium"/>
    <n v="33.076700061205429"/>
  </r>
  <r>
    <x v="887"/>
    <x v="305"/>
    <s v="CUST-0197"/>
    <s v="Small Business"/>
    <x v="0"/>
    <x v="0"/>
    <x v="1"/>
    <x v="6"/>
    <n v="10"/>
    <n v="217.28"/>
    <n v="0.05"/>
    <n v="2064.16"/>
    <n v="120.73"/>
    <n v="856.8599999999999"/>
    <x v="3"/>
    <x v="3"/>
    <n v="1"/>
    <s v="Nov"/>
    <s v="11"/>
    <s v="profit"/>
    <s v="large"/>
    <n v="41.511316952174248"/>
  </r>
  <r>
    <x v="888"/>
    <x v="306"/>
    <s v="CUST-0063"/>
    <s v="Corporate"/>
    <x v="1"/>
    <x v="1"/>
    <x v="3"/>
    <x v="9"/>
    <n v="1"/>
    <n v="278.45"/>
    <n v="0"/>
    <n v="278.45"/>
    <n v="163.57"/>
    <n v="114.88"/>
    <x v="1"/>
    <x v="7"/>
    <n v="2"/>
    <s v="Nov"/>
    <s v="11"/>
    <s v="profit"/>
    <s v="small"/>
    <n v="41.256958161249777"/>
  </r>
  <r>
    <x v="889"/>
    <x v="306"/>
    <s v="CUST-0183"/>
    <s v="Corporate"/>
    <x v="2"/>
    <x v="3"/>
    <x v="0"/>
    <x v="8"/>
    <n v="2"/>
    <n v="89.16"/>
    <n v="0"/>
    <n v="178.32"/>
    <n v="50.43"/>
    <n v="77.459999999999994"/>
    <x v="3"/>
    <x v="0"/>
    <n v="4"/>
    <s v="Nov"/>
    <s v="11"/>
    <s v="profit"/>
    <s v="small"/>
    <n v="43.438761776581423"/>
  </r>
  <r>
    <x v="890"/>
    <x v="306"/>
    <s v="CUST-0065"/>
    <s v="Small Business"/>
    <x v="1"/>
    <x v="4"/>
    <x v="0"/>
    <x v="17"/>
    <n v="1"/>
    <n v="17.649999999999999"/>
    <n v="0.05"/>
    <n v="16.767499999999998"/>
    <n v="11.31"/>
    <n v="5.4574999999999978"/>
    <x v="4"/>
    <x v="0"/>
    <n v="4"/>
    <s v="Nov"/>
    <s v="11"/>
    <s v="profit"/>
    <s v="small"/>
    <n v="32.548084091247944"/>
  </r>
  <r>
    <x v="891"/>
    <x v="307"/>
    <s v="CUST-0076"/>
    <s v="Small Business"/>
    <x v="1"/>
    <x v="4"/>
    <x v="4"/>
    <x v="7"/>
    <n v="1"/>
    <n v="920.09"/>
    <n v="0"/>
    <n v="920.09"/>
    <n v="691.15"/>
    <n v="228.94000000000005"/>
    <x v="3"/>
    <x v="6"/>
    <n v="4"/>
    <s v="Nov"/>
    <s v="11"/>
    <s v="profit"/>
    <s v="medium"/>
    <n v="24.882348465910948"/>
  </r>
  <r>
    <x v="892"/>
    <x v="307"/>
    <s v="CUST-0132"/>
    <s v="Small Business"/>
    <x v="1"/>
    <x v="1"/>
    <x v="1"/>
    <x v="6"/>
    <n v="1"/>
    <n v="234.76"/>
    <n v="0.2"/>
    <n v="187.80799999999999"/>
    <n v="140.88999999999999"/>
    <n v="46.918000000000006"/>
    <x v="3"/>
    <x v="6"/>
    <n v="5"/>
    <s v="Nov"/>
    <s v="11"/>
    <s v="profit"/>
    <s v="small"/>
    <n v="24.981896404838988"/>
  </r>
  <r>
    <x v="893"/>
    <x v="307"/>
    <s v="CUST-0243"/>
    <s v="Consumer"/>
    <x v="3"/>
    <x v="10"/>
    <x v="1"/>
    <x v="6"/>
    <n v="4"/>
    <n v="248.93"/>
    <n v="0"/>
    <n v="995.72"/>
    <n v="156.05000000000001"/>
    <n v="371.52"/>
    <x v="1"/>
    <x v="1"/>
    <n v="5"/>
    <s v="Nov"/>
    <s v="11"/>
    <s v="profit"/>
    <s v="medium"/>
    <n v="37.311694050536289"/>
  </r>
  <r>
    <x v="894"/>
    <x v="308"/>
    <s v="CUST-0209"/>
    <s v="Consumer"/>
    <x v="1"/>
    <x v="4"/>
    <x v="1"/>
    <x v="6"/>
    <n v="3"/>
    <n v="145.33000000000001"/>
    <n v="0"/>
    <n v="435.99"/>
    <n v="107.67"/>
    <n v="112.98000000000002"/>
    <x v="3"/>
    <x v="6"/>
    <n v="4"/>
    <s v="Nov"/>
    <s v="11"/>
    <s v="profit"/>
    <s v="small"/>
    <n v="25.913438381614263"/>
  </r>
  <r>
    <x v="895"/>
    <x v="308"/>
    <s v="CUST-0167"/>
    <s v="Consumer"/>
    <x v="2"/>
    <x v="3"/>
    <x v="4"/>
    <x v="7"/>
    <n v="1"/>
    <n v="839.17"/>
    <n v="0"/>
    <n v="839.17"/>
    <n v="507.55"/>
    <n v="331.61999999999995"/>
    <x v="3"/>
    <x v="1"/>
    <n v="5"/>
    <s v="Nov"/>
    <s v="11"/>
    <s v="profit"/>
    <s v="medium"/>
    <n v="39.517618599330284"/>
  </r>
  <r>
    <x v="896"/>
    <x v="309"/>
    <s v="CUST-0007"/>
    <s v="Corporate"/>
    <x v="2"/>
    <x v="2"/>
    <x v="0"/>
    <x v="3"/>
    <n v="2"/>
    <n v="110.55"/>
    <n v="0.2"/>
    <n v="176.88"/>
    <n v="54.31"/>
    <n v="68.259999999999991"/>
    <x v="0"/>
    <x v="7"/>
    <n v="4"/>
    <s v="Nov"/>
    <s v="11"/>
    <s v="profit"/>
    <s v="small"/>
    <n v="38.59113523292627"/>
  </r>
  <r>
    <x v="897"/>
    <x v="309"/>
    <s v="CUST-0339"/>
    <s v="Small Business"/>
    <x v="3"/>
    <x v="10"/>
    <x v="0"/>
    <x v="3"/>
    <n v="2"/>
    <n v="142.52000000000001"/>
    <n v="0.05"/>
    <n v="270.78800000000001"/>
    <n v="74.86"/>
    <n v="121.06800000000001"/>
    <x v="3"/>
    <x v="0"/>
    <n v="4"/>
    <s v="Nov"/>
    <s v="11"/>
    <s v="profit"/>
    <s v="small"/>
    <n v="44.709514454111705"/>
  </r>
  <r>
    <x v="898"/>
    <x v="310"/>
    <s v="CUST-0240"/>
    <s v="Consumer"/>
    <x v="2"/>
    <x v="11"/>
    <x v="4"/>
    <x v="11"/>
    <n v="4"/>
    <n v="479.05"/>
    <n v="0.05"/>
    <n v="1820.3899999999999"/>
    <n v="332.5"/>
    <n v="490.38999999999987"/>
    <x v="4"/>
    <x v="3"/>
    <n v="4"/>
    <s v="Nov"/>
    <s v="11"/>
    <s v="profit"/>
    <s v="medium"/>
    <n v="26.938732908882159"/>
  </r>
  <r>
    <x v="899"/>
    <x v="310"/>
    <s v="CUST-0193"/>
    <s v="Small Business"/>
    <x v="2"/>
    <x v="2"/>
    <x v="0"/>
    <x v="3"/>
    <n v="4"/>
    <n v="159.5"/>
    <n v="0.2"/>
    <n v="510.40000000000003"/>
    <n v="102.74"/>
    <n v="99.440000000000055"/>
    <x v="4"/>
    <x v="6"/>
    <n v="4"/>
    <s v="Nov"/>
    <s v="11"/>
    <s v="profit"/>
    <s v="medium"/>
    <n v="19.482758620689662"/>
  </r>
  <r>
    <x v="900"/>
    <x v="310"/>
    <s v="CUST-0393"/>
    <s v="Small Business"/>
    <x v="0"/>
    <x v="5"/>
    <x v="1"/>
    <x v="19"/>
    <n v="1"/>
    <n v="62.6"/>
    <n v="0.15"/>
    <n v="53.21"/>
    <n v="44.3"/>
    <n v="8.9100000000000037"/>
    <x v="1"/>
    <x v="6"/>
    <n v="4"/>
    <s v="Nov"/>
    <s v="11"/>
    <s v="profit"/>
    <s v="small"/>
    <n v="16.744972749483185"/>
  </r>
  <r>
    <x v="901"/>
    <x v="311"/>
    <s v="CUST-0391"/>
    <s v="Small Business"/>
    <x v="0"/>
    <x v="5"/>
    <x v="2"/>
    <x v="2"/>
    <n v="6"/>
    <n v="183.19"/>
    <n v="0.2"/>
    <n v="879.3119999999999"/>
    <n v="143.69999999999999"/>
    <n v="17.111999999999966"/>
    <x v="0"/>
    <x v="6"/>
    <n v="3"/>
    <s v="Nov"/>
    <s v="11"/>
    <s v="profit"/>
    <s v="medium"/>
    <n v="1.9460669250504905"/>
  </r>
  <r>
    <x v="902"/>
    <x v="311"/>
    <s v="CUST-0172"/>
    <s v="Corporate"/>
    <x v="3"/>
    <x v="7"/>
    <x v="0"/>
    <x v="3"/>
    <n v="2"/>
    <n v="74.349999999999994"/>
    <n v="0"/>
    <n v="148.69999999999999"/>
    <n v="31.14"/>
    <n v="86.419999999999987"/>
    <x v="4"/>
    <x v="2"/>
    <n v="4"/>
    <s v="Nov"/>
    <s v="11"/>
    <s v="profit"/>
    <s v="small"/>
    <n v="58.117014122394075"/>
  </r>
  <r>
    <x v="903"/>
    <x v="312"/>
    <s v="CUST-0042"/>
    <s v="Small Business"/>
    <x v="3"/>
    <x v="7"/>
    <x v="1"/>
    <x v="1"/>
    <n v="3"/>
    <n v="205.4"/>
    <n v="0.05"/>
    <n v="585.39"/>
    <n v="127.91"/>
    <n v="201.65999999999997"/>
    <x v="2"/>
    <x v="6"/>
    <n v="5"/>
    <s v="Nov"/>
    <s v="11"/>
    <s v="profit"/>
    <s v="medium"/>
    <n v="34.448828985804333"/>
  </r>
  <r>
    <x v="904"/>
    <x v="312"/>
    <s v="CUST-0335"/>
    <s v="Corporate"/>
    <x v="0"/>
    <x v="6"/>
    <x v="4"/>
    <x v="11"/>
    <n v="1"/>
    <n v="199.9"/>
    <n v="0.1"/>
    <n v="179.91"/>
    <n v="134.91"/>
    <n v="45"/>
    <x v="2"/>
    <x v="4"/>
    <n v="5"/>
    <s v="Nov"/>
    <s v="11"/>
    <s v="profit"/>
    <s v="small"/>
    <n v="25.012506253126567"/>
  </r>
  <r>
    <x v="905"/>
    <x v="312"/>
    <s v="CUST-0151"/>
    <s v="Consumer"/>
    <x v="1"/>
    <x v="9"/>
    <x v="2"/>
    <x v="5"/>
    <n v="6"/>
    <n v="225.23"/>
    <n v="0"/>
    <n v="1351.3799999999999"/>
    <n v="194.62"/>
    <n v="183.65999999999985"/>
    <x v="3"/>
    <x v="4"/>
    <n v="4"/>
    <s v="Nov"/>
    <s v="11"/>
    <s v="profit"/>
    <s v="medium"/>
    <n v="13.590551880300128"/>
  </r>
  <r>
    <x v="906"/>
    <x v="313"/>
    <s v="CUST-0170"/>
    <s v="Consumer"/>
    <x v="1"/>
    <x v="9"/>
    <x v="0"/>
    <x v="3"/>
    <n v="3"/>
    <n v="158.77000000000001"/>
    <n v="0.15"/>
    <n v="404.86350000000004"/>
    <n v="71.58"/>
    <n v="190.12350000000004"/>
    <x v="4"/>
    <x v="0"/>
    <n v="5"/>
    <s v="Nov"/>
    <s v="11"/>
    <s v="profit"/>
    <s v="small"/>
    <n v="46.959901300067806"/>
  </r>
  <r>
    <x v="907"/>
    <x v="313"/>
    <s v="CUST-0134"/>
    <s v="Small Business"/>
    <x v="1"/>
    <x v="1"/>
    <x v="2"/>
    <x v="10"/>
    <n v="1"/>
    <n v="1161.52"/>
    <n v="0.05"/>
    <n v="1103.444"/>
    <n v="974.57"/>
    <n v="128.87399999999991"/>
    <x v="2"/>
    <x v="2"/>
    <n v="5"/>
    <s v="Nov"/>
    <s v="11"/>
    <s v="profit"/>
    <s v="medium"/>
    <n v="11.679251507099583"/>
  </r>
  <r>
    <x v="908"/>
    <x v="313"/>
    <s v="CUST-0372"/>
    <s v="Consumer"/>
    <x v="0"/>
    <x v="6"/>
    <x v="0"/>
    <x v="17"/>
    <n v="5"/>
    <n v="19.84"/>
    <n v="0.15"/>
    <n v="84.32"/>
    <n v="8.7899999999999991"/>
    <n v="40.369999999999997"/>
    <x v="0"/>
    <x v="6"/>
    <n v="5"/>
    <s v="Nov"/>
    <s v="11"/>
    <s v="profit"/>
    <s v="small"/>
    <n v="47.877134724857683"/>
  </r>
  <r>
    <x v="909"/>
    <x v="314"/>
    <s v="CUST-0058"/>
    <s v="Small Business"/>
    <x v="3"/>
    <x v="8"/>
    <x v="0"/>
    <x v="3"/>
    <n v="4"/>
    <n v="91.43"/>
    <n v="0.05"/>
    <n v="347.43400000000003"/>
    <n v="56.59"/>
    <n v="121.07400000000001"/>
    <x v="4"/>
    <x v="7"/>
    <n v="4"/>
    <s v="Dec"/>
    <s v="12"/>
    <s v="profit"/>
    <s v="small"/>
    <n v="34.848057472786195"/>
  </r>
  <r>
    <x v="910"/>
    <x v="314"/>
    <s v="CUST-0364"/>
    <s v="Corporate"/>
    <x v="0"/>
    <x v="6"/>
    <x v="4"/>
    <x v="11"/>
    <n v="3"/>
    <n v="501.87"/>
    <n v="0"/>
    <n v="1505.6100000000001"/>
    <n v="380.41"/>
    <n v="364.38000000000011"/>
    <x v="4"/>
    <x v="1"/>
    <n v="4"/>
    <s v="Dec"/>
    <s v="12"/>
    <s v="profit"/>
    <s v="medium"/>
    <n v="24.201486440711744"/>
  </r>
  <r>
    <x v="911"/>
    <x v="315"/>
    <s v="CUST-0268"/>
    <s v="Corporate"/>
    <x v="2"/>
    <x v="2"/>
    <x v="1"/>
    <x v="6"/>
    <n v="1"/>
    <n v="205.35"/>
    <n v="0"/>
    <n v="205.35"/>
    <n v="125.28"/>
    <n v="80.069999999999993"/>
    <x v="3"/>
    <x v="4"/>
    <n v="5"/>
    <s v="Dec"/>
    <s v="12"/>
    <s v="profit"/>
    <s v="small"/>
    <n v="38.991964937910886"/>
  </r>
  <r>
    <x v="912"/>
    <x v="315"/>
    <s v="CUST-0080"/>
    <s v="Small Business"/>
    <x v="2"/>
    <x v="11"/>
    <x v="0"/>
    <x v="8"/>
    <n v="4"/>
    <n v="98.67"/>
    <n v="0.1"/>
    <n v="355.21199999999999"/>
    <n v="46.48"/>
    <n v="169.292"/>
    <x v="4"/>
    <x v="3"/>
    <n v="4"/>
    <s v="Dec"/>
    <s v="12"/>
    <s v="profit"/>
    <s v="small"/>
    <n v="47.65942592029549"/>
  </r>
  <r>
    <x v="913"/>
    <x v="315"/>
    <s v="CUST-0133"/>
    <s v="Corporate"/>
    <x v="3"/>
    <x v="10"/>
    <x v="3"/>
    <x v="9"/>
    <n v="2"/>
    <n v="563.9"/>
    <n v="0.05"/>
    <n v="1071.4099999999999"/>
    <n v="419.77"/>
    <n v="231.86999999999989"/>
    <x v="2"/>
    <x v="6"/>
    <n v="4"/>
    <s v="Dec"/>
    <s v="12"/>
    <s v="profit"/>
    <s v="medium"/>
    <n v="21.641575120635416"/>
  </r>
  <r>
    <x v="914"/>
    <x v="316"/>
    <s v="CUST-0249"/>
    <s v="Small Business"/>
    <x v="2"/>
    <x v="2"/>
    <x v="3"/>
    <x v="9"/>
    <n v="2"/>
    <n v="568.5"/>
    <n v="0.15"/>
    <n v="966.44999999999993"/>
    <n v="359.62"/>
    <n v="247.20999999999992"/>
    <x v="4"/>
    <x v="0"/>
    <n v="3"/>
    <s v="Dec"/>
    <s v="12"/>
    <s v="profit"/>
    <s v="medium"/>
    <n v="25.579181540690151"/>
  </r>
  <r>
    <x v="915"/>
    <x v="317"/>
    <s v="CUST-0312"/>
    <s v="Small Business"/>
    <x v="3"/>
    <x v="8"/>
    <x v="3"/>
    <x v="4"/>
    <n v="1"/>
    <n v="37.409999999999997"/>
    <n v="0"/>
    <n v="37.409999999999997"/>
    <n v="27.57"/>
    <n v="9.8399999999999963"/>
    <x v="3"/>
    <x v="4"/>
    <n v="4"/>
    <s v="Dec"/>
    <s v="12"/>
    <s v="profit"/>
    <s v="small"/>
    <n v="26.30312750601443"/>
  </r>
  <r>
    <x v="916"/>
    <x v="317"/>
    <s v="CUST-0205"/>
    <s v="Small Business"/>
    <x v="3"/>
    <x v="10"/>
    <x v="0"/>
    <x v="17"/>
    <n v="1"/>
    <n v="30.68"/>
    <n v="0.1"/>
    <n v="27.612000000000002"/>
    <n v="13.46"/>
    <n v="14.152000000000001"/>
    <x v="3"/>
    <x v="7"/>
    <n v="4"/>
    <s v="Dec"/>
    <s v="12"/>
    <s v="profit"/>
    <s v="small"/>
    <n v="51.253078371722438"/>
  </r>
  <r>
    <x v="917"/>
    <x v="317"/>
    <s v="CUST-0354"/>
    <s v="Small Business"/>
    <x v="3"/>
    <x v="7"/>
    <x v="4"/>
    <x v="14"/>
    <n v="1"/>
    <n v="439.06"/>
    <n v="0.1"/>
    <n v="395.154"/>
    <n v="346.33"/>
    <n v="48.824000000000012"/>
    <x v="4"/>
    <x v="4"/>
    <n v="4"/>
    <s v="Dec"/>
    <s v="12"/>
    <s v="profit"/>
    <s v="small"/>
    <n v="12.355689174347221"/>
  </r>
  <r>
    <x v="918"/>
    <x v="317"/>
    <s v="CUST-0033"/>
    <s v="Consumer"/>
    <x v="2"/>
    <x v="3"/>
    <x v="0"/>
    <x v="17"/>
    <n v="4"/>
    <n v="34.44"/>
    <n v="0.1"/>
    <n v="123.98399999999999"/>
    <n v="20.100000000000001"/>
    <n v="43.583999999999989"/>
    <x v="2"/>
    <x v="1"/>
    <n v="2"/>
    <s v="Dec"/>
    <s v="12"/>
    <s v="profit"/>
    <s v="small"/>
    <n v="35.152922957800996"/>
  </r>
  <r>
    <x v="919"/>
    <x v="318"/>
    <s v="CUST-0325"/>
    <s v="Consumer"/>
    <x v="0"/>
    <x v="5"/>
    <x v="2"/>
    <x v="2"/>
    <n v="6"/>
    <n v="361.82"/>
    <n v="0"/>
    <n v="2170.92"/>
    <n v="299.73"/>
    <n v="372.53999999999996"/>
    <x v="4"/>
    <x v="0"/>
    <n v="2"/>
    <s v="Dec"/>
    <s v="12"/>
    <s v="profit"/>
    <s v="large"/>
    <n v="17.160466530318942"/>
  </r>
  <r>
    <x v="920"/>
    <x v="318"/>
    <s v="CUST-0058"/>
    <s v="Small Business"/>
    <x v="1"/>
    <x v="1"/>
    <x v="2"/>
    <x v="13"/>
    <n v="3"/>
    <n v="379.9"/>
    <n v="0.05"/>
    <n v="1082.7149999999997"/>
    <n v="308.32"/>
    <n v="157.75499999999965"/>
    <x v="1"/>
    <x v="4"/>
    <n v="4"/>
    <s v="Dec"/>
    <s v="12"/>
    <s v="profit"/>
    <s v="medium"/>
    <n v="14.570316288219864"/>
  </r>
  <r>
    <x v="921"/>
    <x v="318"/>
    <s v="CUST-0169"/>
    <s v="Small Business"/>
    <x v="1"/>
    <x v="9"/>
    <x v="0"/>
    <x v="3"/>
    <n v="1"/>
    <n v="159.07"/>
    <n v="0.1"/>
    <n v="143.16300000000001"/>
    <n v="93.38"/>
    <n v="49.783000000000015"/>
    <x v="1"/>
    <x v="1"/>
    <n v="5"/>
    <s v="Dec"/>
    <s v="12"/>
    <s v="profit"/>
    <s v="small"/>
    <n v="34.773649616171788"/>
  </r>
  <r>
    <x v="922"/>
    <x v="318"/>
    <s v="CUST-0094"/>
    <s v="Corporate"/>
    <x v="2"/>
    <x v="2"/>
    <x v="4"/>
    <x v="11"/>
    <n v="2"/>
    <n v="283.75"/>
    <n v="0.2"/>
    <n v="454"/>
    <n v="188.53"/>
    <n v="76.94"/>
    <x v="3"/>
    <x v="7"/>
    <n v="5"/>
    <s v="Dec"/>
    <s v="12"/>
    <s v="profit"/>
    <s v="small"/>
    <n v="16.947136563876654"/>
  </r>
  <r>
    <x v="923"/>
    <x v="318"/>
    <s v="CUST-0227"/>
    <s v="Corporate"/>
    <x v="1"/>
    <x v="9"/>
    <x v="0"/>
    <x v="3"/>
    <n v="2"/>
    <n v="59.58"/>
    <n v="0.2"/>
    <n v="95.328000000000003"/>
    <n v="37.75"/>
    <n v="19.828000000000003"/>
    <x v="2"/>
    <x v="3"/>
    <n v="3"/>
    <s v="Dec"/>
    <s v="12"/>
    <s v="profit"/>
    <s v="small"/>
    <n v="20.799765021819404"/>
  </r>
  <r>
    <x v="924"/>
    <x v="319"/>
    <s v="CUST-0313"/>
    <s v="Consumer"/>
    <x v="2"/>
    <x v="2"/>
    <x v="2"/>
    <x v="13"/>
    <n v="2"/>
    <n v="470.57"/>
    <n v="0.1"/>
    <n v="847.02599999999995"/>
    <n v="388.09"/>
    <n v="70.846000000000004"/>
    <x v="2"/>
    <x v="3"/>
    <n v="4"/>
    <s v="Dec"/>
    <s v="12"/>
    <s v="profit"/>
    <s v="medium"/>
    <n v="8.3640879972987836"/>
  </r>
  <r>
    <x v="925"/>
    <x v="319"/>
    <s v="CUST-0335"/>
    <s v="Small Business"/>
    <x v="3"/>
    <x v="8"/>
    <x v="2"/>
    <x v="12"/>
    <n v="8"/>
    <n v="582.20000000000005"/>
    <n v="0.2"/>
    <n v="3726.0800000000004"/>
    <n v="449.54"/>
    <n v="129.76000000000022"/>
    <x v="1"/>
    <x v="1"/>
    <n v="3"/>
    <s v="Dec"/>
    <s v="12"/>
    <s v="profit"/>
    <s v="large"/>
    <n v="3.4824802473376901"/>
  </r>
  <r>
    <x v="926"/>
    <x v="319"/>
    <s v="CUST-0289"/>
    <s v="Corporate"/>
    <x v="2"/>
    <x v="2"/>
    <x v="4"/>
    <x v="18"/>
    <n v="2"/>
    <n v="130.44999999999999"/>
    <n v="0"/>
    <n v="260.89999999999998"/>
    <n v="96.37"/>
    <n v="68.159999999999968"/>
    <x v="1"/>
    <x v="5"/>
    <n v="5"/>
    <s v="Dec"/>
    <s v="12"/>
    <s v="profit"/>
    <s v="small"/>
    <n v="26.124952088922949"/>
  </r>
  <r>
    <x v="927"/>
    <x v="319"/>
    <s v="CUST-0107"/>
    <s v="Small Business"/>
    <x v="1"/>
    <x v="1"/>
    <x v="0"/>
    <x v="3"/>
    <n v="1"/>
    <n v="82.43"/>
    <n v="0.1"/>
    <n v="74.187000000000012"/>
    <n v="36.979999999999997"/>
    <n v="37.207000000000015"/>
    <x v="0"/>
    <x v="1"/>
    <n v="5"/>
    <s v="Dec"/>
    <s v="12"/>
    <s v="profit"/>
    <s v="small"/>
    <n v="50.152991764055713"/>
  </r>
  <r>
    <x v="928"/>
    <x v="319"/>
    <s v="CUST-0141"/>
    <s v="Consumer"/>
    <x v="3"/>
    <x v="7"/>
    <x v="2"/>
    <x v="12"/>
    <n v="3"/>
    <n v="585.01"/>
    <n v="0.05"/>
    <n v="1667.2784999999999"/>
    <n v="497.93"/>
    <n v="173.48849999999993"/>
    <x v="3"/>
    <x v="4"/>
    <n v="3"/>
    <s v="Dec"/>
    <s v="12"/>
    <s v="profit"/>
    <s v="medium"/>
    <n v="10.405490144567926"/>
  </r>
  <r>
    <x v="929"/>
    <x v="320"/>
    <s v="CUST-0128"/>
    <s v="Corporate"/>
    <x v="1"/>
    <x v="9"/>
    <x v="1"/>
    <x v="1"/>
    <n v="8"/>
    <n v="384.17"/>
    <n v="0.1"/>
    <n v="2766.0240000000003"/>
    <n v="215.39"/>
    <n v="1042.9040000000005"/>
    <x v="2"/>
    <x v="6"/>
    <n v="2"/>
    <s v="Dec"/>
    <s v="12"/>
    <s v="profit"/>
    <s v="large"/>
    <n v="37.704083550974261"/>
  </r>
  <r>
    <x v="930"/>
    <x v="320"/>
    <s v="CUST-0038"/>
    <s v="Corporate"/>
    <x v="2"/>
    <x v="3"/>
    <x v="2"/>
    <x v="5"/>
    <n v="2"/>
    <n v="104.53"/>
    <n v="0.15"/>
    <n v="177.70099999999999"/>
    <n v="88.28"/>
    <n v="1.1409999999999911"/>
    <x v="1"/>
    <x v="3"/>
    <n v="5"/>
    <s v="Dec"/>
    <s v="12"/>
    <s v="profit"/>
    <s v="small"/>
    <n v="0.64208980253346415"/>
  </r>
  <r>
    <x v="931"/>
    <x v="321"/>
    <s v="CUST-0286"/>
    <s v="Small Business"/>
    <x v="2"/>
    <x v="2"/>
    <x v="0"/>
    <x v="0"/>
    <n v="2"/>
    <n v="61.52"/>
    <n v="0.1"/>
    <n v="110.736"/>
    <n v="33.25"/>
    <n v="44.236000000000004"/>
    <x v="0"/>
    <x v="5"/>
    <n v="3"/>
    <s v="Dec"/>
    <s v="12"/>
    <s v="profit"/>
    <s v="small"/>
    <n v="39.947261956364684"/>
  </r>
  <r>
    <x v="932"/>
    <x v="321"/>
    <s v="CUST-0240"/>
    <s v="Consumer"/>
    <x v="1"/>
    <x v="9"/>
    <x v="1"/>
    <x v="6"/>
    <n v="6"/>
    <n v="241.01"/>
    <n v="0"/>
    <n v="1446.06"/>
    <n v="163.35"/>
    <n v="465.96000000000004"/>
    <x v="1"/>
    <x v="7"/>
    <n v="4"/>
    <s v="Dec"/>
    <s v="12"/>
    <s v="profit"/>
    <s v="medium"/>
    <n v="32.222729347329995"/>
  </r>
  <r>
    <x v="933"/>
    <x v="321"/>
    <s v="CUST-0203"/>
    <s v="Corporate"/>
    <x v="0"/>
    <x v="0"/>
    <x v="1"/>
    <x v="6"/>
    <n v="1"/>
    <n v="93.63"/>
    <n v="0.05"/>
    <n v="88.948499999999996"/>
    <n v="56.22"/>
    <n v="32.728499999999997"/>
    <x v="3"/>
    <x v="5"/>
    <n v="5"/>
    <s v="Dec"/>
    <s v="12"/>
    <s v="profit"/>
    <s v="small"/>
    <n v="36.794886928953268"/>
  </r>
  <r>
    <x v="934"/>
    <x v="321"/>
    <s v="CUST-0325"/>
    <s v="Consumer"/>
    <x v="2"/>
    <x v="2"/>
    <x v="0"/>
    <x v="17"/>
    <n v="2"/>
    <n v="23.27"/>
    <n v="0.05"/>
    <n v="44.212999999999994"/>
    <n v="9.33"/>
    <n v="25.552999999999994"/>
    <x v="3"/>
    <x v="2"/>
    <n v="5"/>
    <s v="Dec"/>
    <s v="12"/>
    <s v="profit"/>
    <s v="small"/>
    <n v="57.795218600863997"/>
  </r>
  <r>
    <x v="935"/>
    <x v="322"/>
    <s v="CUST-0098"/>
    <s v="Consumer"/>
    <x v="0"/>
    <x v="5"/>
    <x v="1"/>
    <x v="15"/>
    <n v="6"/>
    <n v="165.76"/>
    <n v="0.1"/>
    <n v="895.10399999999993"/>
    <n v="96.26"/>
    <n v="317.54399999999987"/>
    <x v="1"/>
    <x v="1"/>
    <n v="4"/>
    <s v="Dec"/>
    <s v="12"/>
    <s v="profit"/>
    <s v="medium"/>
    <n v="35.47565422565421"/>
  </r>
  <r>
    <x v="936"/>
    <x v="322"/>
    <s v="CUST-0222"/>
    <s v="Consumer"/>
    <x v="2"/>
    <x v="11"/>
    <x v="3"/>
    <x v="16"/>
    <n v="2"/>
    <n v="106.31"/>
    <n v="0.1"/>
    <n v="191.358"/>
    <n v="78.180000000000007"/>
    <n v="34.99799999999999"/>
    <x v="1"/>
    <x v="1"/>
    <n v="1"/>
    <s v="Dec"/>
    <s v="12"/>
    <s v="profit"/>
    <s v="small"/>
    <n v="18.289279779261904"/>
  </r>
  <r>
    <x v="937"/>
    <x v="322"/>
    <s v="CUST-0394"/>
    <s v="Corporate"/>
    <x v="3"/>
    <x v="8"/>
    <x v="1"/>
    <x v="19"/>
    <n v="5"/>
    <n v="25.81"/>
    <n v="0.05"/>
    <n v="122.59749999999998"/>
    <n v="17.690000000000001"/>
    <n v="34.14749999999998"/>
    <x v="2"/>
    <x v="0"/>
    <n v="4"/>
    <s v="Dec"/>
    <s v="12"/>
    <s v="profit"/>
    <s v="small"/>
    <n v="27.853341218214062"/>
  </r>
  <r>
    <x v="938"/>
    <x v="322"/>
    <s v="CUST-0093"/>
    <s v="Consumer"/>
    <x v="3"/>
    <x v="7"/>
    <x v="2"/>
    <x v="2"/>
    <n v="4"/>
    <n v="422.38"/>
    <n v="0"/>
    <n v="1689.52"/>
    <n v="323.55"/>
    <n v="395.31999999999994"/>
    <x v="3"/>
    <x v="5"/>
    <n v="5"/>
    <s v="Dec"/>
    <s v="12"/>
    <s v="profit"/>
    <s v="medium"/>
    <n v="23.398361664851553"/>
  </r>
  <r>
    <x v="939"/>
    <x v="322"/>
    <s v="CUST-0218"/>
    <s v="Corporate"/>
    <x v="3"/>
    <x v="10"/>
    <x v="0"/>
    <x v="17"/>
    <n v="1"/>
    <n v="16.84"/>
    <n v="0"/>
    <n v="16.84"/>
    <n v="9.6199999999999992"/>
    <n v="7.2200000000000006"/>
    <x v="4"/>
    <x v="4"/>
    <n v="5"/>
    <s v="Dec"/>
    <s v="12"/>
    <s v="profit"/>
    <s v="small"/>
    <n v="42.874109263657964"/>
  </r>
  <r>
    <x v="940"/>
    <x v="322"/>
    <s v="CUST-0107"/>
    <s v="Corporate"/>
    <x v="0"/>
    <x v="6"/>
    <x v="2"/>
    <x v="12"/>
    <n v="5"/>
    <n v="217.71"/>
    <n v="0.15"/>
    <n v="925.26749999999993"/>
    <n v="164.98"/>
    <n v="100.36749999999995"/>
    <x v="3"/>
    <x v="0"/>
    <n v="4"/>
    <s v="Dec"/>
    <s v="12"/>
    <s v="profit"/>
    <s v="medium"/>
    <n v="10.847403588691915"/>
  </r>
  <r>
    <x v="941"/>
    <x v="323"/>
    <s v="CUST-0063"/>
    <s v="Consumer"/>
    <x v="3"/>
    <x v="10"/>
    <x v="2"/>
    <x v="12"/>
    <n v="6"/>
    <n v="474.62"/>
    <n v="0.1"/>
    <n v="2562.9480000000003"/>
    <n v="418.28"/>
    <n v="53.268000000000484"/>
    <x v="4"/>
    <x v="2"/>
    <n v="5"/>
    <s v="Dec"/>
    <s v="12"/>
    <s v="profit"/>
    <s v="large"/>
    <n v="2.0783878564840363"/>
  </r>
  <r>
    <x v="942"/>
    <x v="323"/>
    <s v="CUST-0185"/>
    <s v="Corporate"/>
    <x v="3"/>
    <x v="7"/>
    <x v="1"/>
    <x v="6"/>
    <n v="10"/>
    <n v="197.43"/>
    <n v="0.1"/>
    <n v="1776.8700000000001"/>
    <n v="135.56"/>
    <n v="421.27000000000021"/>
    <x v="0"/>
    <x v="2"/>
    <n v="5"/>
    <s v="Dec"/>
    <s v="12"/>
    <s v="profit"/>
    <s v="medium"/>
    <n v="23.708543675114115"/>
  </r>
  <r>
    <x v="943"/>
    <x v="323"/>
    <s v="CUST-0034"/>
    <s v="Corporate"/>
    <x v="0"/>
    <x v="6"/>
    <x v="2"/>
    <x v="12"/>
    <n v="2"/>
    <n v="591.88"/>
    <n v="0"/>
    <n v="1183.76"/>
    <n v="497.15"/>
    <n v="189.46000000000004"/>
    <x v="0"/>
    <x v="4"/>
    <n v="5"/>
    <s v="Dec"/>
    <s v="12"/>
    <s v="profit"/>
    <s v="medium"/>
    <n v="16.004933432452528"/>
  </r>
  <r>
    <x v="944"/>
    <x v="323"/>
    <s v="CUST-0073"/>
    <s v="Consumer"/>
    <x v="2"/>
    <x v="2"/>
    <x v="2"/>
    <x v="12"/>
    <n v="3"/>
    <n v="631.77"/>
    <n v="0"/>
    <n v="1895.31"/>
    <n v="567.09"/>
    <n v="194.03999999999996"/>
    <x v="4"/>
    <x v="5"/>
    <n v="3"/>
    <s v="Dec"/>
    <s v="12"/>
    <s v="profit"/>
    <s v="medium"/>
    <n v="10.237903034332113"/>
  </r>
  <r>
    <x v="945"/>
    <x v="324"/>
    <s v="CUST-0213"/>
    <s v="Consumer"/>
    <x v="3"/>
    <x v="10"/>
    <x v="2"/>
    <x v="12"/>
    <n v="3"/>
    <n v="569.26"/>
    <n v="0"/>
    <n v="1707.78"/>
    <n v="507.11"/>
    <n v="186.45000000000005"/>
    <x v="1"/>
    <x v="3"/>
    <n v="3"/>
    <s v="Dec"/>
    <s v="12"/>
    <s v="profit"/>
    <s v="medium"/>
    <n v="10.917682605487828"/>
  </r>
  <r>
    <x v="946"/>
    <x v="324"/>
    <s v="CUST-0084"/>
    <s v="Consumer"/>
    <x v="3"/>
    <x v="8"/>
    <x v="0"/>
    <x v="0"/>
    <n v="5"/>
    <n v="73.23"/>
    <n v="0"/>
    <n v="366.15000000000003"/>
    <n v="32.76"/>
    <n v="202.35000000000005"/>
    <x v="1"/>
    <x v="4"/>
    <n v="3"/>
    <s v="Dec"/>
    <s v="12"/>
    <s v="profit"/>
    <s v="small"/>
    <n v="55.264235968865229"/>
  </r>
  <r>
    <x v="947"/>
    <x v="325"/>
    <s v="CUST-0377"/>
    <s v="Consumer"/>
    <x v="0"/>
    <x v="6"/>
    <x v="0"/>
    <x v="8"/>
    <n v="1"/>
    <n v="153.83000000000001"/>
    <n v="0.05"/>
    <n v="146.13849999999999"/>
    <n v="98.89"/>
    <n v="47.248499999999993"/>
    <x v="1"/>
    <x v="5"/>
    <n v="4"/>
    <s v="Dec"/>
    <s v="12"/>
    <s v="profit"/>
    <s v="small"/>
    <n v="32.331315840794858"/>
  </r>
  <r>
    <x v="948"/>
    <x v="325"/>
    <s v="CUST-0244"/>
    <s v="Corporate"/>
    <x v="3"/>
    <x v="7"/>
    <x v="1"/>
    <x v="15"/>
    <n v="2"/>
    <n v="56.89"/>
    <n v="0"/>
    <n v="113.78"/>
    <n v="42.5"/>
    <n v="28.78"/>
    <x v="1"/>
    <x v="0"/>
    <n v="3"/>
    <s v="Dec"/>
    <s v="12"/>
    <s v="profit"/>
    <s v="small"/>
    <n v="25.29442784320619"/>
  </r>
  <r>
    <x v="949"/>
    <x v="326"/>
    <s v="CUST-0315"/>
    <s v="Small Business"/>
    <x v="2"/>
    <x v="3"/>
    <x v="0"/>
    <x v="17"/>
    <n v="2"/>
    <n v="16.41"/>
    <n v="0.05"/>
    <n v="31.178999999999998"/>
    <n v="8.74"/>
    <n v="13.698999999999998"/>
    <x v="3"/>
    <x v="0"/>
    <n v="4"/>
    <s v="Dec"/>
    <s v="12"/>
    <s v="profit"/>
    <s v="small"/>
    <n v="43.936624009750147"/>
  </r>
  <r>
    <x v="950"/>
    <x v="326"/>
    <s v="CUST-0368"/>
    <s v="Corporate"/>
    <x v="3"/>
    <x v="7"/>
    <x v="1"/>
    <x v="15"/>
    <n v="3"/>
    <n v="51.39"/>
    <n v="0.1"/>
    <n v="138.75300000000001"/>
    <n v="33.25"/>
    <n v="39.003000000000014"/>
    <x v="0"/>
    <x v="2"/>
    <n v="3"/>
    <s v="Dec"/>
    <s v="12"/>
    <s v="profit"/>
    <s v="small"/>
    <n v="28.109662493783926"/>
  </r>
  <r>
    <x v="951"/>
    <x v="326"/>
    <s v="CUST-0075"/>
    <s v="Small Business"/>
    <x v="2"/>
    <x v="3"/>
    <x v="4"/>
    <x v="18"/>
    <n v="2"/>
    <n v="122.44"/>
    <n v="0"/>
    <n v="244.88"/>
    <n v="74.099999999999994"/>
    <n v="96.68"/>
    <x v="3"/>
    <x v="6"/>
    <n v="4"/>
    <s v="Dec"/>
    <s v="12"/>
    <s v="profit"/>
    <s v="small"/>
    <n v="39.480561907873245"/>
  </r>
  <r>
    <x v="952"/>
    <x v="327"/>
    <s v="CUST-0247"/>
    <s v="Corporate"/>
    <x v="3"/>
    <x v="7"/>
    <x v="1"/>
    <x v="15"/>
    <n v="2"/>
    <n v="32.43"/>
    <n v="0"/>
    <n v="64.86"/>
    <n v="20.21"/>
    <n v="24.439999999999998"/>
    <x v="0"/>
    <x v="4"/>
    <n v="4"/>
    <s v="Dec"/>
    <s v="12"/>
    <s v="profit"/>
    <s v="small"/>
    <n v="37.681159420289852"/>
  </r>
  <r>
    <x v="953"/>
    <x v="327"/>
    <s v="CUST-0336"/>
    <s v="Small Business"/>
    <x v="2"/>
    <x v="2"/>
    <x v="1"/>
    <x v="1"/>
    <n v="2"/>
    <n v="219.19"/>
    <n v="0.1"/>
    <n v="394.54200000000003"/>
    <n v="154.97"/>
    <n v="84.602000000000032"/>
    <x v="0"/>
    <x v="7"/>
    <n v="5"/>
    <s v="Dec"/>
    <s v="12"/>
    <s v="profit"/>
    <s v="small"/>
    <n v="21.443090976372613"/>
  </r>
  <r>
    <x v="954"/>
    <x v="328"/>
    <s v="CUST-0391"/>
    <s v="Small Business"/>
    <x v="1"/>
    <x v="9"/>
    <x v="2"/>
    <x v="5"/>
    <n v="1"/>
    <n v="247.89"/>
    <n v="0.15"/>
    <n v="210.70649999999998"/>
    <n v="204.98"/>
    <n v="5.7264999999999873"/>
    <x v="0"/>
    <x v="2"/>
    <n v="5"/>
    <s v="Dec"/>
    <s v="12"/>
    <s v="profit"/>
    <s v="small"/>
    <n v="2.7177614359310169"/>
  </r>
  <r>
    <x v="955"/>
    <x v="328"/>
    <s v="CUST-0365"/>
    <s v="Corporate"/>
    <x v="3"/>
    <x v="8"/>
    <x v="0"/>
    <x v="17"/>
    <n v="5"/>
    <n v="34.049999999999997"/>
    <n v="0"/>
    <n v="170.25"/>
    <n v="21.06"/>
    <n v="64.95"/>
    <x v="4"/>
    <x v="7"/>
    <n v="3"/>
    <s v="Dec"/>
    <s v="12"/>
    <s v="profit"/>
    <s v="small"/>
    <n v="38.14977973568282"/>
  </r>
  <r>
    <x v="956"/>
    <x v="329"/>
    <s v="CUST-0262"/>
    <s v="Consumer"/>
    <x v="3"/>
    <x v="8"/>
    <x v="0"/>
    <x v="17"/>
    <n v="5"/>
    <n v="34.090000000000003"/>
    <n v="0.15"/>
    <n v="144.88250000000002"/>
    <n v="13.88"/>
    <n v="75.482500000000016"/>
    <x v="4"/>
    <x v="4"/>
    <n v="5"/>
    <s v="Dec"/>
    <s v="12"/>
    <s v="profit"/>
    <s v="small"/>
    <n v="52.099114799924081"/>
  </r>
  <r>
    <x v="957"/>
    <x v="329"/>
    <s v="CUST-0272"/>
    <s v="Consumer"/>
    <x v="0"/>
    <x v="5"/>
    <x v="2"/>
    <x v="5"/>
    <n v="2"/>
    <n v="171.91"/>
    <n v="0"/>
    <n v="343.82"/>
    <n v="134.61000000000001"/>
    <n v="74.599999999999966"/>
    <x v="0"/>
    <x v="3"/>
    <n v="2"/>
    <s v="Dec"/>
    <s v="12"/>
    <s v="profit"/>
    <s v="small"/>
    <n v="21.697399802222083"/>
  </r>
  <r>
    <x v="958"/>
    <x v="329"/>
    <s v="CUST-0104"/>
    <s v="Corporate"/>
    <x v="3"/>
    <x v="10"/>
    <x v="2"/>
    <x v="2"/>
    <n v="8"/>
    <n v="163.72"/>
    <n v="0.1"/>
    <n v="1178.7840000000001"/>
    <n v="124.49"/>
    <n v="182.86400000000015"/>
    <x v="3"/>
    <x v="6"/>
    <n v="3"/>
    <s v="Dec"/>
    <s v="12"/>
    <s v="profit"/>
    <s v="medium"/>
    <n v="15.512935363900437"/>
  </r>
  <r>
    <x v="959"/>
    <x v="330"/>
    <s v="CUST-0129"/>
    <s v="Small Business"/>
    <x v="3"/>
    <x v="10"/>
    <x v="3"/>
    <x v="20"/>
    <n v="8"/>
    <n v="164.06"/>
    <n v="0"/>
    <n v="1312.48"/>
    <n v="107.69"/>
    <n v="450.96000000000004"/>
    <x v="2"/>
    <x v="1"/>
    <n v="3"/>
    <s v="Dec"/>
    <s v="12"/>
    <s v="profit"/>
    <s v="medium"/>
    <n v="34.359380714372797"/>
  </r>
  <r>
    <x v="960"/>
    <x v="330"/>
    <s v="CUST-0125"/>
    <s v="Corporate"/>
    <x v="3"/>
    <x v="8"/>
    <x v="1"/>
    <x v="19"/>
    <n v="5"/>
    <n v="30.63"/>
    <n v="0.1"/>
    <n v="137.83500000000001"/>
    <n v="20.46"/>
    <n v="35.534999999999997"/>
    <x v="4"/>
    <x v="6"/>
    <n v="4"/>
    <s v="Dec"/>
    <s v="12"/>
    <s v="profit"/>
    <s v="small"/>
    <n v="25.780824899336157"/>
  </r>
  <r>
    <x v="961"/>
    <x v="331"/>
    <s v="CUST-0379"/>
    <s v="Small Business"/>
    <x v="2"/>
    <x v="3"/>
    <x v="2"/>
    <x v="5"/>
    <n v="6"/>
    <n v="49.04"/>
    <n v="0"/>
    <n v="294.24"/>
    <n v="37.049999999999997"/>
    <n v="71.940000000000026"/>
    <x v="4"/>
    <x v="4"/>
    <n v="4"/>
    <s v="Dec"/>
    <s v="12"/>
    <s v="profit"/>
    <s v="small"/>
    <n v="24.4494290375204"/>
  </r>
  <r>
    <x v="962"/>
    <x v="331"/>
    <s v="CUST-0242"/>
    <s v="Consumer"/>
    <x v="2"/>
    <x v="2"/>
    <x v="1"/>
    <x v="6"/>
    <n v="1"/>
    <n v="42.26"/>
    <n v="0.1"/>
    <n v="38.033999999999999"/>
    <n v="30.7"/>
    <n v="7.3339999999999996"/>
    <x v="1"/>
    <x v="1"/>
    <n v="5"/>
    <s v="Dec"/>
    <s v="12"/>
    <s v="profit"/>
    <s v="small"/>
    <n v="19.28274701582794"/>
  </r>
  <r>
    <x v="963"/>
    <x v="331"/>
    <s v="CUST-0131"/>
    <s v="Consumer"/>
    <x v="2"/>
    <x v="11"/>
    <x v="0"/>
    <x v="3"/>
    <n v="8"/>
    <n v="58.44"/>
    <n v="0"/>
    <n v="467.52"/>
    <n v="25.13"/>
    <n v="266.48"/>
    <x v="1"/>
    <x v="6"/>
    <n v="4"/>
    <s v="Dec"/>
    <s v="12"/>
    <s v="profit"/>
    <s v="small"/>
    <n v="56.998631074606443"/>
  </r>
  <r>
    <x v="964"/>
    <x v="331"/>
    <s v="CUST-0307"/>
    <s v="Corporate"/>
    <x v="0"/>
    <x v="0"/>
    <x v="3"/>
    <x v="20"/>
    <n v="10"/>
    <n v="143.77000000000001"/>
    <n v="0.1"/>
    <n v="1293.93"/>
    <n v="101.37"/>
    <n v="280.23"/>
    <x v="4"/>
    <x v="0"/>
    <n v="5"/>
    <s v="Dec"/>
    <s v="12"/>
    <s v="profit"/>
    <s v="medium"/>
    <n v="21.657276668753333"/>
  </r>
  <r>
    <x v="965"/>
    <x v="332"/>
    <s v="CUST-0328"/>
    <s v="Small Business"/>
    <x v="2"/>
    <x v="2"/>
    <x v="3"/>
    <x v="20"/>
    <n v="4"/>
    <n v="38.5"/>
    <n v="0.15"/>
    <n v="130.9"/>
    <n v="28.07"/>
    <n v="18.620000000000005"/>
    <x v="0"/>
    <x v="6"/>
    <n v="4"/>
    <s v="Dec"/>
    <s v="12"/>
    <s v="profit"/>
    <s v="small"/>
    <n v="14.224598930481285"/>
  </r>
  <r>
    <x v="966"/>
    <x v="332"/>
    <s v="CUST-0223"/>
    <s v="Small Business"/>
    <x v="1"/>
    <x v="4"/>
    <x v="4"/>
    <x v="18"/>
    <n v="3"/>
    <n v="75.790000000000006"/>
    <n v="0"/>
    <n v="227.37"/>
    <n v="59.1"/>
    <n v="50.069999999999993"/>
    <x v="0"/>
    <x v="2"/>
    <n v="5"/>
    <s v="Dec"/>
    <s v="12"/>
    <s v="profit"/>
    <s v="small"/>
    <n v="22.021374851563529"/>
  </r>
  <r>
    <x v="967"/>
    <x v="332"/>
    <s v="CUST-0196"/>
    <s v="Consumer"/>
    <x v="1"/>
    <x v="9"/>
    <x v="1"/>
    <x v="1"/>
    <n v="2"/>
    <n v="255.02"/>
    <n v="0.2"/>
    <n v="408.03200000000004"/>
    <n v="148.55000000000001"/>
    <n v="110.93200000000002"/>
    <x v="2"/>
    <x v="2"/>
    <n v="4"/>
    <s v="Dec"/>
    <s v="12"/>
    <s v="profit"/>
    <s v="small"/>
    <n v="27.187083366010512"/>
  </r>
  <r>
    <x v="968"/>
    <x v="333"/>
    <s v="CUST-0310"/>
    <s v="Corporate"/>
    <x v="3"/>
    <x v="8"/>
    <x v="1"/>
    <x v="19"/>
    <n v="3"/>
    <n v="79.680000000000007"/>
    <n v="0.1"/>
    <n v="215.13600000000002"/>
    <n v="57.89"/>
    <n v="41.466000000000008"/>
    <x v="1"/>
    <x v="5"/>
    <n v="4"/>
    <s v="Dec"/>
    <s v="12"/>
    <s v="profit"/>
    <s v="small"/>
    <n v="19.274319500223118"/>
  </r>
  <r>
    <x v="969"/>
    <x v="333"/>
    <s v="CUST-0014"/>
    <s v="Consumer"/>
    <x v="1"/>
    <x v="9"/>
    <x v="1"/>
    <x v="1"/>
    <n v="4"/>
    <n v="259.2"/>
    <n v="0.05"/>
    <n v="984.95999999999992"/>
    <n v="167.3"/>
    <n v="315.75999999999988"/>
    <x v="2"/>
    <x v="3"/>
    <n v="1"/>
    <s v="Dec"/>
    <s v="12"/>
    <s v="profit"/>
    <s v="medium"/>
    <n v="32.058154645873934"/>
  </r>
  <r>
    <x v="970"/>
    <x v="333"/>
    <s v="CUST-0184"/>
    <s v="Small Business"/>
    <x v="0"/>
    <x v="5"/>
    <x v="3"/>
    <x v="4"/>
    <n v="2"/>
    <n v="23.11"/>
    <n v="0.15"/>
    <n v="39.286999999999999"/>
    <n v="15.43"/>
    <n v="8.4269999999999996"/>
    <x v="0"/>
    <x v="7"/>
    <n v="5"/>
    <s v="Dec"/>
    <s v="12"/>
    <s v="profit"/>
    <s v="small"/>
    <n v="21.449843459668593"/>
  </r>
  <r>
    <x v="971"/>
    <x v="333"/>
    <s v="CUST-0281"/>
    <s v="Small Business"/>
    <x v="2"/>
    <x v="3"/>
    <x v="2"/>
    <x v="12"/>
    <n v="1"/>
    <n v="581.04"/>
    <n v="0.1"/>
    <n v="522.93600000000004"/>
    <n v="494.65"/>
    <n v="28.286000000000058"/>
    <x v="0"/>
    <x v="6"/>
    <n v="5"/>
    <s v="Dec"/>
    <s v="12"/>
    <s v="profit"/>
    <s v="medium"/>
    <n v="5.4090749154772393"/>
  </r>
  <r>
    <x v="972"/>
    <x v="333"/>
    <s v="CUST-0117"/>
    <s v="Corporate"/>
    <x v="2"/>
    <x v="11"/>
    <x v="1"/>
    <x v="15"/>
    <n v="3"/>
    <n v="173.6"/>
    <n v="0.1"/>
    <n v="468.71999999999997"/>
    <n v="100.46"/>
    <n v="167.33999999999997"/>
    <x v="0"/>
    <x v="2"/>
    <n v="5"/>
    <s v="Dec"/>
    <s v="12"/>
    <s v="profit"/>
    <s v="small"/>
    <n v="35.701484895033282"/>
  </r>
  <r>
    <x v="973"/>
    <x v="334"/>
    <s v="CUST-0249"/>
    <s v="Corporate"/>
    <x v="3"/>
    <x v="8"/>
    <x v="2"/>
    <x v="12"/>
    <n v="1"/>
    <n v="322.11"/>
    <n v="0.15"/>
    <n v="273.79349999999999"/>
    <n v="265.88"/>
    <n v="7.9134999999999991"/>
    <x v="0"/>
    <x v="0"/>
    <n v="5"/>
    <s v="Dec"/>
    <s v="12"/>
    <s v="profit"/>
    <s v="small"/>
    <n v="2.890316972462823"/>
  </r>
  <r>
    <x v="974"/>
    <x v="335"/>
    <s v="CUST-0388"/>
    <s v="Small Business"/>
    <x v="2"/>
    <x v="2"/>
    <x v="1"/>
    <x v="15"/>
    <n v="4"/>
    <n v="84.87"/>
    <n v="0.05"/>
    <n v="322.50600000000003"/>
    <n v="61.76"/>
    <n v="75.466000000000037"/>
    <x v="2"/>
    <x v="3"/>
    <n v="4"/>
    <s v="Dec"/>
    <s v="12"/>
    <s v="profit"/>
    <s v="small"/>
    <n v="23.399874731012765"/>
  </r>
  <r>
    <x v="975"/>
    <x v="336"/>
    <s v="CUST-0182"/>
    <s v="Corporate"/>
    <x v="1"/>
    <x v="1"/>
    <x v="1"/>
    <x v="15"/>
    <n v="1"/>
    <n v="45.87"/>
    <n v="0"/>
    <n v="45.87"/>
    <n v="27.87"/>
    <n v="17.999999999999996"/>
    <x v="4"/>
    <x v="6"/>
    <n v="2"/>
    <s v="Dec"/>
    <s v="12"/>
    <s v="profit"/>
    <s v="small"/>
    <n v="39.241334205362975"/>
  </r>
  <r>
    <x v="976"/>
    <x v="336"/>
    <s v="CUST-0281"/>
    <s v="Consumer"/>
    <x v="2"/>
    <x v="3"/>
    <x v="3"/>
    <x v="9"/>
    <n v="2"/>
    <n v="548.72"/>
    <n v="0"/>
    <n v="1097.44"/>
    <n v="305.01"/>
    <n v="487.42000000000007"/>
    <x v="0"/>
    <x v="5"/>
    <n v="4"/>
    <s v="Dec"/>
    <s v="12"/>
    <s v="profit"/>
    <s v="medium"/>
    <n v="44.414273217670221"/>
  </r>
  <r>
    <x v="977"/>
    <x v="336"/>
    <s v="CUST-0011"/>
    <s v="Small Business"/>
    <x v="3"/>
    <x v="7"/>
    <x v="1"/>
    <x v="15"/>
    <n v="1"/>
    <n v="71.709999999999994"/>
    <n v="0"/>
    <n v="71.709999999999994"/>
    <n v="50.54"/>
    <n v="21.169999999999995"/>
    <x v="1"/>
    <x v="0"/>
    <n v="4"/>
    <s v="Dec"/>
    <s v="12"/>
    <s v="profit"/>
    <s v="small"/>
    <n v="29.521684562822475"/>
  </r>
  <r>
    <x v="978"/>
    <x v="336"/>
    <s v="CUST-0199"/>
    <s v="Small Business"/>
    <x v="1"/>
    <x v="9"/>
    <x v="0"/>
    <x v="0"/>
    <n v="3"/>
    <n v="51.8"/>
    <n v="0.15"/>
    <n v="132.08999999999997"/>
    <n v="22.69"/>
    <n v="64.019999999999968"/>
    <x v="0"/>
    <x v="7"/>
    <n v="5"/>
    <s v="Dec"/>
    <s v="12"/>
    <s v="profit"/>
    <s v="small"/>
    <n v="48.466954349307272"/>
  </r>
  <r>
    <x v="979"/>
    <x v="336"/>
    <s v="CUST-0355"/>
    <s v="Consumer"/>
    <x v="3"/>
    <x v="8"/>
    <x v="4"/>
    <x v="18"/>
    <n v="2"/>
    <n v="129.26"/>
    <n v="0"/>
    <n v="258.52"/>
    <n v="79.48"/>
    <n v="99.559999999999974"/>
    <x v="0"/>
    <x v="4"/>
    <n v="5"/>
    <s v="Dec"/>
    <s v="12"/>
    <s v="profit"/>
    <s v="small"/>
    <n v="38.511527154572171"/>
  </r>
  <r>
    <x v="980"/>
    <x v="336"/>
    <s v="CUST-0310"/>
    <s v="Consumer"/>
    <x v="1"/>
    <x v="9"/>
    <x v="0"/>
    <x v="17"/>
    <n v="2"/>
    <n v="34.49"/>
    <n v="0.15"/>
    <n v="58.633000000000003"/>
    <n v="15.66"/>
    <n v="27.313000000000002"/>
    <x v="0"/>
    <x v="4"/>
    <n v="4"/>
    <s v="Dec"/>
    <s v="12"/>
    <s v="profit"/>
    <s v="small"/>
    <n v="46.582982279603641"/>
  </r>
  <r>
    <x v="981"/>
    <x v="337"/>
    <s v="CUST-0287"/>
    <s v="Corporate"/>
    <x v="1"/>
    <x v="4"/>
    <x v="0"/>
    <x v="17"/>
    <n v="8"/>
    <n v="20.43"/>
    <n v="0"/>
    <n v="163.44"/>
    <n v="11.04"/>
    <n v="75.12"/>
    <x v="2"/>
    <x v="5"/>
    <n v="5"/>
    <s v="Dec"/>
    <s v="12"/>
    <s v="profit"/>
    <s v="small"/>
    <n v="45.961820851688692"/>
  </r>
  <r>
    <x v="982"/>
    <x v="337"/>
    <s v="CUST-0015"/>
    <s v="Small Business"/>
    <x v="2"/>
    <x v="2"/>
    <x v="0"/>
    <x v="0"/>
    <n v="1"/>
    <n v="29.15"/>
    <n v="0.15"/>
    <n v="24.7775"/>
    <n v="16.36"/>
    <n v="8.4175000000000004"/>
    <x v="2"/>
    <x v="0"/>
    <n v="4"/>
    <s v="Dec"/>
    <s v="12"/>
    <s v="profit"/>
    <s v="small"/>
    <n v="33.972353950156389"/>
  </r>
  <r>
    <x v="983"/>
    <x v="338"/>
    <s v="CUST-0170"/>
    <s v="Consumer"/>
    <x v="1"/>
    <x v="1"/>
    <x v="1"/>
    <x v="15"/>
    <n v="2"/>
    <n v="197.66"/>
    <n v="0.1"/>
    <n v="355.78800000000001"/>
    <n v="139.74"/>
    <n v="76.307999999999993"/>
    <x v="2"/>
    <x v="6"/>
    <n v="3"/>
    <s v="Dec"/>
    <s v="12"/>
    <s v="profit"/>
    <s v="small"/>
    <n v="21.447603629127453"/>
  </r>
  <r>
    <x v="984"/>
    <x v="339"/>
    <s v="CUST-0397"/>
    <s v="Consumer"/>
    <x v="0"/>
    <x v="5"/>
    <x v="0"/>
    <x v="8"/>
    <n v="4"/>
    <n v="195.98"/>
    <n v="0.05"/>
    <n v="744.72399999999993"/>
    <n v="79.819999999999993"/>
    <n v="425.44399999999996"/>
    <x v="2"/>
    <x v="2"/>
    <n v="4"/>
    <s v="Dec"/>
    <s v="12"/>
    <s v="profit"/>
    <s v="medium"/>
    <n v="57.127741284019315"/>
  </r>
  <r>
    <x v="985"/>
    <x v="339"/>
    <s v="CUST-0374"/>
    <s v="Consumer"/>
    <x v="3"/>
    <x v="7"/>
    <x v="1"/>
    <x v="15"/>
    <n v="1"/>
    <n v="72.3"/>
    <n v="0.2"/>
    <n v="57.84"/>
    <n v="45.53"/>
    <n v="12.310000000000002"/>
    <x v="0"/>
    <x v="2"/>
    <n v="2"/>
    <s v="Dec"/>
    <s v="12"/>
    <s v="profit"/>
    <s v="small"/>
    <n v="21.282849239280775"/>
  </r>
  <r>
    <x v="986"/>
    <x v="339"/>
    <s v="CUST-0160"/>
    <s v="Corporate"/>
    <x v="1"/>
    <x v="4"/>
    <x v="0"/>
    <x v="3"/>
    <n v="5"/>
    <n v="136.59"/>
    <n v="0"/>
    <n v="682.95"/>
    <n v="75.760000000000005"/>
    <n v="304.15000000000003"/>
    <x v="4"/>
    <x v="6"/>
    <n v="5"/>
    <s v="Dec"/>
    <s v="12"/>
    <s v="profit"/>
    <s v="medium"/>
    <n v="44.534738999926795"/>
  </r>
  <r>
    <x v="987"/>
    <x v="339"/>
    <s v="CUST-0385"/>
    <s v="Consumer"/>
    <x v="2"/>
    <x v="2"/>
    <x v="0"/>
    <x v="0"/>
    <n v="3"/>
    <n v="41.93"/>
    <n v="0"/>
    <n v="125.78999999999999"/>
    <n v="25.15"/>
    <n v="50.34"/>
    <x v="2"/>
    <x v="1"/>
    <n v="1"/>
    <s v="Dec"/>
    <s v="12"/>
    <s v="profit"/>
    <s v="small"/>
    <n v="40.019079418077752"/>
  </r>
  <r>
    <x v="988"/>
    <x v="339"/>
    <s v="CUST-0157"/>
    <s v="Consumer"/>
    <x v="0"/>
    <x v="5"/>
    <x v="0"/>
    <x v="17"/>
    <n v="1"/>
    <n v="26.43"/>
    <n v="0"/>
    <n v="26.43"/>
    <n v="16.55"/>
    <n v="9.879999999999999"/>
    <x v="2"/>
    <x v="7"/>
    <n v="5"/>
    <s v="Dec"/>
    <s v="12"/>
    <s v="profit"/>
    <s v="small"/>
    <n v="37.381763147937946"/>
  </r>
  <r>
    <x v="989"/>
    <x v="339"/>
    <s v="CUST-0080"/>
    <s v="Small Business"/>
    <x v="3"/>
    <x v="8"/>
    <x v="3"/>
    <x v="16"/>
    <n v="1"/>
    <n v="104.56"/>
    <n v="0.1"/>
    <n v="94.103999999999999"/>
    <n v="68"/>
    <n v="26.103999999999999"/>
    <x v="0"/>
    <x v="3"/>
    <n v="5"/>
    <s v="Dec"/>
    <s v="12"/>
    <s v="profit"/>
    <s v="small"/>
    <n v="27.739522230723455"/>
  </r>
  <r>
    <x v="990"/>
    <x v="340"/>
    <s v="CUST-0062"/>
    <s v="Corporate"/>
    <x v="1"/>
    <x v="4"/>
    <x v="1"/>
    <x v="15"/>
    <n v="3"/>
    <n v="116.25"/>
    <n v="0.2"/>
    <n v="279"/>
    <n v="68.25"/>
    <n v="74.25"/>
    <x v="0"/>
    <x v="2"/>
    <n v="4"/>
    <s v="Dec"/>
    <s v="12"/>
    <s v="profit"/>
    <s v="small"/>
    <n v="26.612903225806448"/>
  </r>
  <r>
    <x v="991"/>
    <x v="340"/>
    <s v="CUST-0173"/>
    <s v="Corporate"/>
    <x v="3"/>
    <x v="10"/>
    <x v="2"/>
    <x v="2"/>
    <n v="1"/>
    <n v="141.93"/>
    <n v="0.1"/>
    <n v="127.73700000000001"/>
    <n v="125.61"/>
    <n v="2.1270000000000095"/>
    <x v="2"/>
    <x v="6"/>
    <n v="5"/>
    <s v="Dec"/>
    <s v="12"/>
    <s v="profit"/>
    <s v="small"/>
    <n v="1.6651400925338855"/>
  </r>
  <r>
    <x v="992"/>
    <x v="341"/>
    <s v="CUST-0184"/>
    <s v="Consumer"/>
    <x v="3"/>
    <x v="8"/>
    <x v="3"/>
    <x v="4"/>
    <n v="1"/>
    <n v="24.86"/>
    <n v="0.05"/>
    <n v="23.616999999999997"/>
    <n v="16.829999999999998"/>
    <n v="6.786999999999999"/>
    <x v="1"/>
    <x v="2"/>
    <n v="5"/>
    <s v="Dec"/>
    <s v="12"/>
    <s v="profit"/>
    <s v="small"/>
    <n v="28.737773637633907"/>
  </r>
  <r>
    <x v="993"/>
    <x v="341"/>
    <s v="CUST-0070"/>
    <s v="Corporate"/>
    <x v="1"/>
    <x v="9"/>
    <x v="2"/>
    <x v="5"/>
    <n v="3"/>
    <n v="276.2"/>
    <n v="0"/>
    <n v="828.59999999999991"/>
    <n v="225.26"/>
    <n v="152.81999999999994"/>
    <x v="4"/>
    <x v="1"/>
    <n v="5"/>
    <s v="Dec"/>
    <s v="12"/>
    <s v="profit"/>
    <s v="medium"/>
    <n v="18.443157132512667"/>
  </r>
  <r>
    <x v="994"/>
    <x v="341"/>
    <s v="CUST-0200"/>
    <s v="Corporate"/>
    <x v="1"/>
    <x v="4"/>
    <x v="0"/>
    <x v="3"/>
    <n v="2"/>
    <n v="85.25"/>
    <n v="0.05"/>
    <n v="161.97499999999999"/>
    <n v="44.96"/>
    <n v="72.054999999999993"/>
    <x v="1"/>
    <x v="1"/>
    <n v="5"/>
    <s v="Dec"/>
    <s v="12"/>
    <s v="profit"/>
    <s v="small"/>
    <n v="44.485260070998606"/>
  </r>
  <r>
    <x v="995"/>
    <x v="342"/>
    <s v="CUST-0015"/>
    <s v="Consumer"/>
    <x v="3"/>
    <x v="10"/>
    <x v="1"/>
    <x v="19"/>
    <n v="2"/>
    <n v="42.87"/>
    <n v="0"/>
    <n v="85.74"/>
    <n v="31.39"/>
    <n v="22.959999999999994"/>
    <x v="0"/>
    <x v="6"/>
    <n v="3"/>
    <s v="Dec"/>
    <s v="12"/>
    <s v="profit"/>
    <s v="small"/>
    <n v="26.778633076743635"/>
  </r>
  <r>
    <x v="996"/>
    <x v="342"/>
    <s v="CUST-0261"/>
    <s v="Corporate"/>
    <x v="1"/>
    <x v="9"/>
    <x v="3"/>
    <x v="4"/>
    <n v="2"/>
    <n v="43.3"/>
    <n v="0.15"/>
    <n v="73.61"/>
    <n v="26.55"/>
    <n v="20.509999999999998"/>
    <x v="3"/>
    <x v="4"/>
    <n v="2"/>
    <s v="Dec"/>
    <s v="12"/>
    <s v="profit"/>
    <s v="small"/>
    <n v="27.863062083955981"/>
  </r>
  <r>
    <x v="997"/>
    <x v="342"/>
    <s v="CUST-0008"/>
    <s v="Consumer"/>
    <x v="3"/>
    <x v="8"/>
    <x v="3"/>
    <x v="16"/>
    <n v="1"/>
    <n v="114.05"/>
    <n v="0.1"/>
    <n v="102.645"/>
    <n v="83.87"/>
    <n v="18.774999999999991"/>
    <x v="1"/>
    <x v="4"/>
    <n v="5"/>
    <s v="Dec"/>
    <s v="12"/>
    <s v="profit"/>
    <s v="small"/>
    <n v="18.291197817721265"/>
  </r>
  <r>
    <x v="998"/>
    <x v="342"/>
    <s v="CUST-0191"/>
    <s v="Corporate"/>
    <x v="2"/>
    <x v="3"/>
    <x v="2"/>
    <x v="5"/>
    <n v="10"/>
    <n v="31.28"/>
    <n v="0.15"/>
    <n v="265.88"/>
    <n v="27.02"/>
    <n v="-4.3199999999999932"/>
    <x v="3"/>
    <x v="3"/>
    <n v="3"/>
    <s v="Dec"/>
    <s v="12"/>
    <s v="profit"/>
    <s v="small"/>
    <n v="-1.6247931397622963"/>
  </r>
  <r>
    <x v="999"/>
    <x v="343"/>
    <s v="CUST-0140"/>
    <s v="Corporate"/>
    <x v="2"/>
    <x v="3"/>
    <x v="2"/>
    <x v="5"/>
    <n v="8"/>
    <n v="268.13"/>
    <n v="0.1"/>
    <n v="1930.5360000000001"/>
    <n v="224.31"/>
    <n v="136.05600000000004"/>
    <x v="3"/>
    <x v="6"/>
    <n v="5"/>
    <s v="Dec"/>
    <s v="12"/>
    <s v="profit"/>
    <s v="medium"/>
    <n v="7.04757642437126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A0DA1-DDFF-4B7F-A979-B70925DB0E6C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12" firstHeaderRow="0" firstDataRow="1" firstDataCol="1"/>
  <pivotFields count="24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64" showAll="0">
      <items count="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9" showAll="0"/>
    <pivotField dataField="1" numFmtId="4" showAll="0"/>
    <pivotField numFmtId="4" showAll="0"/>
    <pivotField dataField="1" numFmtId="165" showAll="0"/>
    <pivotField showAll="0"/>
    <pivotField axis="axisRow" showAll="0">
      <items count="9">
        <item x="5"/>
        <item x="7"/>
        <item x="6"/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 ID" fld="0" subtotal="count" baseField="0" baseItem="0"/>
    <dataField name="Sum of Sales" fld="11" baseField="15" baseItem="0" numFmtId="4"/>
    <dataField name="Sum of Profit" fld="13" baseField="0" baseItem="0" numFmtId="165"/>
  </dataFields>
  <chartFormats count="6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E3FE1-44D0-4552-86C5-4CBA50966DC0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D52" firstHeaderRow="0" firstDataRow="1" firstDataCol="1"/>
  <pivotFields count="24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64" showAll="0">
      <items count="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2">
        <item x="10"/>
        <item x="9"/>
        <item x="19"/>
        <item x="18"/>
        <item x="15"/>
        <item x="6"/>
        <item x="11"/>
        <item x="16"/>
        <item x="5"/>
        <item x="8"/>
        <item x="0"/>
        <item x="14"/>
        <item x="13"/>
        <item x="2"/>
        <item x="3"/>
        <item x="7"/>
        <item x="12"/>
        <item x="20"/>
        <item x="17"/>
        <item x="1"/>
        <item x="4"/>
        <item t="default"/>
      </items>
    </pivotField>
    <pivotField showAll="0"/>
    <pivotField numFmtId="4" showAll="0"/>
    <pivotField numFmtId="9" showAll="0"/>
    <pivotField dataField="1" numFmtId="4" showAll="0"/>
    <pivotField numFmtId="4" showAll="0"/>
    <pivotField dataField="1" numFmtId="165" showAll="0"/>
    <pivotField showAll="0"/>
    <pivotField showAll="0">
      <items count="9">
        <item x="5"/>
        <item x="7"/>
        <item x="6"/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 ID" fld="0" subtotal="count" baseField="0" baseItem="0"/>
    <dataField name="Sum of Profit" fld="13" baseField="0" baseItem="0" numFmtId="165"/>
    <dataField name="Sum of Sales" fld="1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09274-8E3B-40F8-A253-71AE9436B973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6:I31" firstHeaderRow="0" firstDataRow="1" firstDataCol="1"/>
  <pivotFields count="24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64" showAll="0">
      <items count="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numFmtId="4" showAll="0"/>
    <pivotField numFmtId="9" showAll="0"/>
    <pivotField dataField="1" numFmtId="4" showAll="0"/>
    <pivotField numFmtId="4" showAll="0"/>
    <pivotField dataField="1" numFmtId="165" showAll="0"/>
    <pivotField showAll="0"/>
    <pivotField showAll="0">
      <items count="9">
        <item x="5"/>
        <item x="7"/>
        <item x="6"/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13" baseField="0" baseItem="0" numFmtId="165"/>
    <dataField name="Count of Order ID" fld="0" subtotal="count" baseField="0" baseItem="0"/>
    <dataField name="Sum of Sales" fld="1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3E360-891A-4C34-A445-A6C40EF6EEB9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E24" firstHeaderRow="0" firstDataRow="1" firstDataCol="1"/>
  <pivotFields count="24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64" showAll="0">
      <items count="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showAll="0"/>
    <pivotField showAll="0"/>
    <pivotField showAll="0"/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dataField="1" showAll="0"/>
    <pivotField numFmtId="4" showAll="0"/>
    <pivotField numFmtId="9" showAll="0"/>
    <pivotField dataField="1" numFmtId="4" showAll="0"/>
    <pivotField numFmtId="4" showAll="0"/>
    <pivotField dataField="1" numFmtId="165" showAll="0"/>
    <pivotField showAll="0"/>
    <pivotField showAll="0">
      <items count="9">
        <item x="5"/>
        <item x="7"/>
        <item x="6"/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uantity" fld="8" baseField="0" baseItem="0"/>
    <dataField name="Count of Order ID" fld="0" subtotal="count" baseField="0" baseItem="0"/>
    <dataField name="Sum of Sales" fld="11" baseField="0" baseItem="0" numFmtId="4"/>
    <dataField name="Sum of Profit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98C4E-5083-4B09-A739-F86BD88AFE99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F3:I17" firstHeaderRow="0" firstDataRow="1" firstDataCol="1"/>
  <pivotFields count="24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64" showAll="0">
      <items count="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9" showAll="0"/>
    <pivotField dataField="1" numFmtId="4" showAll="0"/>
    <pivotField numFmtId="4" showAll="0"/>
    <pivotField dataField="1" numFmtId="165" showAll="0"/>
    <pivotField showAll="0"/>
    <pivotField showAll="0">
      <items count="9">
        <item x="5"/>
        <item x="7"/>
        <item x="6"/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23"/>
    <field x="22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 ID" fld="0" subtotal="count" baseField="0" baseItem="0"/>
    <dataField name="Sum of Profit" fld="13" baseField="0" baseItem="0" numFmtId="165"/>
    <dataField name="Sum of Sales" fld="11" baseField="0" baseItem="0" numFmtId="4"/>
  </dataFields>
  <chartFormats count="6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1E992-B1A2-4E34-A66B-F7FF79BB69A0}" name="PivotTable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E23:F36" firstHeaderRow="1" firstDataRow="1" firstDataCol="1"/>
  <pivotFields count="24">
    <pivotField showAll="0"/>
    <pivotField numFmtId="164" showAll="0">
      <items count="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showAll="0"/>
    <pivotField showAll="0"/>
    <pivotField showAll="0"/>
    <pivotField axis="axisRow" showAll="0">
      <items count="13">
        <item x="2"/>
        <item x="0"/>
        <item x="1"/>
        <item x="5"/>
        <item x="7"/>
        <item x="10"/>
        <item x="4"/>
        <item x="11"/>
        <item x="6"/>
        <item x="9"/>
        <item x="8"/>
        <item x="3"/>
        <item t="default"/>
      </items>
    </pivotField>
    <pivotField showAll="0"/>
    <pivotField showAll="0">
      <items count="22">
        <item x="10"/>
        <item x="9"/>
        <item x="19"/>
        <item x="18"/>
        <item x="15"/>
        <item x="6"/>
        <item x="11"/>
        <item x="16"/>
        <item x="5"/>
        <item x="8"/>
        <item x="0"/>
        <item x="14"/>
        <item x="13"/>
        <item x="2"/>
        <item x="3"/>
        <item x="7"/>
        <item x="12"/>
        <item x="20"/>
        <item x="17"/>
        <item x="1"/>
        <item x="4"/>
        <item t="default"/>
      </items>
    </pivotField>
    <pivotField showAll="0"/>
    <pivotField numFmtId="4" showAll="0"/>
    <pivotField numFmtId="9" showAll="0"/>
    <pivotField dataField="1" numFmtId="4" showAll="0"/>
    <pivotField numFmtId="4" showAll="0"/>
    <pivotField numFmtId="165"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1" baseField="0" baseItem="0" numFmtId="4"/>
  </dataFields>
  <chartFormats count="3"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FEB91-A09A-4FC9-BD42-A66DBAB6B237}" name="PivotTable8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E14:G20" firstHeaderRow="0" firstDataRow="1" firstDataCol="1"/>
  <pivotFields count="24">
    <pivotField showAll="0"/>
    <pivotField numFmtId="164" showAll="0">
      <items count="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showAll="0"/>
    <pivotField showAll="0"/>
    <pivotField showAll="0"/>
    <pivotField showAll="0">
      <items count="13">
        <item x="2"/>
        <item x="0"/>
        <item x="1"/>
        <item x="5"/>
        <item x="7"/>
        <item x="10"/>
        <item x="4"/>
        <item x="11"/>
        <item x="6"/>
        <item x="9"/>
        <item x="8"/>
        <item x="3"/>
        <item t="default"/>
      </items>
    </pivotField>
    <pivotField showAll="0"/>
    <pivotField showAll="0">
      <items count="22">
        <item x="10"/>
        <item x="9"/>
        <item x="19"/>
        <item x="18"/>
        <item x="15"/>
        <item x="6"/>
        <item x="11"/>
        <item x="16"/>
        <item x="5"/>
        <item x="8"/>
        <item x="0"/>
        <item x="14"/>
        <item x="13"/>
        <item x="2"/>
        <item x="3"/>
        <item x="7"/>
        <item x="12"/>
        <item x="20"/>
        <item x="17"/>
        <item x="1"/>
        <item x="4"/>
        <item t="default"/>
      </items>
    </pivotField>
    <pivotField dataField="1" showAll="0"/>
    <pivotField numFmtId="4" showAll="0"/>
    <pivotField numFmtId="9" showAll="0"/>
    <pivotField dataField="1" numFmtId="4" showAll="0"/>
    <pivotField numFmtId="4" showAll="0"/>
    <pivotField numFmtId="165"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1" baseField="0" baseItem="0" numFmtId="4"/>
    <dataField name="Sum of Quantity" fld="8" baseField="0" baseItem="0"/>
  </dataFields>
  <chartFormats count="2"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B340C-7E86-4809-B053-ECD297521E44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25" firstHeaderRow="1" firstDataRow="1" firstDataCol="1"/>
  <pivotFields count="24">
    <pivotField showAll="0"/>
    <pivotField numFmtId="164" showAll="0">
      <items count="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2">
        <item x="10"/>
        <item x="9"/>
        <item x="19"/>
        <item x="18"/>
        <item x="15"/>
        <item x="6"/>
        <item x="11"/>
        <item x="16"/>
        <item x="5"/>
        <item x="8"/>
        <item x="0"/>
        <item x="14"/>
        <item x="13"/>
        <item x="2"/>
        <item x="3"/>
        <item x="7"/>
        <item x="12"/>
        <item x="20"/>
        <item x="17"/>
        <item x="1"/>
        <item x="4"/>
        <item t="default"/>
      </items>
    </pivotField>
    <pivotField showAll="0"/>
    <pivotField numFmtId="4" showAll="0"/>
    <pivotField numFmtId="9" showAll="0"/>
    <pivotField dataField="1" numFmtId="4" showAll="0"/>
    <pivotField numFmtId="4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Sales" fld="11" baseField="0" baseItem="0" numFmtId="4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C2876F-0291-4BC4-9170-428C05D597C7}" name="Table1" displayName="Table1" ref="A1:V1001" totalsRowShown="0" headerRowDxfId="30" dataDxfId="29">
  <autoFilter ref="A1:V1001" xr:uid="{00000000-0009-0000-0000-000001000000}"/>
  <tableColumns count="22">
    <tableColumn id="1" xr3:uid="{4A64A77B-27A5-443C-81CC-EFE9EA43D8C9}" name="Order ID" dataDxfId="28"/>
    <tableColumn id="2" xr3:uid="{51F3A58B-7934-4D3A-B4E7-AF4AF2E4D326}" name="Order Date" dataDxfId="27"/>
    <tableColumn id="3" xr3:uid="{B0CC0A3B-0C86-44FD-80FA-D71B82098352}" name="Customer ID" dataDxfId="26"/>
    <tableColumn id="4" xr3:uid="{C2A52CAD-4EEE-4130-B4D3-7D3E782CE3D3}" name="Segment" dataDxfId="25"/>
    <tableColumn id="5" xr3:uid="{DB9823C0-9F9D-4AF4-AD14-99B201FD3682}" name="Region" dataDxfId="24"/>
    <tableColumn id="6" xr3:uid="{D63E2E77-5069-4347-9C21-37B496EDE9F9}" name="State" dataDxfId="23"/>
    <tableColumn id="7" xr3:uid="{892E407F-1185-4EA8-9BFA-8A84A2EEEF9F}" name="Category" dataDxfId="22"/>
    <tableColumn id="8" xr3:uid="{685EE6F4-4EEF-4190-BF21-373B0ADA2689}" name="Product" dataDxfId="21"/>
    <tableColumn id="9" xr3:uid="{572D1774-3298-4265-B868-7511F9CBBF94}" name="Quantity" dataDxfId="20"/>
    <tableColumn id="10" xr3:uid="{10F970F4-157E-48A6-8B80-6C2F2EB98676}" name="Unit Price" dataDxfId="19"/>
    <tableColumn id="11" xr3:uid="{D6490480-A4EC-48B7-8059-8871D539F69E}" name="Discount %" dataDxfId="18"/>
    <tableColumn id="12" xr3:uid="{42718321-0F26-4EE6-9541-B596094A024A}" name="Sales" dataDxfId="17">
      <calculatedColumnFormula>I2*J2*(1-K2)</calculatedColumnFormula>
    </tableColumn>
    <tableColumn id="13" xr3:uid="{B1C6DD60-71CD-47C5-837E-A24EBE5666DC}" name="Unit Cost" dataDxfId="16"/>
    <tableColumn id="14" xr3:uid="{9F23D177-3908-4404-A82A-517F5C634DF2}" name="Profit" dataDxfId="15">
      <calculatedColumnFormula>L2-I2*M2</calculatedColumnFormula>
    </tableColumn>
    <tableColumn id="15" xr3:uid="{27F57DC7-1A72-47E5-A0D4-21296831874B}" name="Payment Method" dataDxfId="14"/>
    <tableColumn id="16" xr3:uid="{5284A1C3-925B-4750-8F9B-01F50255559F}" name="Sales Rep" dataDxfId="13"/>
    <tableColumn id="17" xr3:uid="{7BC302FA-A5DC-4CA8-9C65-5168E57B4DE2}" name="Rating" dataDxfId="12"/>
    <tableColumn id="18" xr3:uid="{B2398487-E9DC-4E95-82D9-9899848A19ED}" name="month" dataDxfId="11">
      <calculatedColumnFormula>TEXT(Table1[[#This Row],[Order Date]],"mmm")</calculatedColumnFormula>
    </tableColumn>
    <tableColumn id="19" xr3:uid="{95F64174-7448-4B17-B22A-E13C0ECA1094}" name="month no" dataDxfId="10">
      <calculatedColumnFormula>TEXT(Table1[[#This Row],[Order Date]],"mm")</calculatedColumnFormula>
    </tableColumn>
    <tableColumn id="21" xr3:uid="{D7DB5C26-39A2-4F00-9837-0FDE694AD746}" name="profit/loss" dataDxfId="9">
      <calculatedColumnFormula>IF(Table1[[#This Row],[Sales]]&lt;0,"loss","profit")</calculatedColumnFormula>
    </tableColumn>
    <tableColumn id="22" xr3:uid="{94A541D3-CB97-4FB3-AD46-D83CC804F163}" name="order size" dataDxfId="8">
      <calculatedColumnFormula array="1">_xlfn.IFS(Table1[[#This Row],[Sales]]&gt;2000,"large",Table1[[#This Row],[Sales]]&gt;=500,"medium",Table1[[#This Row],[Sales]]&lt;500,"small")</calculatedColumnFormula>
    </tableColumn>
    <tableColumn id="20" xr3:uid="{78A3E99D-D2F8-4D9E-BEEA-6B5FF85540A9}" name="profit margin" dataDxfId="7">
      <calculatedColumnFormula>Table1[[#This Row],[Profit]]/Table1[[#This Row],[Sales]]*100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8F957E-7933-45A4-8FC0-A6562E5FDC41}">
  <we:reference id="wa200010215" version="2.0.0.1" store="en-US" storeType="OMEX"/>
  <we:alternateReferences>
    <we:reference id="wa200010215" version="2.0.0.1" store="" storeType="OMEX"/>
  </we:alternateReferences>
  <we:properties>
    <we:property name="bps.codex_control.document_id" value="&quot;451cd223-9bef-4e53-b5bb-dd6c3495a58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V1001"/>
  <sheetViews>
    <sheetView zoomScaleNormal="100" workbookViewId="0">
      <pane ySplit="1" topLeftCell="A2" activePane="bottomLeft" state="frozen"/>
      <selection pane="bottomLeft" activeCell="M11" sqref="M11"/>
    </sheetView>
  </sheetViews>
  <sheetFormatPr defaultColWidth="8.6328125" defaultRowHeight="14.5" x14ac:dyDescent="0.35"/>
  <cols>
    <col min="1" max="1" width="12" customWidth="1"/>
    <col min="2" max="2" width="13" customWidth="1"/>
    <col min="3" max="3" width="14.36328125" customWidth="1"/>
    <col min="4" max="4" width="15" customWidth="1"/>
    <col min="5" max="5" width="9.36328125" customWidth="1"/>
    <col min="6" max="6" width="14" customWidth="1"/>
    <col min="7" max="8" width="15" customWidth="1"/>
    <col min="9" max="9" width="10.54296875" customWidth="1"/>
    <col min="10" max="10" width="11.81640625" customWidth="1"/>
    <col min="11" max="11" width="13.26953125" customWidth="1"/>
    <col min="12" max="12" width="12" customWidth="1"/>
    <col min="13" max="13" width="11.453125" customWidth="1"/>
    <col min="14" max="14" width="12" customWidth="1"/>
    <col min="15" max="15" width="18.26953125" customWidth="1"/>
    <col min="16" max="16" width="15" customWidth="1"/>
    <col min="17" max="17" width="8.81640625" customWidth="1"/>
  </cols>
  <sheetData>
    <row r="1" spans="1:22" ht="30" customHeight="1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1458</v>
      </c>
      <c r="S1" s="3" t="s">
        <v>1459</v>
      </c>
      <c r="T1" s="3" t="s">
        <v>1462</v>
      </c>
      <c r="U1" s="3" t="s">
        <v>1463</v>
      </c>
      <c r="V1" s="3" t="s">
        <v>1460</v>
      </c>
    </row>
    <row r="2" spans="1:22" x14ac:dyDescent="0.35">
      <c r="A2" s="4" t="s">
        <v>18</v>
      </c>
      <c r="B2" s="5">
        <v>45658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>
        <v>1</v>
      </c>
      <c r="J2" s="6">
        <v>84.05</v>
      </c>
      <c r="K2" s="7">
        <v>0</v>
      </c>
      <c r="L2" s="6">
        <f t="shared" ref="L2:L65" si="0">I2*J2*(1-K2)</f>
        <v>84.05</v>
      </c>
      <c r="M2" s="6">
        <v>37.26</v>
      </c>
      <c r="N2" s="8">
        <f t="shared" ref="N2:N65" si="1">L2-I2*M2</f>
        <v>46.79</v>
      </c>
      <c r="O2" s="4" t="s">
        <v>25</v>
      </c>
      <c r="P2" s="4" t="s">
        <v>26</v>
      </c>
      <c r="Q2" s="4">
        <v>3</v>
      </c>
      <c r="R2" s="4" t="str">
        <f>TEXT(Table1[[#This Row],[Order Date]],"mmm")</f>
        <v>Jan</v>
      </c>
      <c r="S2" s="4" t="str">
        <f>TEXT(Table1[[#This Row],[Order Date]],"mm")</f>
        <v>01</v>
      </c>
      <c r="T2" s="4" t="str">
        <f>IF(Table1[[#This Row],[Sales]]&lt;0,"loss","profit")</f>
        <v>profit</v>
      </c>
      <c r="U2" s="4" t="str" cm="1">
        <f t="array" ref="U2">_xlfn.IFS(Table1[[#This Row],[Sales]]&gt;2000,"large",Table1[[#This Row],[Sales]]&gt;=500,"medium",Table1[[#This Row],[Sales]]&lt;500,"small")</f>
        <v>small</v>
      </c>
      <c r="V2" s="22">
        <f>Table1[[#This Row],[Profit]]/Table1[[#This Row],[Sales]]*100</f>
        <v>55.669244497323021</v>
      </c>
    </row>
    <row r="3" spans="1:22" x14ac:dyDescent="0.35">
      <c r="A3" s="4" t="s">
        <v>27</v>
      </c>
      <c r="B3" s="5">
        <v>45658</v>
      </c>
      <c r="C3" s="4" t="s">
        <v>28</v>
      </c>
      <c r="D3" s="4" t="s">
        <v>20</v>
      </c>
      <c r="E3" s="4" t="s">
        <v>29</v>
      </c>
      <c r="F3" s="4" t="s">
        <v>30</v>
      </c>
      <c r="G3" s="4" t="s">
        <v>31</v>
      </c>
      <c r="H3" s="4" t="s">
        <v>32</v>
      </c>
      <c r="I3" s="4">
        <v>1</v>
      </c>
      <c r="J3" s="6">
        <v>381.08</v>
      </c>
      <c r="K3" s="7">
        <v>0</v>
      </c>
      <c r="L3" s="6">
        <f t="shared" si="0"/>
        <v>381.08</v>
      </c>
      <c r="M3" s="6">
        <v>247.67</v>
      </c>
      <c r="N3" s="8">
        <f t="shared" si="1"/>
        <v>133.41</v>
      </c>
      <c r="O3" s="4" t="s">
        <v>25</v>
      </c>
      <c r="P3" s="4" t="s">
        <v>33</v>
      </c>
      <c r="Q3" s="4">
        <v>1</v>
      </c>
      <c r="R3" s="4" t="str">
        <f>TEXT(Table1[[#This Row],[Order Date]],"mmm")</f>
        <v>Jan</v>
      </c>
      <c r="S3" s="4" t="str">
        <f>TEXT(Table1[[#This Row],[Order Date]],"mm")</f>
        <v>01</v>
      </c>
      <c r="T3" s="4" t="str">
        <f>IF(Table1[[#This Row],[Sales]]&lt;0,"loss","profit")</f>
        <v>profit</v>
      </c>
      <c r="U3" s="4" t="str" cm="1">
        <f t="array" ref="U3">_xlfn.IFS(Table1[[#This Row],[Sales]]&gt;2000,"large",Table1[[#This Row],[Sales]]&gt;=500,"medium",Table1[[#This Row],[Sales]]&lt;500,"small")</f>
        <v>small</v>
      </c>
      <c r="V3" s="22">
        <f>Table1[[#This Row],[Profit]]/Table1[[#This Row],[Sales]]*100</f>
        <v>35.008397186942375</v>
      </c>
    </row>
    <row r="4" spans="1:22" x14ac:dyDescent="0.35">
      <c r="A4" s="4" t="s">
        <v>34</v>
      </c>
      <c r="B4" s="5">
        <v>45658</v>
      </c>
      <c r="C4" s="4" t="s">
        <v>35</v>
      </c>
      <c r="D4" s="4" t="s">
        <v>20</v>
      </c>
      <c r="E4" s="4" t="s">
        <v>36</v>
      </c>
      <c r="F4" s="4" t="s">
        <v>37</v>
      </c>
      <c r="G4" s="4" t="s">
        <v>38</v>
      </c>
      <c r="H4" s="4" t="s">
        <v>39</v>
      </c>
      <c r="I4" s="4">
        <v>1</v>
      </c>
      <c r="J4" s="6">
        <v>297.24</v>
      </c>
      <c r="K4" s="7">
        <v>0.1</v>
      </c>
      <c r="L4" s="6">
        <f t="shared" si="0"/>
        <v>267.51600000000002</v>
      </c>
      <c r="M4" s="6">
        <v>266.58999999999997</v>
      </c>
      <c r="N4" s="8">
        <f t="shared" si="1"/>
        <v>0.92600000000004457</v>
      </c>
      <c r="O4" s="4" t="s">
        <v>40</v>
      </c>
      <c r="P4" s="4" t="s">
        <v>33</v>
      </c>
      <c r="Q4" s="4">
        <v>3</v>
      </c>
      <c r="R4" s="4" t="str">
        <f>TEXT(Table1[[#This Row],[Order Date]],"mmm")</f>
        <v>Jan</v>
      </c>
      <c r="S4" s="4" t="str">
        <f>TEXT(Table1[[#This Row],[Order Date]],"mm")</f>
        <v>01</v>
      </c>
      <c r="T4" s="4" t="str">
        <f>IF(Table1[[#This Row],[Sales]]&lt;0,"loss","profit")</f>
        <v>profit</v>
      </c>
      <c r="U4" s="4" t="str" cm="1">
        <f t="array" ref="U4">_xlfn.IFS(Table1[[#This Row],[Sales]]&gt;2000,"large",Table1[[#This Row],[Sales]]&gt;=500,"medium",Table1[[#This Row],[Sales]]&lt;500,"small")</f>
        <v>small</v>
      </c>
      <c r="V4" s="22">
        <f>Table1[[#This Row],[Profit]]/Table1[[#This Row],[Sales]]*100</f>
        <v>0.34614752014834421</v>
      </c>
    </row>
    <row r="5" spans="1:22" x14ac:dyDescent="0.35">
      <c r="A5" s="4" t="s">
        <v>41</v>
      </c>
      <c r="B5" s="5">
        <v>45659</v>
      </c>
      <c r="C5" s="4" t="s">
        <v>42</v>
      </c>
      <c r="D5" s="4" t="s">
        <v>43</v>
      </c>
      <c r="E5" s="4" t="s">
        <v>29</v>
      </c>
      <c r="F5" s="4" t="s">
        <v>30</v>
      </c>
      <c r="G5" s="4" t="s">
        <v>23</v>
      </c>
      <c r="H5" s="4" t="s">
        <v>44</v>
      </c>
      <c r="I5" s="4">
        <v>2</v>
      </c>
      <c r="J5" s="6">
        <v>156.29</v>
      </c>
      <c r="K5" s="7">
        <v>0</v>
      </c>
      <c r="L5" s="6">
        <f t="shared" si="0"/>
        <v>312.58</v>
      </c>
      <c r="M5" s="6">
        <v>83.22</v>
      </c>
      <c r="N5" s="8">
        <f t="shared" si="1"/>
        <v>146.13999999999999</v>
      </c>
      <c r="O5" s="4" t="s">
        <v>40</v>
      </c>
      <c r="P5" s="4" t="s">
        <v>26</v>
      </c>
      <c r="Q5" s="4">
        <v>3</v>
      </c>
      <c r="R5" s="4" t="str">
        <f>TEXT(Table1[[#This Row],[Order Date]],"mmm")</f>
        <v>Jan</v>
      </c>
      <c r="S5" s="4" t="str">
        <f>TEXT(Table1[[#This Row],[Order Date]],"mm")</f>
        <v>01</v>
      </c>
      <c r="T5" s="4" t="str">
        <f>IF(Table1[[#This Row],[Sales]]&lt;0,"loss","profit")</f>
        <v>profit</v>
      </c>
      <c r="U5" s="4" t="str" cm="1">
        <f t="array" ref="U5">_xlfn.IFS(Table1[[#This Row],[Sales]]&gt;2000,"large",Table1[[#This Row],[Sales]]&gt;=500,"medium",Table1[[#This Row],[Sales]]&lt;500,"small")</f>
        <v>small</v>
      </c>
      <c r="V5" s="22">
        <f>Table1[[#This Row],[Profit]]/Table1[[#This Row],[Sales]]*100</f>
        <v>46.752831275193543</v>
      </c>
    </row>
    <row r="6" spans="1:22" x14ac:dyDescent="0.35">
      <c r="A6" s="4" t="s">
        <v>45</v>
      </c>
      <c r="B6" s="5">
        <v>45659</v>
      </c>
      <c r="C6" s="4" t="s">
        <v>46</v>
      </c>
      <c r="D6" s="4" t="s">
        <v>47</v>
      </c>
      <c r="E6" s="4" t="s">
        <v>36</v>
      </c>
      <c r="F6" s="4" t="s">
        <v>48</v>
      </c>
      <c r="G6" s="4" t="s">
        <v>49</v>
      </c>
      <c r="H6" s="4" t="s">
        <v>50</v>
      </c>
      <c r="I6" s="4">
        <v>10</v>
      </c>
      <c r="J6" s="6">
        <v>29.28</v>
      </c>
      <c r="K6" s="7">
        <v>0.05</v>
      </c>
      <c r="L6" s="6">
        <f t="shared" si="0"/>
        <v>278.16000000000003</v>
      </c>
      <c r="M6" s="6">
        <v>20.12</v>
      </c>
      <c r="N6" s="8">
        <f t="shared" si="1"/>
        <v>76.960000000000008</v>
      </c>
      <c r="O6" s="4" t="s">
        <v>51</v>
      </c>
      <c r="P6" s="4" t="s">
        <v>26</v>
      </c>
      <c r="Q6" s="4">
        <v>4</v>
      </c>
      <c r="R6" s="4" t="str">
        <f>TEXT(Table1[[#This Row],[Order Date]],"mmm")</f>
        <v>Jan</v>
      </c>
      <c r="S6" s="4" t="str">
        <f>TEXT(Table1[[#This Row],[Order Date]],"mm")</f>
        <v>01</v>
      </c>
      <c r="T6" s="4" t="str">
        <f>IF(Table1[[#This Row],[Sales]]&lt;0,"loss","profit")</f>
        <v>profit</v>
      </c>
      <c r="U6" s="4" t="str" cm="1">
        <f t="array" ref="U6">_xlfn.IFS(Table1[[#This Row],[Sales]]&gt;2000,"large",Table1[[#This Row],[Sales]]&gt;=500,"medium",Table1[[#This Row],[Sales]]&lt;500,"small")</f>
        <v>small</v>
      </c>
      <c r="V6" s="22">
        <f>Table1[[#This Row],[Profit]]/Table1[[#This Row],[Sales]]*100</f>
        <v>27.667529479436297</v>
      </c>
    </row>
    <row r="7" spans="1:22" x14ac:dyDescent="0.35">
      <c r="A7" s="4" t="s">
        <v>52</v>
      </c>
      <c r="B7" s="5">
        <v>45659</v>
      </c>
      <c r="C7" s="4" t="s">
        <v>53</v>
      </c>
      <c r="D7" s="4" t="s">
        <v>43</v>
      </c>
      <c r="E7" s="4" t="s">
        <v>29</v>
      </c>
      <c r="F7" s="4" t="s">
        <v>54</v>
      </c>
      <c r="G7" s="4" t="s">
        <v>38</v>
      </c>
      <c r="H7" s="4" t="s">
        <v>55</v>
      </c>
      <c r="I7" s="4">
        <v>1</v>
      </c>
      <c r="J7" s="6">
        <v>198.11</v>
      </c>
      <c r="K7" s="7">
        <v>0.05</v>
      </c>
      <c r="L7" s="6">
        <f t="shared" si="0"/>
        <v>188.2045</v>
      </c>
      <c r="M7" s="6">
        <v>163.49</v>
      </c>
      <c r="N7" s="8">
        <f t="shared" si="1"/>
        <v>24.714499999999987</v>
      </c>
      <c r="O7" s="4" t="s">
        <v>40</v>
      </c>
      <c r="P7" s="4" t="s">
        <v>56</v>
      </c>
      <c r="Q7" s="4">
        <v>1</v>
      </c>
      <c r="R7" s="4" t="str">
        <f>TEXT(Table1[[#This Row],[Order Date]],"mmm")</f>
        <v>Jan</v>
      </c>
      <c r="S7" s="4" t="str">
        <f>TEXT(Table1[[#This Row],[Order Date]],"mm")</f>
        <v>01</v>
      </c>
      <c r="T7" s="4" t="str">
        <f>IF(Table1[[#This Row],[Sales]]&lt;0,"loss","profit")</f>
        <v>profit</v>
      </c>
      <c r="U7" s="4" t="str" cm="1">
        <f t="array" ref="U7">_xlfn.IFS(Table1[[#This Row],[Sales]]&gt;2000,"large",Table1[[#This Row],[Sales]]&gt;=500,"medium",Table1[[#This Row],[Sales]]&lt;500,"small")</f>
        <v>small</v>
      </c>
      <c r="V7" s="22">
        <f>Table1[[#This Row],[Profit]]/Table1[[#This Row],[Sales]]*100</f>
        <v>13.131726393364657</v>
      </c>
    </row>
    <row r="8" spans="1:22" x14ac:dyDescent="0.35">
      <c r="A8" s="4" t="s">
        <v>57</v>
      </c>
      <c r="B8" s="5">
        <v>45659</v>
      </c>
      <c r="C8" s="4" t="s">
        <v>58</v>
      </c>
      <c r="D8" s="4" t="s">
        <v>43</v>
      </c>
      <c r="E8" s="4" t="s">
        <v>21</v>
      </c>
      <c r="F8" s="4" t="s">
        <v>59</v>
      </c>
      <c r="G8" s="4" t="s">
        <v>23</v>
      </c>
      <c r="H8" s="4" t="s">
        <v>24</v>
      </c>
      <c r="I8" s="4">
        <v>2</v>
      </c>
      <c r="J8" s="6">
        <v>71.14</v>
      </c>
      <c r="K8" s="7">
        <v>0</v>
      </c>
      <c r="L8" s="6">
        <f t="shared" si="0"/>
        <v>142.28</v>
      </c>
      <c r="M8" s="6">
        <v>40.71</v>
      </c>
      <c r="N8" s="8">
        <f t="shared" si="1"/>
        <v>60.86</v>
      </c>
      <c r="O8" s="4" t="s">
        <v>60</v>
      </c>
      <c r="P8" s="4" t="s">
        <v>61</v>
      </c>
      <c r="Q8" s="4">
        <v>4</v>
      </c>
      <c r="R8" s="4" t="str">
        <f>TEXT(Table1[[#This Row],[Order Date]],"mmm")</f>
        <v>Jan</v>
      </c>
      <c r="S8" s="4" t="str">
        <f>TEXT(Table1[[#This Row],[Order Date]],"mm")</f>
        <v>01</v>
      </c>
      <c r="T8" s="4" t="str">
        <f>IF(Table1[[#This Row],[Sales]]&lt;0,"loss","profit")</f>
        <v>profit</v>
      </c>
      <c r="U8" s="4" t="str" cm="1">
        <f t="array" ref="U8">_xlfn.IFS(Table1[[#This Row],[Sales]]&gt;2000,"large",Table1[[#This Row],[Sales]]&gt;=500,"medium",Table1[[#This Row],[Sales]]&lt;500,"small")</f>
        <v>small</v>
      </c>
      <c r="V8" s="22">
        <f>Table1[[#This Row],[Profit]]/Table1[[#This Row],[Sales]]*100</f>
        <v>42.774810233342706</v>
      </c>
    </row>
    <row r="9" spans="1:22" x14ac:dyDescent="0.35">
      <c r="A9" s="4" t="s">
        <v>62</v>
      </c>
      <c r="B9" s="5">
        <v>45660</v>
      </c>
      <c r="C9" s="4" t="s">
        <v>63</v>
      </c>
      <c r="D9" s="4" t="s">
        <v>20</v>
      </c>
      <c r="E9" s="4" t="s">
        <v>29</v>
      </c>
      <c r="F9" s="4" t="s">
        <v>54</v>
      </c>
      <c r="G9" s="4" t="s">
        <v>31</v>
      </c>
      <c r="H9" s="4" t="s">
        <v>64</v>
      </c>
      <c r="I9" s="4">
        <v>2</v>
      </c>
      <c r="J9" s="6">
        <v>127.25</v>
      </c>
      <c r="K9" s="7">
        <v>0</v>
      </c>
      <c r="L9" s="6">
        <f t="shared" si="0"/>
        <v>254.5</v>
      </c>
      <c r="M9" s="6">
        <v>83.16</v>
      </c>
      <c r="N9" s="8">
        <f t="shared" si="1"/>
        <v>88.18</v>
      </c>
      <c r="O9" s="4" t="s">
        <v>51</v>
      </c>
      <c r="P9" s="4" t="s">
        <v>61</v>
      </c>
      <c r="Q9" s="4">
        <v>5</v>
      </c>
      <c r="R9" s="4" t="str">
        <f>TEXT(Table1[[#This Row],[Order Date]],"mmm")</f>
        <v>Jan</v>
      </c>
      <c r="S9" s="4" t="str">
        <f>TEXT(Table1[[#This Row],[Order Date]],"mm")</f>
        <v>01</v>
      </c>
      <c r="T9" s="4" t="str">
        <f>IF(Table1[[#This Row],[Sales]]&lt;0,"loss","profit")</f>
        <v>profit</v>
      </c>
      <c r="U9" s="4" t="str" cm="1">
        <f t="array" ref="U9">_xlfn.IFS(Table1[[#This Row],[Sales]]&gt;2000,"large",Table1[[#This Row],[Sales]]&gt;=500,"medium",Table1[[#This Row],[Sales]]&lt;500,"small")</f>
        <v>small</v>
      </c>
      <c r="V9" s="22">
        <f>Table1[[#This Row],[Profit]]/Table1[[#This Row],[Sales]]*100</f>
        <v>34.648330058939095</v>
      </c>
    </row>
    <row r="10" spans="1:22" x14ac:dyDescent="0.35">
      <c r="A10" s="4" t="s">
        <v>65</v>
      </c>
      <c r="B10" s="5">
        <v>45661</v>
      </c>
      <c r="C10" s="4" t="s">
        <v>66</v>
      </c>
      <c r="D10" s="4" t="s">
        <v>20</v>
      </c>
      <c r="E10" s="4" t="s">
        <v>36</v>
      </c>
      <c r="F10" s="4" t="s">
        <v>48</v>
      </c>
      <c r="G10" s="4" t="s">
        <v>67</v>
      </c>
      <c r="H10" s="4" t="s">
        <v>68</v>
      </c>
      <c r="I10" s="4">
        <v>1</v>
      </c>
      <c r="J10" s="6">
        <v>605.89</v>
      </c>
      <c r="K10" s="7">
        <v>0</v>
      </c>
      <c r="L10" s="6">
        <f t="shared" si="0"/>
        <v>605.89</v>
      </c>
      <c r="M10" s="6">
        <v>389.26</v>
      </c>
      <c r="N10" s="8">
        <f t="shared" si="1"/>
        <v>216.63</v>
      </c>
      <c r="O10" s="4" t="s">
        <v>40</v>
      </c>
      <c r="P10" s="4" t="s">
        <v>61</v>
      </c>
      <c r="Q10" s="4">
        <v>4</v>
      </c>
      <c r="R10" s="4" t="str">
        <f>TEXT(Table1[[#This Row],[Order Date]],"mmm")</f>
        <v>Jan</v>
      </c>
      <c r="S10" s="4" t="str">
        <f>TEXT(Table1[[#This Row],[Order Date]],"mm")</f>
        <v>01</v>
      </c>
      <c r="T10" s="4" t="str">
        <f>IF(Table1[[#This Row],[Sales]]&lt;0,"loss","profit")</f>
        <v>profit</v>
      </c>
      <c r="U10" s="4" t="str" cm="1">
        <f t="array" ref="U10">_xlfn.IFS(Table1[[#This Row],[Sales]]&gt;2000,"large",Table1[[#This Row],[Sales]]&gt;=500,"medium",Table1[[#This Row],[Sales]]&lt;500,"small")</f>
        <v>medium</v>
      </c>
      <c r="V10" s="22">
        <f>Table1[[#This Row],[Profit]]/Table1[[#This Row],[Sales]]*100</f>
        <v>35.754014755153577</v>
      </c>
    </row>
    <row r="11" spans="1:22" x14ac:dyDescent="0.35">
      <c r="A11" s="4" t="s">
        <v>69</v>
      </c>
      <c r="B11" s="5">
        <v>45661</v>
      </c>
      <c r="C11" s="4" t="s">
        <v>70</v>
      </c>
      <c r="D11" s="4" t="s">
        <v>20</v>
      </c>
      <c r="E11" s="4" t="s">
        <v>29</v>
      </c>
      <c r="F11" s="4" t="s">
        <v>30</v>
      </c>
      <c r="G11" s="4" t="s">
        <v>23</v>
      </c>
      <c r="H11" s="4" t="s">
        <v>71</v>
      </c>
      <c r="I11" s="4">
        <v>5</v>
      </c>
      <c r="J11" s="6">
        <v>141.59</v>
      </c>
      <c r="K11" s="7">
        <v>0.2</v>
      </c>
      <c r="L11" s="6">
        <f t="shared" si="0"/>
        <v>566.36</v>
      </c>
      <c r="M11" s="6">
        <v>72.8</v>
      </c>
      <c r="N11" s="8">
        <f t="shared" si="1"/>
        <v>202.36</v>
      </c>
      <c r="O11" s="4" t="s">
        <v>40</v>
      </c>
      <c r="P11" s="4" t="s">
        <v>72</v>
      </c>
      <c r="Q11" s="4">
        <v>5</v>
      </c>
      <c r="R11" s="4" t="str">
        <f>TEXT(Table1[[#This Row],[Order Date]],"mmm")</f>
        <v>Jan</v>
      </c>
      <c r="S11" s="4" t="str">
        <f>TEXT(Table1[[#This Row],[Order Date]],"mm")</f>
        <v>01</v>
      </c>
      <c r="T11" s="4" t="str">
        <f>IF(Table1[[#This Row],[Sales]]&lt;0,"loss","profit")</f>
        <v>profit</v>
      </c>
      <c r="U11" s="4" t="str" cm="1">
        <f t="array" ref="U11">_xlfn.IFS(Table1[[#This Row],[Sales]]&gt;2000,"large",Table1[[#This Row],[Sales]]&gt;=500,"medium",Table1[[#This Row],[Sales]]&lt;500,"small")</f>
        <v>medium</v>
      </c>
      <c r="V11" s="22">
        <f>Table1[[#This Row],[Profit]]/Table1[[#This Row],[Sales]]*100</f>
        <v>35.729924429691366</v>
      </c>
    </row>
    <row r="12" spans="1:22" x14ac:dyDescent="0.35">
      <c r="A12" s="4" t="s">
        <v>73</v>
      </c>
      <c r="B12" s="5">
        <v>45661</v>
      </c>
      <c r="C12" s="4" t="s">
        <v>74</v>
      </c>
      <c r="D12" s="4" t="s">
        <v>47</v>
      </c>
      <c r="E12" s="4" t="s">
        <v>29</v>
      </c>
      <c r="F12" s="4" t="s">
        <v>30</v>
      </c>
      <c r="G12" s="4" t="s">
        <v>23</v>
      </c>
      <c r="H12" s="4" t="s">
        <v>71</v>
      </c>
      <c r="I12" s="4">
        <v>10</v>
      </c>
      <c r="J12" s="6">
        <v>175.32</v>
      </c>
      <c r="K12" s="7">
        <v>0.1</v>
      </c>
      <c r="L12" s="6">
        <f t="shared" si="0"/>
        <v>1577.8799999999999</v>
      </c>
      <c r="M12" s="6">
        <v>83.05</v>
      </c>
      <c r="N12" s="8">
        <f t="shared" si="1"/>
        <v>747.37999999999988</v>
      </c>
      <c r="O12" s="4" t="s">
        <v>40</v>
      </c>
      <c r="P12" s="4" t="s">
        <v>75</v>
      </c>
      <c r="Q12" s="4">
        <v>3</v>
      </c>
      <c r="R12" s="4" t="str">
        <f>TEXT(Table1[[#This Row],[Order Date]],"mmm")</f>
        <v>Jan</v>
      </c>
      <c r="S12" s="4" t="str">
        <f>TEXT(Table1[[#This Row],[Order Date]],"mm")</f>
        <v>01</v>
      </c>
      <c r="T12" s="4" t="str">
        <f>IF(Table1[[#This Row],[Sales]]&lt;0,"loss","profit")</f>
        <v>profit</v>
      </c>
      <c r="U12" s="4" t="str" cm="1">
        <f t="array" ref="U12">_xlfn.IFS(Table1[[#This Row],[Sales]]&gt;2000,"large",Table1[[#This Row],[Sales]]&gt;=500,"medium",Table1[[#This Row],[Sales]]&lt;500,"small")</f>
        <v>medium</v>
      </c>
      <c r="V12" s="22">
        <f>Table1[[#This Row],[Profit]]/Table1[[#This Row],[Sales]]*100</f>
        <v>47.366086140897913</v>
      </c>
    </row>
    <row r="13" spans="1:22" x14ac:dyDescent="0.35">
      <c r="A13" s="4" t="s">
        <v>76</v>
      </c>
      <c r="B13" s="5">
        <v>45662</v>
      </c>
      <c r="C13" s="4" t="s">
        <v>77</v>
      </c>
      <c r="D13" s="4" t="s">
        <v>47</v>
      </c>
      <c r="E13" s="4" t="s">
        <v>29</v>
      </c>
      <c r="F13" s="4" t="s">
        <v>54</v>
      </c>
      <c r="G13" s="4" t="s">
        <v>49</v>
      </c>
      <c r="H13" s="4" t="s">
        <v>78</v>
      </c>
      <c r="I13" s="4">
        <v>2</v>
      </c>
      <c r="J13" s="6">
        <v>715.31</v>
      </c>
      <c r="K13" s="7">
        <v>0.05</v>
      </c>
      <c r="L13" s="6">
        <f t="shared" si="0"/>
        <v>1359.0889999999999</v>
      </c>
      <c r="M13" s="6">
        <v>411.42</v>
      </c>
      <c r="N13" s="8">
        <f t="shared" si="1"/>
        <v>536.24899999999991</v>
      </c>
      <c r="O13" s="4" t="s">
        <v>40</v>
      </c>
      <c r="P13" s="4" t="s">
        <v>61</v>
      </c>
      <c r="Q13" s="4">
        <v>2</v>
      </c>
      <c r="R13" s="4" t="str">
        <f>TEXT(Table1[[#This Row],[Order Date]],"mmm")</f>
        <v>Jan</v>
      </c>
      <c r="S13" s="4" t="str">
        <f>TEXT(Table1[[#This Row],[Order Date]],"mm")</f>
        <v>01</v>
      </c>
      <c r="T13" s="4" t="str">
        <f>IF(Table1[[#This Row],[Sales]]&lt;0,"loss","profit")</f>
        <v>profit</v>
      </c>
      <c r="U13" s="4" t="str" cm="1">
        <f t="array" ref="U13">_xlfn.IFS(Table1[[#This Row],[Sales]]&gt;2000,"large",Table1[[#This Row],[Sales]]&gt;=500,"medium",Table1[[#This Row],[Sales]]&lt;500,"small")</f>
        <v>medium</v>
      </c>
      <c r="V13" s="22">
        <f>Table1[[#This Row],[Profit]]/Table1[[#This Row],[Sales]]*100</f>
        <v>39.456503584386297</v>
      </c>
    </row>
    <row r="14" spans="1:22" x14ac:dyDescent="0.35">
      <c r="A14" s="4" t="s">
        <v>79</v>
      </c>
      <c r="B14" s="5">
        <v>45662</v>
      </c>
      <c r="C14" s="4" t="s">
        <v>80</v>
      </c>
      <c r="D14" s="4" t="s">
        <v>43</v>
      </c>
      <c r="E14" s="4" t="s">
        <v>21</v>
      </c>
      <c r="F14" s="4" t="s">
        <v>81</v>
      </c>
      <c r="G14" s="4" t="s">
        <v>31</v>
      </c>
      <c r="H14" s="4" t="s">
        <v>64</v>
      </c>
      <c r="I14" s="4">
        <v>5</v>
      </c>
      <c r="J14" s="6">
        <v>111.1</v>
      </c>
      <c r="K14" s="7">
        <v>0.15</v>
      </c>
      <c r="L14" s="6">
        <f t="shared" si="0"/>
        <v>472.17500000000001</v>
      </c>
      <c r="M14" s="6">
        <v>67.930000000000007</v>
      </c>
      <c r="N14" s="8">
        <f t="shared" si="1"/>
        <v>132.52499999999998</v>
      </c>
      <c r="O14" s="4" t="s">
        <v>40</v>
      </c>
      <c r="P14" s="4" t="s">
        <v>75</v>
      </c>
      <c r="Q14" s="4">
        <v>4</v>
      </c>
      <c r="R14" s="4" t="str">
        <f>TEXT(Table1[[#This Row],[Order Date]],"mmm")</f>
        <v>Jan</v>
      </c>
      <c r="S14" s="4" t="str">
        <f>TEXT(Table1[[#This Row],[Order Date]],"mm")</f>
        <v>01</v>
      </c>
      <c r="T14" s="4" t="str">
        <f>IF(Table1[[#This Row],[Sales]]&lt;0,"loss","profit")</f>
        <v>profit</v>
      </c>
      <c r="U14" s="4" t="str" cm="1">
        <f t="array" ref="U14">_xlfn.IFS(Table1[[#This Row],[Sales]]&gt;2000,"large",Table1[[#This Row],[Sales]]&gt;=500,"medium",Table1[[#This Row],[Sales]]&lt;500,"small")</f>
        <v>small</v>
      </c>
      <c r="V14" s="22">
        <f>Table1[[#This Row],[Profit]]/Table1[[#This Row],[Sales]]*100</f>
        <v>28.066924339492765</v>
      </c>
    </row>
    <row r="15" spans="1:22" x14ac:dyDescent="0.35">
      <c r="A15" s="4" t="s">
        <v>82</v>
      </c>
      <c r="B15" s="5">
        <v>45662</v>
      </c>
      <c r="C15" s="4" t="s">
        <v>83</v>
      </c>
      <c r="D15" s="4" t="s">
        <v>43</v>
      </c>
      <c r="E15" s="4" t="s">
        <v>29</v>
      </c>
      <c r="F15" s="4" t="s">
        <v>54</v>
      </c>
      <c r="G15" s="4" t="s">
        <v>38</v>
      </c>
      <c r="H15" s="4" t="s">
        <v>55</v>
      </c>
      <c r="I15" s="4">
        <v>4</v>
      </c>
      <c r="J15" s="6">
        <v>299.3</v>
      </c>
      <c r="K15" s="7">
        <v>0.1</v>
      </c>
      <c r="L15" s="6">
        <f t="shared" si="0"/>
        <v>1077.48</v>
      </c>
      <c r="M15" s="6">
        <v>235.84</v>
      </c>
      <c r="N15" s="8">
        <f t="shared" si="1"/>
        <v>134.12</v>
      </c>
      <c r="O15" s="4" t="s">
        <v>84</v>
      </c>
      <c r="P15" s="4" t="s">
        <v>33</v>
      </c>
      <c r="Q15" s="4">
        <v>5</v>
      </c>
      <c r="R15" s="4" t="str">
        <f>TEXT(Table1[[#This Row],[Order Date]],"mmm")</f>
        <v>Jan</v>
      </c>
      <c r="S15" s="4" t="str">
        <f>TEXT(Table1[[#This Row],[Order Date]],"mm")</f>
        <v>01</v>
      </c>
      <c r="T15" s="4" t="str">
        <f>IF(Table1[[#This Row],[Sales]]&lt;0,"loss","profit")</f>
        <v>profit</v>
      </c>
      <c r="U15" s="4" t="str" cm="1">
        <f t="array" ref="U15">_xlfn.IFS(Table1[[#This Row],[Sales]]&gt;2000,"large",Table1[[#This Row],[Sales]]&gt;=500,"medium",Table1[[#This Row],[Sales]]&lt;500,"small")</f>
        <v>medium</v>
      </c>
      <c r="V15" s="22">
        <f>Table1[[#This Row],[Profit]]/Table1[[#This Row],[Sales]]*100</f>
        <v>12.447562831792702</v>
      </c>
    </row>
    <row r="16" spans="1:22" x14ac:dyDescent="0.35">
      <c r="A16" s="4" t="s">
        <v>85</v>
      </c>
      <c r="B16" s="5">
        <v>45663</v>
      </c>
      <c r="C16" s="4" t="s">
        <v>86</v>
      </c>
      <c r="D16" s="4" t="s">
        <v>47</v>
      </c>
      <c r="E16" s="4" t="s">
        <v>87</v>
      </c>
      <c r="F16" s="4" t="s">
        <v>88</v>
      </c>
      <c r="G16" s="4" t="s">
        <v>38</v>
      </c>
      <c r="H16" s="4" t="s">
        <v>89</v>
      </c>
      <c r="I16" s="4">
        <v>2</v>
      </c>
      <c r="J16" s="6">
        <v>870.03</v>
      </c>
      <c r="K16" s="7">
        <v>0.05</v>
      </c>
      <c r="L16" s="6">
        <f t="shared" si="0"/>
        <v>1653.0569999999998</v>
      </c>
      <c r="M16" s="6">
        <v>734.11</v>
      </c>
      <c r="N16" s="8">
        <f t="shared" si="1"/>
        <v>184.83699999999976</v>
      </c>
      <c r="O16" s="4" t="s">
        <v>84</v>
      </c>
      <c r="P16" s="4" t="s">
        <v>56</v>
      </c>
      <c r="Q16" s="4">
        <v>4</v>
      </c>
      <c r="R16" s="4" t="str">
        <f>TEXT(Table1[[#This Row],[Order Date]],"mmm")</f>
        <v>Jan</v>
      </c>
      <c r="S16" s="4" t="str">
        <f>TEXT(Table1[[#This Row],[Order Date]],"mm")</f>
        <v>01</v>
      </c>
      <c r="T16" s="4" t="str">
        <f>IF(Table1[[#This Row],[Sales]]&lt;0,"loss","profit")</f>
        <v>profit</v>
      </c>
      <c r="U16" s="4" t="str" cm="1">
        <f t="array" ref="U16">_xlfn.IFS(Table1[[#This Row],[Sales]]&gt;2000,"large",Table1[[#This Row],[Sales]]&gt;=500,"medium",Table1[[#This Row],[Sales]]&lt;500,"small")</f>
        <v>medium</v>
      </c>
      <c r="V16" s="22">
        <f>Table1[[#This Row],[Profit]]/Table1[[#This Row],[Sales]]*100</f>
        <v>11.181526105875344</v>
      </c>
    </row>
    <row r="17" spans="1:22" x14ac:dyDescent="0.35">
      <c r="A17" s="4" t="s">
        <v>90</v>
      </c>
      <c r="B17" s="5">
        <v>45663</v>
      </c>
      <c r="C17" s="4" t="s">
        <v>91</v>
      </c>
      <c r="D17" s="4" t="s">
        <v>47</v>
      </c>
      <c r="E17" s="4" t="s">
        <v>87</v>
      </c>
      <c r="F17" s="4" t="s">
        <v>92</v>
      </c>
      <c r="G17" s="4" t="s">
        <v>67</v>
      </c>
      <c r="H17" s="4" t="s">
        <v>93</v>
      </c>
      <c r="I17" s="4">
        <v>3</v>
      </c>
      <c r="J17" s="6">
        <v>358.88</v>
      </c>
      <c r="K17" s="7">
        <v>0.05</v>
      </c>
      <c r="L17" s="6">
        <f t="shared" si="0"/>
        <v>1022.8079999999999</v>
      </c>
      <c r="M17" s="6">
        <v>245.25</v>
      </c>
      <c r="N17" s="8">
        <f t="shared" si="1"/>
        <v>287.05799999999988</v>
      </c>
      <c r="O17" s="4" t="s">
        <v>40</v>
      </c>
      <c r="P17" s="4" t="s">
        <v>33</v>
      </c>
      <c r="Q17" s="4">
        <v>4</v>
      </c>
      <c r="R17" s="4" t="str">
        <f>TEXT(Table1[[#This Row],[Order Date]],"mmm")</f>
        <v>Jan</v>
      </c>
      <c r="S17" s="4" t="str">
        <f>TEXT(Table1[[#This Row],[Order Date]],"mm")</f>
        <v>01</v>
      </c>
      <c r="T17" s="4" t="str">
        <f>IF(Table1[[#This Row],[Sales]]&lt;0,"loss","profit")</f>
        <v>profit</v>
      </c>
      <c r="U17" s="4" t="str" cm="1">
        <f t="array" ref="U17">_xlfn.IFS(Table1[[#This Row],[Sales]]&gt;2000,"large",Table1[[#This Row],[Sales]]&gt;=500,"medium",Table1[[#This Row],[Sales]]&lt;500,"small")</f>
        <v>medium</v>
      </c>
      <c r="V17" s="22">
        <f>Table1[[#This Row],[Profit]]/Table1[[#This Row],[Sales]]*100</f>
        <v>28.065678015815276</v>
      </c>
    </row>
    <row r="18" spans="1:22" x14ac:dyDescent="0.35">
      <c r="A18" s="4" t="s">
        <v>94</v>
      </c>
      <c r="B18" s="5">
        <v>45664</v>
      </c>
      <c r="C18" s="4" t="s">
        <v>95</v>
      </c>
      <c r="D18" s="4" t="s">
        <v>43</v>
      </c>
      <c r="E18" s="4" t="s">
        <v>36</v>
      </c>
      <c r="F18" s="4" t="s">
        <v>37</v>
      </c>
      <c r="G18" s="4" t="s">
        <v>38</v>
      </c>
      <c r="H18" s="4" t="s">
        <v>96</v>
      </c>
      <c r="I18" s="4">
        <v>8</v>
      </c>
      <c r="J18" s="6">
        <v>669.88</v>
      </c>
      <c r="K18" s="7">
        <v>0.1</v>
      </c>
      <c r="L18" s="6">
        <f t="shared" si="0"/>
        <v>4823.1360000000004</v>
      </c>
      <c r="M18" s="6">
        <v>503.65</v>
      </c>
      <c r="N18" s="8">
        <f t="shared" si="1"/>
        <v>793.9360000000006</v>
      </c>
      <c r="O18" s="4" t="s">
        <v>84</v>
      </c>
      <c r="P18" s="4" t="s">
        <v>97</v>
      </c>
      <c r="Q18" s="4">
        <v>5</v>
      </c>
      <c r="R18" s="4" t="str">
        <f>TEXT(Table1[[#This Row],[Order Date]],"mmm")</f>
        <v>Jan</v>
      </c>
      <c r="S18" s="4" t="str">
        <f>TEXT(Table1[[#This Row],[Order Date]],"mm")</f>
        <v>01</v>
      </c>
      <c r="T18" s="4" t="str">
        <f>IF(Table1[[#This Row],[Sales]]&lt;0,"loss","profit")</f>
        <v>profit</v>
      </c>
      <c r="U18" s="4" t="str" cm="1">
        <f t="array" ref="U18">_xlfn.IFS(Table1[[#This Row],[Sales]]&gt;2000,"large",Table1[[#This Row],[Sales]]&gt;=500,"medium",Table1[[#This Row],[Sales]]&lt;500,"small")</f>
        <v>large</v>
      </c>
      <c r="V18" s="22">
        <f>Table1[[#This Row],[Profit]]/Table1[[#This Row],[Sales]]*100</f>
        <v>16.460991355002232</v>
      </c>
    </row>
    <row r="19" spans="1:22" x14ac:dyDescent="0.35">
      <c r="A19" s="4" t="s">
        <v>98</v>
      </c>
      <c r="B19" s="5">
        <v>45664</v>
      </c>
      <c r="C19" s="4" t="s">
        <v>99</v>
      </c>
      <c r="D19" s="4" t="s">
        <v>47</v>
      </c>
      <c r="E19" s="4" t="s">
        <v>36</v>
      </c>
      <c r="F19" s="4" t="s">
        <v>48</v>
      </c>
      <c r="G19" s="4" t="s">
        <v>38</v>
      </c>
      <c r="H19" s="4" t="s">
        <v>96</v>
      </c>
      <c r="I19" s="4">
        <v>10</v>
      </c>
      <c r="J19" s="6">
        <v>464.56</v>
      </c>
      <c r="K19" s="7">
        <v>0.1</v>
      </c>
      <c r="L19" s="6">
        <f t="shared" si="0"/>
        <v>4181.0400000000009</v>
      </c>
      <c r="M19" s="6">
        <v>378.05</v>
      </c>
      <c r="N19" s="8">
        <f t="shared" si="1"/>
        <v>400.54000000000087</v>
      </c>
      <c r="O19" s="4" t="s">
        <v>51</v>
      </c>
      <c r="P19" s="4" t="s">
        <v>75</v>
      </c>
      <c r="Q19" s="4">
        <v>5</v>
      </c>
      <c r="R19" s="4" t="str">
        <f>TEXT(Table1[[#This Row],[Order Date]],"mmm")</f>
        <v>Jan</v>
      </c>
      <c r="S19" s="4" t="str">
        <f>TEXT(Table1[[#This Row],[Order Date]],"mm")</f>
        <v>01</v>
      </c>
      <c r="T19" s="4" t="str">
        <f>IF(Table1[[#This Row],[Sales]]&lt;0,"loss","profit")</f>
        <v>profit</v>
      </c>
      <c r="U19" s="4" t="str" cm="1">
        <f t="array" ref="U19">_xlfn.IFS(Table1[[#This Row],[Sales]]&gt;2000,"large",Table1[[#This Row],[Sales]]&gt;=500,"medium",Table1[[#This Row],[Sales]]&lt;500,"small")</f>
        <v>large</v>
      </c>
      <c r="V19" s="22">
        <f>Table1[[#This Row],[Profit]]/Table1[[#This Row],[Sales]]*100</f>
        <v>9.5799131316610406</v>
      </c>
    </row>
    <row r="20" spans="1:22" x14ac:dyDescent="0.35">
      <c r="A20" s="4" t="s">
        <v>100</v>
      </c>
      <c r="B20" s="5">
        <v>45665</v>
      </c>
      <c r="C20" s="4" t="s">
        <v>101</v>
      </c>
      <c r="D20" s="4" t="s">
        <v>20</v>
      </c>
      <c r="E20" s="4" t="s">
        <v>36</v>
      </c>
      <c r="F20" s="4" t="s">
        <v>48</v>
      </c>
      <c r="G20" s="4" t="s">
        <v>31</v>
      </c>
      <c r="H20" s="4" t="s">
        <v>64</v>
      </c>
      <c r="I20" s="4">
        <v>3</v>
      </c>
      <c r="J20" s="6">
        <v>202.91</v>
      </c>
      <c r="K20" s="7">
        <v>0.1</v>
      </c>
      <c r="L20" s="6">
        <f t="shared" si="0"/>
        <v>547.85700000000008</v>
      </c>
      <c r="M20" s="6">
        <v>142.84</v>
      </c>
      <c r="N20" s="8">
        <f t="shared" si="1"/>
        <v>119.3370000000001</v>
      </c>
      <c r="O20" s="4" t="s">
        <v>84</v>
      </c>
      <c r="P20" s="4" t="s">
        <v>56</v>
      </c>
      <c r="Q20" s="4">
        <v>5</v>
      </c>
      <c r="R20" s="4" t="str">
        <f>TEXT(Table1[[#This Row],[Order Date]],"mmm")</f>
        <v>Jan</v>
      </c>
      <c r="S20" s="4" t="str">
        <f>TEXT(Table1[[#This Row],[Order Date]],"mm")</f>
        <v>01</v>
      </c>
      <c r="T20" s="4" t="str">
        <f>IF(Table1[[#This Row],[Sales]]&lt;0,"loss","profit")</f>
        <v>profit</v>
      </c>
      <c r="U20" s="4" t="str" cm="1">
        <f t="array" ref="U20">_xlfn.IFS(Table1[[#This Row],[Sales]]&gt;2000,"large",Table1[[#This Row],[Sales]]&gt;=500,"medium",Table1[[#This Row],[Sales]]&lt;500,"small")</f>
        <v>medium</v>
      </c>
      <c r="V20" s="22">
        <f>Table1[[#This Row],[Profit]]/Table1[[#This Row],[Sales]]*100</f>
        <v>21.782508939376534</v>
      </c>
    </row>
    <row r="21" spans="1:22" x14ac:dyDescent="0.35">
      <c r="A21" s="4" t="s">
        <v>102</v>
      </c>
      <c r="B21" s="5">
        <v>45665</v>
      </c>
      <c r="C21" s="4" t="s">
        <v>103</v>
      </c>
      <c r="D21" s="4" t="s">
        <v>20</v>
      </c>
      <c r="E21" s="4" t="s">
        <v>36</v>
      </c>
      <c r="F21" s="4" t="s">
        <v>37</v>
      </c>
      <c r="G21" s="4" t="s">
        <v>23</v>
      </c>
      <c r="H21" s="4" t="s">
        <v>71</v>
      </c>
      <c r="I21" s="4">
        <v>1</v>
      </c>
      <c r="J21" s="6">
        <v>183.01</v>
      </c>
      <c r="K21" s="7">
        <v>0.15</v>
      </c>
      <c r="L21" s="6">
        <f t="shared" si="0"/>
        <v>155.55849999999998</v>
      </c>
      <c r="M21" s="6">
        <v>117.43</v>
      </c>
      <c r="N21" s="8">
        <f t="shared" si="1"/>
        <v>38.128499999999974</v>
      </c>
      <c r="O21" s="4" t="s">
        <v>40</v>
      </c>
      <c r="P21" s="4" t="s">
        <v>61</v>
      </c>
      <c r="Q21" s="4">
        <v>3</v>
      </c>
      <c r="R21" s="4" t="str">
        <f>TEXT(Table1[[#This Row],[Order Date]],"mmm")</f>
        <v>Jan</v>
      </c>
      <c r="S21" s="4" t="str">
        <f>TEXT(Table1[[#This Row],[Order Date]],"mm")</f>
        <v>01</v>
      </c>
      <c r="T21" s="4" t="str">
        <f>IF(Table1[[#This Row],[Sales]]&lt;0,"loss","profit")</f>
        <v>profit</v>
      </c>
      <c r="U21" s="4" t="str" cm="1">
        <f t="array" ref="U21">_xlfn.IFS(Table1[[#This Row],[Sales]]&gt;2000,"large",Table1[[#This Row],[Sales]]&gt;=500,"medium",Table1[[#This Row],[Sales]]&lt;500,"small")</f>
        <v>small</v>
      </c>
      <c r="V21" s="22">
        <f>Table1[[#This Row],[Profit]]/Table1[[#This Row],[Sales]]*100</f>
        <v>24.510714618616134</v>
      </c>
    </row>
    <row r="22" spans="1:22" x14ac:dyDescent="0.35">
      <c r="A22" s="4" t="s">
        <v>104</v>
      </c>
      <c r="B22" s="5">
        <v>45666</v>
      </c>
      <c r="C22" s="4" t="s">
        <v>105</v>
      </c>
      <c r="D22" s="4" t="s">
        <v>20</v>
      </c>
      <c r="E22" s="4" t="s">
        <v>87</v>
      </c>
      <c r="F22" s="4" t="s">
        <v>92</v>
      </c>
      <c r="G22" s="4" t="s">
        <v>31</v>
      </c>
      <c r="H22" s="4" t="s">
        <v>64</v>
      </c>
      <c r="I22" s="4">
        <v>6</v>
      </c>
      <c r="J22" s="6">
        <v>151.47999999999999</v>
      </c>
      <c r="K22" s="7">
        <v>0.2</v>
      </c>
      <c r="L22" s="6">
        <f t="shared" si="0"/>
        <v>727.10399999999993</v>
      </c>
      <c r="M22" s="6">
        <v>85.93</v>
      </c>
      <c r="N22" s="8">
        <f t="shared" si="1"/>
        <v>211.52399999999989</v>
      </c>
      <c r="O22" s="4" t="s">
        <v>25</v>
      </c>
      <c r="P22" s="4" t="s">
        <v>56</v>
      </c>
      <c r="Q22" s="4">
        <v>4</v>
      </c>
      <c r="R22" s="4" t="str">
        <f>TEXT(Table1[[#This Row],[Order Date]],"mmm")</f>
        <v>Jan</v>
      </c>
      <c r="S22" s="4" t="str">
        <f>TEXT(Table1[[#This Row],[Order Date]],"mm")</f>
        <v>01</v>
      </c>
      <c r="T22" s="4" t="str">
        <f>IF(Table1[[#This Row],[Sales]]&lt;0,"loss","profit")</f>
        <v>profit</v>
      </c>
      <c r="U22" s="4" t="str" cm="1">
        <f t="array" ref="U22">_xlfn.IFS(Table1[[#This Row],[Sales]]&gt;2000,"large",Table1[[#This Row],[Sales]]&gt;=500,"medium",Table1[[#This Row],[Sales]]&lt;500,"small")</f>
        <v>medium</v>
      </c>
      <c r="V22" s="22">
        <f>Table1[[#This Row],[Profit]]/Table1[[#This Row],[Sales]]*100</f>
        <v>29.091299181410076</v>
      </c>
    </row>
    <row r="23" spans="1:22" x14ac:dyDescent="0.35">
      <c r="A23" s="4" t="s">
        <v>106</v>
      </c>
      <c r="B23" s="5">
        <v>45667</v>
      </c>
      <c r="C23" s="4" t="s">
        <v>107</v>
      </c>
      <c r="D23" s="4" t="s">
        <v>43</v>
      </c>
      <c r="E23" s="4" t="s">
        <v>29</v>
      </c>
      <c r="F23" s="4" t="s">
        <v>108</v>
      </c>
      <c r="G23" s="4" t="s">
        <v>38</v>
      </c>
      <c r="H23" s="4" t="s">
        <v>109</v>
      </c>
      <c r="I23" s="4">
        <v>2</v>
      </c>
      <c r="J23" s="6">
        <v>988.11</v>
      </c>
      <c r="K23" s="7">
        <v>0.1</v>
      </c>
      <c r="L23" s="6">
        <f t="shared" si="0"/>
        <v>1778.598</v>
      </c>
      <c r="M23" s="6">
        <v>781.96</v>
      </c>
      <c r="N23" s="8">
        <f t="shared" si="1"/>
        <v>214.67799999999988</v>
      </c>
      <c r="O23" s="4" t="s">
        <v>51</v>
      </c>
      <c r="P23" s="4" t="s">
        <v>56</v>
      </c>
      <c r="Q23" s="4">
        <v>4</v>
      </c>
      <c r="R23" s="4" t="str">
        <f>TEXT(Table1[[#This Row],[Order Date]],"mmm")</f>
        <v>Jan</v>
      </c>
      <c r="S23" s="4" t="str">
        <f>TEXT(Table1[[#This Row],[Order Date]],"mm")</f>
        <v>01</v>
      </c>
      <c r="T23" s="4" t="str">
        <f>IF(Table1[[#This Row],[Sales]]&lt;0,"loss","profit")</f>
        <v>profit</v>
      </c>
      <c r="U23" s="4" t="str" cm="1">
        <f t="array" ref="U23">_xlfn.IFS(Table1[[#This Row],[Sales]]&gt;2000,"large",Table1[[#This Row],[Sales]]&gt;=500,"medium",Table1[[#This Row],[Sales]]&lt;500,"small")</f>
        <v>medium</v>
      </c>
      <c r="V23" s="22">
        <f>Table1[[#This Row],[Profit]]/Table1[[#This Row],[Sales]]*100</f>
        <v>12.070068672066419</v>
      </c>
    </row>
    <row r="24" spans="1:22" x14ac:dyDescent="0.35">
      <c r="A24" s="4" t="s">
        <v>110</v>
      </c>
      <c r="B24" s="5">
        <v>45667</v>
      </c>
      <c r="C24" s="4" t="s">
        <v>111</v>
      </c>
      <c r="D24" s="4" t="s">
        <v>20</v>
      </c>
      <c r="E24" s="4" t="s">
        <v>36</v>
      </c>
      <c r="F24" s="4" t="s">
        <v>48</v>
      </c>
      <c r="G24" s="4" t="s">
        <v>31</v>
      </c>
      <c r="H24" s="4" t="s">
        <v>64</v>
      </c>
      <c r="I24" s="4">
        <v>3</v>
      </c>
      <c r="J24" s="6">
        <v>162.76</v>
      </c>
      <c r="K24" s="7">
        <v>0.05</v>
      </c>
      <c r="L24" s="6">
        <f t="shared" si="0"/>
        <v>463.86599999999993</v>
      </c>
      <c r="M24" s="6">
        <v>95.3</v>
      </c>
      <c r="N24" s="8">
        <f t="shared" si="1"/>
        <v>177.96599999999995</v>
      </c>
      <c r="O24" s="4" t="s">
        <v>25</v>
      </c>
      <c r="P24" s="4" t="s">
        <v>72</v>
      </c>
      <c r="Q24" s="4">
        <v>4</v>
      </c>
      <c r="R24" s="4" t="str">
        <f>TEXT(Table1[[#This Row],[Order Date]],"mmm")</f>
        <v>Jan</v>
      </c>
      <c r="S24" s="4" t="str">
        <f>TEXT(Table1[[#This Row],[Order Date]],"mm")</f>
        <v>01</v>
      </c>
      <c r="T24" s="4" t="str">
        <f>IF(Table1[[#This Row],[Sales]]&lt;0,"loss","profit")</f>
        <v>profit</v>
      </c>
      <c r="U24" s="4" t="str" cm="1">
        <f t="array" ref="U24">_xlfn.IFS(Table1[[#This Row],[Sales]]&gt;2000,"large",Table1[[#This Row],[Sales]]&gt;=500,"medium",Table1[[#This Row],[Sales]]&lt;500,"small")</f>
        <v>small</v>
      </c>
      <c r="V24" s="22">
        <f>Table1[[#This Row],[Profit]]/Table1[[#This Row],[Sales]]*100</f>
        <v>38.365821163870592</v>
      </c>
    </row>
    <row r="25" spans="1:22" x14ac:dyDescent="0.35">
      <c r="A25" s="4" t="s">
        <v>112</v>
      </c>
      <c r="B25" s="5">
        <v>45668</v>
      </c>
      <c r="C25" s="4" t="s">
        <v>113</v>
      </c>
      <c r="D25" s="4" t="s">
        <v>43</v>
      </c>
      <c r="E25" s="4" t="s">
        <v>29</v>
      </c>
      <c r="F25" s="4" t="s">
        <v>54</v>
      </c>
      <c r="G25" s="4" t="s">
        <v>23</v>
      </c>
      <c r="H25" s="4" t="s">
        <v>44</v>
      </c>
      <c r="I25" s="4">
        <v>1</v>
      </c>
      <c r="J25" s="6">
        <v>149.13</v>
      </c>
      <c r="K25" s="7">
        <v>0.2</v>
      </c>
      <c r="L25" s="6">
        <f t="shared" si="0"/>
        <v>119.304</v>
      </c>
      <c r="M25" s="6">
        <v>85.67</v>
      </c>
      <c r="N25" s="8">
        <f t="shared" si="1"/>
        <v>33.634</v>
      </c>
      <c r="O25" s="4" t="s">
        <v>60</v>
      </c>
      <c r="P25" s="4" t="s">
        <v>56</v>
      </c>
      <c r="Q25" s="4">
        <v>3</v>
      </c>
      <c r="R25" s="4" t="str">
        <f>TEXT(Table1[[#This Row],[Order Date]],"mmm")</f>
        <v>Jan</v>
      </c>
      <c r="S25" s="4" t="str">
        <f>TEXT(Table1[[#This Row],[Order Date]],"mm")</f>
        <v>01</v>
      </c>
      <c r="T25" s="4" t="str">
        <f>IF(Table1[[#This Row],[Sales]]&lt;0,"loss","profit")</f>
        <v>profit</v>
      </c>
      <c r="U25" s="4" t="str" cm="1">
        <f t="array" ref="U25">_xlfn.IFS(Table1[[#This Row],[Sales]]&gt;2000,"large",Table1[[#This Row],[Sales]]&gt;=500,"medium",Table1[[#This Row],[Sales]]&lt;500,"small")</f>
        <v>small</v>
      </c>
      <c r="V25" s="22">
        <f>Table1[[#This Row],[Profit]]/Table1[[#This Row],[Sales]]*100</f>
        <v>28.191846040367462</v>
      </c>
    </row>
    <row r="26" spans="1:22" x14ac:dyDescent="0.35">
      <c r="A26" s="4" t="s">
        <v>114</v>
      </c>
      <c r="B26" s="5">
        <v>45668</v>
      </c>
      <c r="C26" s="4" t="s">
        <v>115</v>
      </c>
      <c r="D26" s="4" t="s">
        <v>20</v>
      </c>
      <c r="E26" s="4" t="s">
        <v>29</v>
      </c>
      <c r="F26" s="4" t="s">
        <v>108</v>
      </c>
      <c r="G26" s="4" t="s">
        <v>23</v>
      </c>
      <c r="H26" s="4" t="s">
        <v>44</v>
      </c>
      <c r="I26" s="4">
        <v>4</v>
      </c>
      <c r="J26" s="6">
        <v>94.44</v>
      </c>
      <c r="K26" s="7">
        <v>0</v>
      </c>
      <c r="L26" s="6">
        <f t="shared" si="0"/>
        <v>377.76</v>
      </c>
      <c r="M26" s="6">
        <v>45.56</v>
      </c>
      <c r="N26" s="8">
        <f t="shared" si="1"/>
        <v>195.51999999999998</v>
      </c>
      <c r="O26" s="4" t="s">
        <v>60</v>
      </c>
      <c r="P26" s="4" t="s">
        <v>26</v>
      </c>
      <c r="Q26" s="4">
        <v>4</v>
      </c>
      <c r="R26" s="4" t="str">
        <f>TEXT(Table1[[#This Row],[Order Date]],"mmm")</f>
        <v>Jan</v>
      </c>
      <c r="S26" s="4" t="str">
        <f>TEXT(Table1[[#This Row],[Order Date]],"mm")</f>
        <v>01</v>
      </c>
      <c r="T26" s="4" t="str">
        <f>IF(Table1[[#This Row],[Sales]]&lt;0,"loss","profit")</f>
        <v>profit</v>
      </c>
      <c r="U26" s="4" t="str" cm="1">
        <f t="array" ref="U26">_xlfn.IFS(Table1[[#This Row],[Sales]]&gt;2000,"large",Table1[[#This Row],[Sales]]&gt;=500,"medium",Table1[[#This Row],[Sales]]&lt;500,"small")</f>
        <v>small</v>
      </c>
      <c r="V26" s="22">
        <f>Table1[[#This Row],[Profit]]/Table1[[#This Row],[Sales]]*100</f>
        <v>51.757729775518847</v>
      </c>
    </row>
    <row r="27" spans="1:22" x14ac:dyDescent="0.35">
      <c r="A27" s="4" t="s">
        <v>116</v>
      </c>
      <c r="B27" s="5">
        <v>45668</v>
      </c>
      <c r="C27" s="4" t="s">
        <v>117</v>
      </c>
      <c r="D27" s="4" t="s">
        <v>20</v>
      </c>
      <c r="E27" s="4" t="s">
        <v>29</v>
      </c>
      <c r="F27" s="4" t="s">
        <v>30</v>
      </c>
      <c r="G27" s="4" t="s">
        <v>49</v>
      </c>
      <c r="H27" s="4" t="s">
        <v>78</v>
      </c>
      <c r="I27" s="4">
        <v>8</v>
      </c>
      <c r="J27" s="6">
        <v>171.27</v>
      </c>
      <c r="K27" s="7">
        <v>0.15</v>
      </c>
      <c r="L27" s="6">
        <f t="shared" si="0"/>
        <v>1164.636</v>
      </c>
      <c r="M27" s="6">
        <v>115.76</v>
      </c>
      <c r="N27" s="8">
        <f t="shared" si="1"/>
        <v>238.55599999999993</v>
      </c>
      <c r="O27" s="4" t="s">
        <v>25</v>
      </c>
      <c r="P27" s="4" t="s">
        <v>118</v>
      </c>
      <c r="Q27" s="4">
        <v>2</v>
      </c>
      <c r="R27" s="4" t="str">
        <f>TEXT(Table1[[#This Row],[Order Date]],"mmm")</f>
        <v>Jan</v>
      </c>
      <c r="S27" s="4" t="str">
        <f>TEXT(Table1[[#This Row],[Order Date]],"mm")</f>
        <v>01</v>
      </c>
      <c r="T27" s="4" t="str">
        <f>IF(Table1[[#This Row],[Sales]]&lt;0,"loss","profit")</f>
        <v>profit</v>
      </c>
      <c r="U27" s="4" t="str" cm="1">
        <f t="array" ref="U27">_xlfn.IFS(Table1[[#This Row],[Sales]]&gt;2000,"large",Table1[[#This Row],[Sales]]&gt;=500,"medium",Table1[[#This Row],[Sales]]&lt;500,"small")</f>
        <v>medium</v>
      </c>
      <c r="V27" s="22">
        <f>Table1[[#This Row],[Profit]]/Table1[[#This Row],[Sales]]*100</f>
        <v>20.483309806669205</v>
      </c>
    </row>
    <row r="28" spans="1:22" x14ac:dyDescent="0.35">
      <c r="A28" s="4" t="s">
        <v>119</v>
      </c>
      <c r="B28" s="5">
        <v>45670</v>
      </c>
      <c r="C28" s="4" t="s">
        <v>120</v>
      </c>
      <c r="D28" s="4" t="s">
        <v>47</v>
      </c>
      <c r="E28" s="4" t="s">
        <v>21</v>
      </c>
      <c r="F28" s="4" t="s">
        <v>59</v>
      </c>
      <c r="G28" s="4" t="s">
        <v>67</v>
      </c>
      <c r="H28" s="4" t="s">
        <v>121</v>
      </c>
      <c r="I28" s="4">
        <v>1</v>
      </c>
      <c r="J28" s="6">
        <v>431.13</v>
      </c>
      <c r="K28" s="7">
        <v>0.1</v>
      </c>
      <c r="L28" s="6">
        <f t="shared" si="0"/>
        <v>388.017</v>
      </c>
      <c r="M28" s="6">
        <v>273.83999999999997</v>
      </c>
      <c r="N28" s="8">
        <f t="shared" si="1"/>
        <v>114.17700000000002</v>
      </c>
      <c r="O28" s="4" t="s">
        <v>25</v>
      </c>
      <c r="P28" s="4" t="s">
        <v>72</v>
      </c>
      <c r="Q28" s="4">
        <v>5</v>
      </c>
      <c r="R28" s="4" t="str">
        <f>TEXT(Table1[[#This Row],[Order Date]],"mmm")</f>
        <v>Jan</v>
      </c>
      <c r="S28" s="4" t="str">
        <f>TEXT(Table1[[#This Row],[Order Date]],"mm")</f>
        <v>01</v>
      </c>
      <c r="T28" s="4" t="str">
        <f>IF(Table1[[#This Row],[Sales]]&lt;0,"loss","profit")</f>
        <v>profit</v>
      </c>
      <c r="U28" s="4" t="str" cm="1">
        <f t="array" ref="U28">_xlfn.IFS(Table1[[#This Row],[Sales]]&gt;2000,"large",Table1[[#This Row],[Sales]]&gt;=500,"medium",Table1[[#This Row],[Sales]]&lt;500,"small")</f>
        <v>small</v>
      </c>
      <c r="V28" s="22">
        <f>Table1[[#This Row],[Profit]]/Table1[[#This Row],[Sales]]*100</f>
        <v>29.425772582129138</v>
      </c>
    </row>
    <row r="29" spans="1:22" x14ac:dyDescent="0.35">
      <c r="A29" s="4" t="s">
        <v>122</v>
      </c>
      <c r="B29" s="5">
        <v>45670</v>
      </c>
      <c r="C29" s="4" t="s">
        <v>123</v>
      </c>
      <c r="D29" s="4" t="s">
        <v>47</v>
      </c>
      <c r="E29" s="4" t="s">
        <v>87</v>
      </c>
      <c r="F29" s="4" t="s">
        <v>124</v>
      </c>
      <c r="G29" s="4" t="s">
        <v>31</v>
      </c>
      <c r="H29" s="4" t="s">
        <v>125</v>
      </c>
      <c r="I29" s="4">
        <v>1</v>
      </c>
      <c r="J29" s="6">
        <v>41.66</v>
      </c>
      <c r="K29" s="7">
        <v>0.15</v>
      </c>
      <c r="L29" s="6">
        <f t="shared" si="0"/>
        <v>35.410999999999994</v>
      </c>
      <c r="M29" s="6">
        <v>24.87</v>
      </c>
      <c r="N29" s="8">
        <f t="shared" si="1"/>
        <v>10.540999999999993</v>
      </c>
      <c r="O29" s="4" t="s">
        <v>51</v>
      </c>
      <c r="P29" s="4" t="s">
        <v>75</v>
      </c>
      <c r="Q29" s="4">
        <v>3</v>
      </c>
      <c r="R29" s="4" t="str">
        <f>TEXT(Table1[[#This Row],[Order Date]],"mmm")</f>
        <v>Jan</v>
      </c>
      <c r="S29" s="4" t="str">
        <f>TEXT(Table1[[#This Row],[Order Date]],"mm")</f>
        <v>01</v>
      </c>
      <c r="T29" s="4" t="str">
        <f>IF(Table1[[#This Row],[Sales]]&lt;0,"loss","profit")</f>
        <v>profit</v>
      </c>
      <c r="U29" s="4" t="str" cm="1">
        <f t="array" ref="U29">_xlfn.IFS(Table1[[#This Row],[Sales]]&gt;2000,"large",Table1[[#This Row],[Sales]]&gt;=500,"medium",Table1[[#This Row],[Sales]]&lt;500,"small")</f>
        <v>small</v>
      </c>
      <c r="V29" s="22">
        <f>Table1[[#This Row],[Profit]]/Table1[[#This Row],[Sales]]*100</f>
        <v>29.767586343226665</v>
      </c>
    </row>
    <row r="30" spans="1:22" x14ac:dyDescent="0.35">
      <c r="A30" s="4" t="s">
        <v>126</v>
      </c>
      <c r="B30" s="5">
        <v>45670</v>
      </c>
      <c r="C30" s="4" t="s">
        <v>127</v>
      </c>
      <c r="D30" s="4" t="s">
        <v>47</v>
      </c>
      <c r="E30" s="4" t="s">
        <v>21</v>
      </c>
      <c r="F30" s="4" t="s">
        <v>59</v>
      </c>
      <c r="G30" s="4" t="s">
        <v>49</v>
      </c>
      <c r="H30" s="4" t="s">
        <v>128</v>
      </c>
      <c r="I30" s="4">
        <v>5</v>
      </c>
      <c r="J30" s="6">
        <v>92.53</v>
      </c>
      <c r="K30" s="7">
        <v>0</v>
      </c>
      <c r="L30" s="6">
        <f t="shared" si="0"/>
        <v>462.65</v>
      </c>
      <c r="M30" s="6">
        <v>54.62</v>
      </c>
      <c r="N30" s="8">
        <f t="shared" si="1"/>
        <v>189.55</v>
      </c>
      <c r="O30" s="4" t="s">
        <v>51</v>
      </c>
      <c r="P30" s="4" t="s">
        <v>118</v>
      </c>
      <c r="Q30" s="4">
        <v>1</v>
      </c>
      <c r="R30" s="4" t="str">
        <f>TEXT(Table1[[#This Row],[Order Date]],"mmm")</f>
        <v>Jan</v>
      </c>
      <c r="S30" s="4" t="str">
        <f>TEXT(Table1[[#This Row],[Order Date]],"mm")</f>
        <v>01</v>
      </c>
      <c r="T30" s="4" t="str">
        <f>IF(Table1[[#This Row],[Sales]]&lt;0,"loss","profit")</f>
        <v>profit</v>
      </c>
      <c r="U30" s="4" t="str" cm="1">
        <f t="array" ref="U30">_xlfn.IFS(Table1[[#This Row],[Sales]]&gt;2000,"large",Table1[[#This Row],[Sales]]&gt;=500,"medium",Table1[[#This Row],[Sales]]&lt;500,"small")</f>
        <v>small</v>
      </c>
      <c r="V30" s="22">
        <f>Table1[[#This Row],[Profit]]/Table1[[#This Row],[Sales]]*100</f>
        <v>40.970496055333413</v>
      </c>
    </row>
    <row r="31" spans="1:22" x14ac:dyDescent="0.35">
      <c r="A31" s="4" t="s">
        <v>129</v>
      </c>
      <c r="B31" s="5">
        <v>45670</v>
      </c>
      <c r="C31" s="4" t="s">
        <v>130</v>
      </c>
      <c r="D31" s="4" t="s">
        <v>47</v>
      </c>
      <c r="E31" s="4" t="s">
        <v>21</v>
      </c>
      <c r="F31" s="4" t="s">
        <v>81</v>
      </c>
      <c r="G31" s="4" t="s">
        <v>67</v>
      </c>
      <c r="H31" s="4" t="s">
        <v>93</v>
      </c>
      <c r="I31" s="4">
        <v>2</v>
      </c>
      <c r="J31" s="6">
        <v>476.02</v>
      </c>
      <c r="K31" s="7">
        <v>0</v>
      </c>
      <c r="L31" s="6">
        <f t="shared" si="0"/>
        <v>952.04</v>
      </c>
      <c r="M31" s="6">
        <v>330.73</v>
      </c>
      <c r="N31" s="8">
        <f t="shared" si="1"/>
        <v>290.57999999999993</v>
      </c>
      <c r="O31" s="4" t="s">
        <v>40</v>
      </c>
      <c r="P31" s="4" t="s">
        <v>72</v>
      </c>
      <c r="Q31" s="4">
        <v>5</v>
      </c>
      <c r="R31" s="4" t="str">
        <f>TEXT(Table1[[#This Row],[Order Date]],"mmm")</f>
        <v>Jan</v>
      </c>
      <c r="S31" s="4" t="str">
        <f>TEXT(Table1[[#This Row],[Order Date]],"mm")</f>
        <v>01</v>
      </c>
      <c r="T31" s="4" t="str">
        <f>IF(Table1[[#This Row],[Sales]]&lt;0,"loss","profit")</f>
        <v>profit</v>
      </c>
      <c r="U31" s="4" t="str" cm="1">
        <f t="array" ref="U31">_xlfn.IFS(Table1[[#This Row],[Sales]]&gt;2000,"large",Table1[[#This Row],[Sales]]&gt;=500,"medium",Table1[[#This Row],[Sales]]&lt;500,"small")</f>
        <v>medium</v>
      </c>
      <c r="V31" s="22">
        <f>Table1[[#This Row],[Profit]]/Table1[[#This Row],[Sales]]*100</f>
        <v>30.521826813999404</v>
      </c>
    </row>
    <row r="32" spans="1:22" x14ac:dyDescent="0.35">
      <c r="A32" s="4" t="s">
        <v>131</v>
      </c>
      <c r="B32" s="5">
        <v>45671</v>
      </c>
      <c r="C32" s="4" t="s">
        <v>132</v>
      </c>
      <c r="D32" s="4" t="s">
        <v>20</v>
      </c>
      <c r="E32" s="4" t="s">
        <v>21</v>
      </c>
      <c r="F32" s="4" t="s">
        <v>22</v>
      </c>
      <c r="G32" s="4" t="s">
        <v>38</v>
      </c>
      <c r="H32" s="4" t="s">
        <v>39</v>
      </c>
      <c r="I32" s="4">
        <v>10</v>
      </c>
      <c r="J32" s="6">
        <v>191.6</v>
      </c>
      <c r="K32" s="7">
        <v>0.15</v>
      </c>
      <c r="L32" s="6">
        <f t="shared" si="0"/>
        <v>1628.6</v>
      </c>
      <c r="M32" s="6">
        <v>153.94999999999999</v>
      </c>
      <c r="N32" s="8">
        <f t="shared" si="1"/>
        <v>89.099999999999909</v>
      </c>
      <c r="O32" s="4" t="s">
        <v>60</v>
      </c>
      <c r="P32" s="4" t="s">
        <v>26</v>
      </c>
      <c r="Q32" s="4">
        <v>5</v>
      </c>
      <c r="R32" s="4" t="str">
        <f>TEXT(Table1[[#This Row],[Order Date]],"mmm")</f>
        <v>Jan</v>
      </c>
      <c r="S32" s="4" t="str">
        <f>TEXT(Table1[[#This Row],[Order Date]],"mm")</f>
        <v>01</v>
      </c>
      <c r="T32" s="4" t="str">
        <f>IF(Table1[[#This Row],[Sales]]&lt;0,"loss","profit")</f>
        <v>profit</v>
      </c>
      <c r="U32" s="4" t="str" cm="1">
        <f t="array" ref="U32">_xlfn.IFS(Table1[[#This Row],[Sales]]&gt;2000,"large",Table1[[#This Row],[Sales]]&gt;=500,"medium",Table1[[#This Row],[Sales]]&lt;500,"small")</f>
        <v>medium</v>
      </c>
      <c r="V32" s="22">
        <f>Table1[[#This Row],[Profit]]/Table1[[#This Row],[Sales]]*100</f>
        <v>5.4709566498833304</v>
      </c>
    </row>
    <row r="33" spans="1:22" x14ac:dyDescent="0.35">
      <c r="A33" s="4" t="s">
        <v>133</v>
      </c>
      <c r="B33" s="5">
        <v>45671</v>
      </c>
      <c r="C33" s="4" t="s">
        <v>134</v>
      </c>
      <c r="D33" s="4" t="s">
        <v>43</v>
      </c>
      <c r="E33" s="4" t="s">
        <v>87</v>
      </c>
      <c r="F33" s="4" t="s">
        <v>92</v>
      </c>
      <c r="G33" s="4" t="s">
        <v>23</v>
      </c>
      <c r="H33" s="4" t="s">
        <v>135</v>
      </c>
      <c r="I33" s="4">
        <v>3</v>
      </c>
      <c r="J33" s="6">
        <v>16.7</v>
      </c>
      <c r="K33" s="7">
        <v>0.05</v>
      </c>
      <c r="L33" s="6">
        <f t="shared" si="0"/>
        <v>47.594999999999992</v>
      </c>
      <c r="M33" s="6">
        <v>10.24</v>
      </c>
      <c r="N33" s="8">
        <f t="shared" si="1"/>
        <v>16.874999999999993</v>
      </c>
      <c r="O33" s="4" t="s">
        <v>40</v>
      </c>
      <c r="P33" s="4" t="s">
        <v>33</v>
      </c>
      <c r="Q33" s="4">
        <v>4</v>
      </c>
      <c r="R33" s="4" t="str">
        <f>TEXT(Table1[[#This Row],[Order Date]],"mmm")</f>
        <v>Jan</v>
      </c>
      <c r="S33" s="4" t="str">
        <f>TEXT(Table1[[#This Row],[Order Date]],"mm")</f>
        <v>01</v>
      </c>
      <c r="T33" s="4" t="str">
        <f>IF(Table1[[#This Row],[Sales]]&lt;0,"loss","profit")</f>
        <v>profit</v>
      </c>
      <c r="U33" s="4" t="str" cm="1">
        <f t="array" ref="U33">_xlfn.IFS(Table1[[#This Row],[Sales]]&gt;2000,"large",Table1[[#This Row],[Sales]]&gt;=500,"medium",Table1[[#This Row],[Sales]]&lt;500,"small")</f>
        <v>small</v>
      </c>
      <c r="V33" s="22">
        <f>Table1[[#This Row],[Profit]]/Table1[[#This Row],[Sales]]*100</f>
        <v>35.455404979514647</v>
      </c>
    </row>
    <row r="34" spans="1:22" x14ac:dyDescent="0.35">
      <c r="A34" s="4" t="s">
        <v>136</v>
      </c>
      <c r="B34" s="5">
        <v>45671</v>
      </c>
      <c r="C34" s="4" t="s">
        <v>137</v>
      </c>
      <c r="D34" s="4" t="s">
        <v>43</v>
      </c>
      <c r="E34" s="4" t="s">
        <v>87</v>
      </c>
      <c r="F34" s="4" t="s">
        <v>92</v>
      </c>
      <c r="G34" s="4" t="s">
        <v>23</v>
      </c>
      <c r="H34" s="4" t="s">
        <v>135</v>
      </c>
      <c r="I34" s="4">
        <v>2</v>
      </c>
      <c r="J34" s="6">
        <v>29.41</v>
      </c>
      <c r="K34" s="7">
        <v>0</v>
      </c>
      <c r="L34" s="6">
        <f t="shared" si="0"/>
        <v>58.82</v>
      </c>
      <c r="M34" s="6">
        <v>18.28</v>
      </c>
      <c r="N34" s="8">
        <f t="shared" si="1"/>
        <v>22.259999999999998</v>
      </c>
      <c r="O34" s="4" t="s">
        <v>40</v>
      </c>
      <c r="P34" s="4" t="s">
        <v>97</v>
      </c>
      <c r="Q34" s="4">
        <v>5</v>
      </c>
      <c r="R34" s="4" t="str">
        <f>TEXT(Table1[[#This Row],[Order Date]],"mmm")</f>
        <v>Jan</v>
      </c>
      <c r="S34" s="4" t="str">
        <f>TEXT(Table1[[#This Row],[Order Date]],"mm")</f>
        <v>01</v>
      </c>
      <c r="T34" s="4" t="str">
        <f>IF(Table1[[#This Row],[Sales]]&lt;0,"loss","profit")</f>
        <v>profit</v>
      </c>
      <c r="U34" s="4" t="str" cm="1">
        <f t="array" ref="U34">_xlfn.IFS(Table1[[#This Row],[Sales]]&gt;2000,"large",Table1[[#This Row],[Sales]]&gt;=500,"medium",Table1[[#This Row],[Sales]]&lt;500,"small")</f>
        <v>small</v>
      </c>
      <c r="V34" s="22">
        <f>Table1[[#This Row],[Profit]]/Table1[[#This Row],[Sales]]*100</f>
        <v>37.844270656239374</v>
      </c>
    </row>
    <row r="35" spans="1:22" x14ac:dyDescent="0.35">
      <c r="A35" s="4" t="s">
        <v>138</v>
      </c>
      <c r="B35" s="5">
        <v>45671</v>
      </c>
      <c r="C35" s="4" t="s">
        <v>139</v>
      </c>
      <c r="D35" s="4" t="s">
        <v>47</v>
      </c>
      <c r="E35" s="4" t="s">
        <v>87</v>
      </c>
      <c r="F35" s="4" t="s">
        <v>124</v>
      </c>
      <c r="G35" s="4" t="s">
        <v>67</v>
      </c>
      <c r="H35" s="4" t="s">
        <v>140</v>
      </c>
      <c r="I35" s="4">
        <v>6</v>
      </c>
      <c r="J35" s="6">
        <v>186.37</v>
      </c>
      <c r="K35" s="7">
        <v>0</v>
      </c>
      <c r="L35" s="6">
        <f t="shared" si="0"/>
        <v>1118.22</v>
      </c>
      <c r="M35" s="6">
        <v>135.13999999999999</v>
      </c>
      <c r="N35" s="8">
        <f t="shared" si="1"/>
        <v>307.38000000000011</v>
      </c>
      <c r="O35" s="4" t="s">
        <v>40</v>
      </c>
      <c r="P35" s="4" t="s">
        <v>56</v>
      </c>
      <c r="Q35" s="4">
        <v>5</v>
      </c>
      <c r="R35" s="4" t="str">
        <f>TEXT(Table1[[#This Row],[Order Date]],"mmm")</f>
        <v>Jan</v>
      </c>
      <c r="S35" s="4" t="str">
        <f>TEXT(Table1[[#This Row],[Order Date]],"mm")</f>
        <v>01</v>
      </c>
      <c r="T35" s="4" t="str">
        <f>IF(Table1[[#This Row],[Sales]]&lt;0,"loss","profit")</f>
        <v>profit</v>
      </c>
      <c r="U35" s="4" t="str" cm="1">
        <f t="array" ref="U35">_xlfn.IFS(Table1[[#This Row],[Sales]]&gt;2000,"large",Table1[[#This Row],[Sales]]&gt;=500,"medium",Table1[[#This Row],[Sales]]&lt;500,"small")</f>
        <v>medium</v>
      </c>
      <c r="V35" s="22">
        <f>Table1[[#This Row],[Profit]]/Table1[[#This Row],[Sales]]*100</f>
        <v>27.488329666791877</v>
      </c>
    </row>
    <row r="36" spans="1:22" x14ac:dyDescent="0.35">
      <c r="A36" s="4" t="s">
        <v>141</v>
      </c>
      <c r="B36" s="5">
        <v>45672</v>
      </c>
      <c r="C36" s="4" t="s">
        <v>142</v>
      </c>
      <c r="D36" s="4" t="s">
        <v>43</v>
      </c>
      <c r="E36" s="4" t="s">
        <v>36</v>
      </c>
      <c r="F36" s="4" t="s">
        <v>37</v>
      </c>
      <c r="G36" s="4" t="s">
        <v>67</v>
      </c>
      <c r="H36" s="4" t="s">
        <v>93</v>
      </c>
      <c r="I36" s="4">
        <v>1</v>
      </c>
      <c r="J36" s="6">
        <v>387.06</v>
      </c>
      <c r="K36" s="7">
        <v>0</v>
      </c>
      <c r="L36" s="6">
        <f t="shared" si="0"/>
        <v>387.06</v>
      </c>
      <c r="M36" s="6">
        <v>264.25</v>
      </c>
      <c r="N36" s="8">
        <f t="shared" si="1"/>
        <v>122.81</v>
      </c>
      <c r="O36" s="4" t="s">
        <v>60</v>
      </c>
      <c r="P36" s="4" t="s">
        <v>33</v>
      </c>
      <c r="Q36" s="4">
        <v>4</v>
      </c>
      <c r="R36" s="4" t="str">
        <f>TEXT(Table1[[#This Row],[Order Date]],"mmm")</f>
        <v>Jan</v>
      </c>
      <c r="S36" s="4" t="str">
        <f>TEXT(Table1[[#This Row],[Order Date]],"mm")</f>
        <v>01</v>
      </c>
      <c r="T36" s="4" t="str">
        <f>IF(Table1[[#This Row],[Sales]]&lt;0,"loss","profit")</f>
        <v>profit</v>
      </c>
      <c r="U36" s="4" t="str" cm="1">
        <f t="array" ref="U36">_xlfn.IFS(Table1[[#This Row],[Sales]]&gt;2000,"large",Table1[[#This Row],[Sales]]&gt;=500,"medium",Table1[[#This Row],[Sales]]&lt;500,"small")</f>
        <v>small</v>
      </c>
      <c r="V36" s="22">
        <f>Table1[[#This Row],[Profit]]/Table1[[#This Row],[Sales]]*100</f>
        <v>31.728930915103604</v>
      </c>
    </row>
    <row r="37" spans="1:22" x14ac:dyDescent="0.35">
      <c r="A37" s="4" t="s">
        <v>143</v>
      </c>
      <c r="B37" s="5">
        <v>45672</v>
      </c>
      <c r="C37" s="4" t="s">
        <v>144</v>
      </c>
      <c r="D37" s="4" t="s">
        <v>43</v>
      </c>
      <c r="E37" s="4" t="s">
        <v>21</v>
      </c>
      <c r="F37" s="4" t="s">
        <v>81</v>
      </c>
      <c r="G37" s="4" t="s">
        <v>67</v>
      </c>
      <c r="H37" s="4" t="s">
        <v>93</v>
      </c>
      <c r="I37" s="4">
        <v>5</v>
      </c>
      <c r="J37" s="6">
        <v>194.27</v>
      </c>
      <c r="K37" s="7">
        <v>0</v>
      </c>
      <c r="L37" s="6">
        <f t="shared" si="0"/>
        <v>971.35</v>
      </c>
      <c r="M37" s="6">
        <v>136.68</v>
      </c>
      <c r="N37" s="8">
        <f t="shared" si="1"/>
        <v>287.94999999999993</v>
      </c>
      <c r="O37" s="4" t="s">
        <v>51</v>
      </c>
      <c r="P37" s="4" t="s">
        <v>72</v>
      </c>
      <c r="Q37" s="4">
        <v>5</v>
      </c>
      <c r="R37" s="4" t="str">
        <f>TEXT(Table1[[#This Row],[Order Date]],"mmm")</f>
        <v>Jan</v>
      </c>
      <c r="S37" s="4" t="str">
        <f>TEXT(Table1[[#This Row],[Order Date]],"mm")</f>
        <v>01</v>
      </c>
      <c r="T37" s="4" t="str">
        <f>IF(Table1[[#This Row],[Sales]]&lt;0,"loss","profit")</f>
        <v>profit</v>
      </c>
      <c r="U37" s="4" t="str" cm="1">
        <f t="array" ref="U37">_xlfn.IFS(Table1[[#This Row],[Sales]]&gt;2000,"large",Table1[[#This Row],[Sales]]&gt;=500,"medium",Table1[[#This Row],[Sales]]&lt;500,"small")</f>
        <v>medium</v>
      </c>
      <c r="V37" s="22">
        <f>Table1[[#This Row],[Profit]]/Table1[[#This Row],[Sales]]*100</f>
        <v>29.644309466206821</v>
      </c>
    </row>
    <row r="38" spans="1:22" x14ac:dyDescent="0.35">
      <c r="A38" s="4" t="s">
        <v>145</v>
      </c>
      <c r="B38" s="5">
        <v>45672</v>
      </c>
      <c r="C38" s="4" t="s">
        <v>146</v>
      </c>
      <c r="D38" s="4" t="s">
        <v>43</v>
      </c>
      <c r="E38" s="4" t="s">
        <v>36</v>
      </c>
      <c r="F38" s="4" t="s">
        <v>48</v>
      </c>
      <c r="G38" s="4" t="s">
        <v>31</v>
      </c>
      <c r="H38" s="4" t="s">
        <v>147</v>
      </c>
      <c r="I38" s="4">
        <v>1</v>
      </c>
      <c r="J38" s="6">
        <v>82.85</v>
      </c>
      <c r="K38" s="7">
        <v>0.1</v>
      </c>
      <c r="L38" s="6">
        <f t="shared" si="0"/>
        <v>74.564999999999998</v>
      </c>
      <c r="M38" s="6">
        <v>51.24</v>
      </c>
      <c r="N38" s="8">
        <f t="shared" si="1"/>
        <v>23.324999999999996</v>
      </c>
      <c r="O38" s="4" t="s">
        <v>25</v>
      </c>
      <c r="P38" s="4" t="s">
        <v>75</v>
      </c>
      <c r="Q38" s="4">
        <v>3</v>
      </c>
      <c r="R38" s="4" t="str">
        <f>TEXT(Table1[[#This Row],[Order Date]],"mmm")</f>
        <v>Jan</v>
      </c>
      <c r="S38" s="4" t="str">
        <f>TEXT(Table1[[#This Row],[Order Date]],"mm")</f>
        <v>01</v>
      </c>
      <c r="T38" s="4" t="str">
        <f>IF(Table1[[#This Row],[Sales]]&lt;0,"loss","profit")</f>
        <v>profit</v>
      </c>
      <c r="U38" s="4" t="str" cm="1">
        <f t="array" ref="U38">_xlfn.IFS(Table1[[#This Row],[Sales]]&gt;2000,"large",Table1[[#This Row],[Sales]]&gt;=500,"medium",Table1[[#This Row],[Sales]]&lt;500,"small")</f>
        <v>small</v>
      </c>
      <c r="V38" s="22">
        <f>Table1[[#This Row],[Profit]]/Table1[[#This Row],[Sales]]*100</f>
        <v>31.281432307382818</v>
      </c>
    </row>
    <row r="39" spans="1:22" x14ac:dyDescent="0.35">
      <c r="A39" s="4" t="s">
        <v>148</v>
      </c>
      <c r="B39" s="5">
        <v>45673</v>
      </c>
      <c r="C39" s="4" t="s">
        <v>149</v>
      </c>
      <c r="D39" s="4" t="s">
        <v>43</v>
      </c>
      <c r="E39" s="4" t="s">
        <v>21</v>
      </c>
      <c r="F39" s="4" t="s">
        <v>22</v>
      </c>
      <c r="G39" s="4" t="s">
        <v>38</v>
      </c>
      <c r="H39" s="4" t="s">
        <v>96</v>
      </c>
      <c r="I39" s="4">
        <v>4</v>
      </c>
      <c r="J39" s="6">
        <v>188.27</v>
      </c>
      <c r="K39" s="7">
        <v>0</v>
      </c>
      <c r="L39" s="6">
        <f t="shared" si="0"/>
        <v>753.08</v>
      </c>
      <c r="M39" s="6">
        <v>148.52000000000001</v>
      </c>
      <c r="N39" s="8">
        <f t="shared" si="1"/>
        <v>159</v>
      </c>
      <c r="O39" s="4" t="s">
        <v>25</v>
      </c>
      <c r="P39" s="4" t="s">
        <v>61</v>
      </c>
      <c r="Q39" s="4">
        <v>4</v>
      </c>
      <c r="R39" s="4" t="str">
        <f>TEXT(Table1[[#This Row],[Order Date]],"mmm")</f>
        <v>Jan</v>
      </c>
      <c r="S39" s="4" t="str">
        <f>TEXT(Table1[[#This Row],[Order Date]],"mm")</f>
        <v>01</v>
      </c>
      <c r="T39" s="4" t="str">
        <f>IF(Table1[[#This Row],[Sales]]&lt;0,"loss","profit")</f>
        <v>profit</v>
      </c>
      <c r="U39" s="4" t="str" cm="1">
        <f t="array" ref="U39">_xlfn.IFS(Table1[[#This Row],[Sales]]&gt;2000,"large",Table1[[#This Row],[Sales]]&gt;=500,"medium",Table1[[#This Row],[Sales]]&lt;500,"small")</f>
        <v>medium</v>
      </c>
      <c r="V39" s="22">
        <f>Table1[[#This Row],[Profit]]/Table1[[#This Row],[Sales]]*100</f>
        <v>21.113294736282999</v>
      </c>
    </row>
    <row r="40" spans="1:22" x14ac:dyDescent="0.35">
      <c r="A40" s="4" t="s">
        <v>150</v>
      </c>
      <c r="B40" s="5">
        <v>45673</v>
      </c>
      <c r="C40" s="4" t="s">
        <v>151</v>
      </c>
      <c r="D40" s="4" t="s">
        <v>43</v>
      </c>
      <c r="E40" s="4" t="s">
        <v>21</v>
      </c>
      <c r="F40" s="4" t="s">
        <v>59</v>
      </c>
      <c r="G40" s="4" t="s">
        <v>31</v>
      </c>
      <c r="H40" s="4" t="s">
        <v>147</v>
      </c>
      <c r="I40" s="4">
        <v>1</v>
      </c>
      <c r="J40" s="6">
        <v>108.92</v>
      </c>
      <c r="K40" s="7">
        <v>0.05</v>
      </c>
      <c r="L40" s="6">
        <f t="shared" si="0"/>
        <v>103.474</v>
      </c>
      <c r="M40" s="6">
        <v>78.3</v>
      </c>
      <c r="N40" s="8">
        <f t="shared" si="1"/>
        <v>25.174000000000007</v>
      </c>
      <c r="O40" s="4" t="s">
        <v>51</v>
      </c>
      <c r="P40" s="4" t="s">
        <v>26</v>
      </c>
      <c r="Q40" s="4">
        <v>4</v>
      </c>
      <c r="R40" s="4" t="str">
        <f>TEXT(Table1[[#This Row],[Order Date]],"mmm")</f>
        <v>Jan</v>
      </c>
      <c r="S40" s="4" t="str">
        <f>TEXT(Table1[[#This Row],[Order Date]],"mm")</f>
        <v>01</v>
      </c>
      <c r="T40" s="4" t="str">
        <f>IF(Table1[[#This Row],[Sales]]&lt;0,"loss","profit")</f>
        <v>profit</v>
      </c>
      <c r="U40" s="4" t="str" cm="1">
        <f t="array" ref="U40">_xlfn.IFS(Table1[[#This Row],[Sales]]&gt;2000,"large",Table1[[#This Row],[Sales]]&gt;=500,"medium",Table1[[#This Row],[Sales]]&lt;500,"small")</f>
        <v>small</v>
      </c>
      <c r="V40" s="22">
        <f>Table1[[#This Row],[Profit]]/Table1[[#This Row],[Sales]]*100</f>
        <v>24.328816900863988</v>
      </c>
    </row>
    <row r="41" spans="1:22" x14ac:dyDescent="0.35">
      <c r="A41" s="4" t="s">
        <v>152</v>
      </c>
      <c r="B41" s="5">
        <v>45674</v>
      </c>
      <c r="C41" s="4" t="s">
        <v>91</v>
      </c>
      <c r="D41" s="4" t="s">
        <v>43</v>
      </c>
      <c r="E41" s="4" t="s">
        <v>36</v>
      </c>
      <c r="F41" s="4" t="s">
        <v>37</v>
      </c>
      <c r="G41" s="4" t="s">
        <v>38</v>
      </c>
      <c r="H41" s="4" t="s">
        <v>39</v>
      </c>
      <c r="I41" s="4">
        <v>3</v>
      </c>
      <c r="J41" s="6">
        <v>122.11</v>
      </c>
      <c r="K41" s="7">
        <v>0.05</v>
      </c>
      <c r="L41" s="6">
        <f t="shared" si="0"/>
        <v>348.01349999999996</v>
      </c>
      <c r="M41" s="6">
        <v>102.02</v>
      </c>
      <c r="N41" s="8">
        <f t="shared" si="1"/>
        <v>41.953499999999963</v>
      </c>
      <c r="O41" s="4" t="s">
        <v>60</v>
      </c>
      <c r="P41" s="4" t="s">
        <v>72</v>
      </c>
      <c r="Q41" s="4">
        <v>4</v>
      </c>
      <c r="R41" s="4" t="str">
        <f>TEXT(Table1[[#This Row],[Order Date]],"mmm")</f>
        <v>Jan</v>
      </c>
      <c r="S41" s="4" t="str">
        <f>TEXT(Table1[[#This Row],[Order Date]],"mm")</f>
        <v>01</v>
      </c>
      <c r="T41" s="4" t="str">
        <f>IF(Table1[[#This Row],[Sales]]&lt;0,"loss","profit")</f>
        <v>profit</v>
      </c>
      <c r="U41" s="4" t="str" cm="1">
        <f t="array" ref="U41">_xlfn.IFS(Table1[[#This Row],[Sales]]&gt;2000,"large",Table1[[#This Row],[Sales]]&gt;=500,"medium",Table1[[#This Row],[Sales]]&lt;500,"small")</f>
        <v>small</v>
      </c>
      <c r="V41" s="22">
        <f>Table1[[#This Row],[Profit]]/Table1[[#This Row],[Sales]]*100</f>
        <v>12.055135792145984</v>
      </c>
    </row>
    <row r="42" spans="1:22" x14ac:dyDescent="0.35">
      <c r="A42" s="4" t="s">
        <v>153</v>
      </c>
      <c r="B42" s="5">
        <v>45674</v>
      </c>
      <c r="C42" s="4" t="s">
        <v>154</v>
      </c>
      <c r="D42" s="4" t="s">
        <v>20</v>
      </c>
      <c r="E42" s="4" t="s">
        <v>87</v>
      </c>
      <c r="F42" s="4" t="s">
        <v>92</v>
      </c>
      <c r="G42" s="4" t="s">
        <v>23</v>
      </c>
      <c r="H42" s="4" t="s">
        <v>135</v>
      </c>
      <c r="I42" s="4">
        <v>1</v>
      </c>
      <c r="J42" s="6">
        <v>13.52</v>
      </c>
      <c r="K42" s="7">
        <v>0</v>
      </c>
      <c r="L42" s="6">
        <f t="shared" si="0"/>
        <v>13.52</v>
      </c>
      <c r="M42" s="6">
        <v>5.59</v>
      </c>
      <c r="N42" s="8">
        <f t="shared" si="1"/>
        <v>7.93</v>
      </c>
      <c r="O42" s="4" t="s">
        <v>40</v>
      </c>
      <c r="P42" s="4" t="s">
        <v>61</v>
      </c>
      <c r="Q42" s="4">
        <v>3</v>
      </c>
      <c r="R42" s="4" t="str">
        <f>TEXT(Table1[[#This Row],[Order Date]],"mmm")</f>
        <v>Jan</v>
      </c>
      <c r="S42" s="4" t="str">
        <f>TEXT(Table1[[#This Row],[Order Date]],"mm")</f>
        <v>01</v>
      </c>
      <c r="T42" s="4" t="str">
        <f>IF(Table1[[#This Row],[Sales]]&lt;0,"loss","profit")</f>
        <v>profit</v>
      </c>
      <c r="U42" s="4" t="str" cm="1">
        <f t="array" ref="U42">_xlfn.IFS(Table1[[#This Row],[Sales]]&gt;2000,"large",Table1[[#This Row],[Sales]]&gt;=500,"medium",Table1[[#This Row],[Sales]]&lt;500,"small")</f>
        <v>small</v>
      </c>
      <c r="V42" s="22">
        <f>Table1[[#This Row],[Profit]]/Table1[[#This Row],[Sales]]*100</f>
        <v>58.653846153846153</v>
      </c>
    </row>
    <row r="43" spans="1:22" x14ac:dyDescent="0.35">
      <c r="A43" s="4" t="s">
        <v>155</v>
      </c>
      <c r="B43" s="5">
        <v>45674</v>
      </c>
      <c r="C43" s="4" t="s">
        <v>156</v>
      </c>
      <c r="D43" s="4" t="s">
        <v>47</v>
      </c>
      <c r="E43" s="4" t="s">
        <v>36</v>
      </c>
      <c r="F43" s="4" t="s">
        <v>48</v>
      </c>
      <c r="G43" s="4" t="s">
        <v>23</v>
      </c>
      <c r="H43" s="4" t="s">
        <v>24</v>
      </c>
      <c r="I43" s="4">
        <v>2</v>
      </c>
      <c r="J43" s="6">
        <v>57.52</v>
      </c>
      <c r="K43" s="7">
        <v>0.1</v>
      </c>
      <c r="L43" s="6">
        <f t="shared" si="0"/>
        <v>103.536</v>
      </c>
      <c r="M43" s="6">
        <v>25.4</v>
      </c>
      <c r="N43" s="8">
        <f t="shared" si="1"/>
        <v>52.736000000000004</v>
      </c>
      <c r="O43" s="4" t="s">
        <v>40</v>
      </c>
      <c r="P43" s="4" t="s">
        <v>56</v>
      </c>
      <c r="Q43" s="4">
        <v>5</v>
      </c>
      <c r="R43" s="4" t="str">
        <f>TEXT(Table1[[#This Row],[Order Date]],"mmm")</f>
        <v>Jan</v>
      </c>
      <c r="S43" s="4" t="str">
        <f>TEXT(Table1[[#This Row],[Order Date]],"mm")</f>
        <v>01</v>
      </c>
      <c r="T43" s="4" t="str">
        <f>IF(Table1[[#This Row],[Sales]]&lt;0,"loss","profit")</f>
        <v>profit</v>
      </c>
      <c r="U43" s="4" t="str" cm="1">
        <f t="array" ref="U43">_xlfn.IFS(Table1[[#This Row],[Sales]]&gt;2000,"large",Table1[[#This Row],[Sales]]&gt;=500,"medium",Table1[[#This Row],[Sales]]&lt;500,"small")</f>
        <v>small</v>
      </c>
      <c r="V43" s="22">
        <f>Table1[[#This Row],[Profit]]/Table1[[#This Row],[Sales]]*100</f>
        <v>50.93494050378613</v>
      </c>
    </row>
    <row r="44" spans="1:22" x14ac:dyDescent="0.35">
      <c r="A44" s="4" t="s">
        <v>157</v>
      </c>
      <c r="B44" s="5">
        <v>45674</v>
      </c>
      <c r="C44" s="4" t="s">
        <v>158</v>
      </c>
      <c r="D44" s="4" t="s">
        <v>43</v>
      </c>
      <c r="E44" s="4" t="s">
        <v>21</v>
      </c>
      <c r="F44" s="4" t="s">
        <v>81</v>
      </c>
      <c r="G44" s="4" t="s">
        <v>23</v>
      </c>
      <c r="H44" s="4" t="s">
        <v>44</v>
      </c>
      <c r="I44" s="4">
        <v>1</v>
      </c>
      <c r="J44" s="6">
        <v>125.14</v>
      </c>
      <c r="K44" s="7">
        <v>0</v>
      </c>
      <c r="L44" s="6">
        <f t="shared" si="0"/>
        <v>125.14</v>
      </c>
      <c r="M44" s="6">
        <v>68.27</v>
      </c>
      <c r="N44" s="8">
        <f t="shared" si="1"/>
        <v>56.870000000000005</v>
      </c>
      <c r="O44" s="4" t="s">
        <v>25</v>
      </c>
      <c r="P44" s="4" t="s">
        <v>56</v>
      </c>
      <c r="Q44" s="4">
        <v>4</v>
      </c>
      <c r="R44" s="4" t="str">
        <f>TEXT(Table1[[#This Row],[Order Date]],"mmm")</f>
        <v>Jan</v>
      </c>
      <c r="S44" s="4" t="str">
        <f>TEXT(Table1[[#This Row],[Order Date]],"mm")</f>
        <v>01</v>
      </c>
      <c r="T44" s="4" t="str">
        <f>IF(Table1[[#This Row],[Sales]]&lt;0,"loss","profit")</f>
        <v>profit</v>
      </c>
      <c r="U44" s="4" t="str" cm="1">
        <f t="array" ref="U44">_xlfn.IFS(Table1[[#This Row],[Sales]]&gt;2000,"large",Table1[[#This Row],[Sales]]&gt;=500,"medium",Table1[[#This Row],[Sales]]&lt;500,"small")</f>
        <v>small</v>
      </c>
      <c r="V44" s="22">
        <f>Table1[[#This Row],[Profit]]/Table1[[#This Row],[Sales]]*100</f>
        <v>45.445101486335311</v>
      </c>
    </row>
    <row r="45" spans="1:22" x14ac:dyDescent="0.35">
      <c r="A45" s="4" t="s">
        <v>159</v>
      </c>
      <c r="B45" s="5">
        <v>45676</v>
      </c>
      <c r="C45" s="4" t="s">
        <v>160</v>
      </c>
      <c r="D45" s="4" t="s">
        <v>47</v>
      </c>
      <c r="E45" s="4" t="s">
        <v>29</v>
      </c>
      <c r="F45" s="4" t="s">
        <v>30</v>
      </c>
      <c r="G45" s="4" t="s">
        <v>38</v>
      </c>
      <c r="H45" s="4" t="s">
        <v>96</v>
      </c>
      <c r="I45" s="4">
        <v>4</v>
      </c>
      <c r="J45" s="6">
        <v>473.88</v>
      </c>
      <c r="K45" s="7">
        <v>0</v>
      </c>
      <c r="L45" s="6">
        <f t="shared" si="0"/>
        <v>1895.52</v>
      </c>
      <c r="M45" s="6">
        <v>389.25</v>
      </c>
      <c r="N45" s="8">
        <f t="shared" si="1"/>
        <v>338.52</v>
      </c>
      <c r="O45" s="4" t="s">
        <v>60</v>
      </c>
      <c r="P45" s="4" t="s">
        <v>56</v>
      </c>
      <c r="Q45" s="4">
        <v>4</v>
      </c>
      <c r="R45" s="4" t="str">
        <f>TEXT(Table1[[#This Row],[Order Date]],"mmm")</f>
        <v>Jan</v>
      </c>
      <c r="S45" s="4" t="str">
        <f>TEXT(Table1[[#This Row],[Order Date]],"mm")</f>
        <v>01</v>
      </c>
      <c r="T45" s="4" t="str">
        <f>IF(Table1[[#This Row],[Sales]]&lt;0,"loss","profit")</f>
        <v>profit</v>
      </c>
      <c r="U45" s="4" t="str" cm="1">
        <f t="array" ref="U45">_xlfn.IFS(Table1[[#This Row],[Sales]]&gt;2000,"large",Table1[[#This Row],[Sales]]&gt;=500,"medium",Table1[[#This Row],[Sales]]&lt;500,"small")</f>
        <v>medium</v>
      </c>
      <c r="V45" s="22">
        <f>Table1[[#This Row],[Profit]]/Table1[[#This Row],[Sales]]*100</f>
        <v>17.858951633324889</v>
      </c>
    </row>
    <row r="46" spans="1:22" x14ac:dyDescent="0.35">
      <c r="A46" s="4" t="s">
        <v>161</v>
      </c>
      <c r="B46" s="5">
        <v>45677</v>
      </c>
      <c r="C46" s="4" t="s">
        <v>162</v>
      </c>
      <c r="D46" s="4" t="s">
        <v>20</v>
      </c>
      <c r="E46" s="4" t="s">
        <v>87</v>
      </c>
      <c r="F46" s="4" t="s">
        <v>88</v>
      </c>
      <c r="G46" s="4" t="s">
        <v>38</v>
      </c>
      <c r="H46" s="4" t="s">
        <v>55</v>
      </c>
      <c r="I46" s="4">
        <v>1</v>
      </c>
      <c r="J46" s="6">
        <v>124.8</v>
      </c>
      <c r="K46" s="7">
        <v>0</v>
      </c>
      <c r="L46" s="6">
        <f t="shared" si="0"/>
        <v>124.8</v>
      </c>
      <c r="M46" s="6">
        <v>94.38</v>
      </c>
      <c r="N46" s="8">
        <f t="shared" si="1"/>
        <v>30.42</v>
      </c>
      <c r="O46" s="4" t="s">
        <v>84</v>
      </c>
      <c r="P46" s="4" t="s">
        <v>56</v>
      </c>
      <c r="Q46" s="4">
        <v>3</v>
      </c>
      <c r="R46" s="4" t="str">
        <f>TEXT(Table1[[#This Row],[Order Date]],"mmm")</f>
        <v>Jan</v>
      </c>
      <c r="S46" s="4" t="str">
        <f>TEXT(Table1[[#This Row],[Order Date]],"mm")</f>
        <v>01</v>
      </c>
      <c r="T46" s="4" t="str">
        <f>IF(Table1[[#This Row],[Sales]]&lt;0,"loss","profit")</f>
        <v>profit</v>
      </c>
      <c r="U46" s="4" t="str" cm="1">
        <f t="array" ref="U46">_xlfn.IFS(Table1[[#This Row],[Sales]]&gt;2000,"large",Table1[[#This Row],[Sales]]&gt;=500,"medium",Table1[[#This Row],[Sales]]&lt;500,"small")</f>
        <v>small</v>
      </c>
      <c r="V46" s="22">
        <f>Table1[[#This Row],[Profit]]/Table1[[#This Row],[Sales]]*100</f>
        <v>24.375000000000004</v>
      </c>
    </row>
    <row r="47" spans="1:22" x14ac:dyDescent="0.35">
      <c r="A47" s="4" t="s">
        <v>163</v>
      </c>
      <c r="B47" s="5">
        <v>45677</v>
      </c>
      <c r="C47" s="4" t="s">
        <v>164</v>
      </c>
      <c r="D47" s="4" t="s">
        <v>20</v>
      </c>
      <c r="E47" s="4" t="s">
        <v>29</v>
      </c>
      <c r="F47" s="4" t="s">
        <v>108</v>
      </c>
      <c r="G47" s="4" t="s">
        <v>31</v>
      </c>
      <c r="H47" s="4" t="s">
        <v>32</v>
      </c>
      <c r="I47" s="4">
        <v>6</v>
      </c>
      <c r="J47" s="6">
        <v>223.1</v>
      </c>
      <c r="K47" s="7">
        <v>0.05</v>
      </c>
      <c r="L47" s="6">
        <f t="shared" si="0"/>
        <v>1271.6699999999998</v>
      </c>
      <c r="M47" s="6">
        <v>142.16999999999999</v>
      </c>
      <c r="N47" s="8">
        <f t="shared" si="1"/>
        <v>418.64999999999986</v>
      </c>
      <c r="O47" s="4" t="s">
        <v>25</v>
      </c>
      <c r="P47" s="4" t="s">
        <v>118</v>
      </c>
      <c r="Q47" s="4">
        <v>3</v>
      </c>
      <c r="R47" s="4" t="str">
        <f>TEXT(Table1[[#This Row],[Order Date]],"mmm")</f>
        <v>Jan</v>
      </c>
      <c r="S47" s="4" t="str">
        <f>TEXT(Table1[[#This Row],[Order Date]],"mm")</f>
        <v>01</v>
      </c>
      <c r="T47" s="4" t="str">
        <f>IF(Table1[[#This Row],[Sales]]&lt;0,"loss","profit")</f>
        <v>profit</v>
      </c>
      <c r="U47" s="4" t="str" cm="1">
        <f t="array" ref="U47">_xlfn.IFS(Table1[[#This Row],[Sales]]&gt;2000,"large",Table1[[#This Row],[Sales]]&gt;=500,"medium",Table1[[#This Row],[Sales]]&lt;500,"small")</f>
        <v>medium</v>
      </c>
      <c r="V47" s="22">
        <f>Table1[[#This Row],[Profit]]/Table1[[#This Row],[Sales]]*100</f>
        <v>32.921276746325688</v>
      </c>
    </row>
    <row r="48" spans="1:22" x14ac:dyDescent="0.35">
      <c r="A48" s="4" t="s">
        <v>165</v>
      </c>
      <c r="B48" s="5">
        <v>45678</v>
      </c>
      <c r="C48" s="4" t="s">
        <v>166</v>
      </c>
      <c r="D48" s="4" t="s">
        <v>47</v>
      </c>
      <c r="E48" s="4" t="s">
        <v>21</v>
      </c>
      <c r="F48" s="4" t="s">
        <v>81</v>
      </c>
      <c r="G48" s="4" t="s">
        <v>38</v>
      </c>
      <c r="H48" s="4" t="s">
        <v>96</v>
      </c>
      <c r="I48" s="4">
        <v>2</v>
      </c>
      <c r="J48" s="6">
        <v>497.26</v>
      </c>
      <c r="K48" s="7">
        <v>0</v>
      </c>
      <c r="L48" s="6">
        <f t="shared" si="0"/>
        <v>994.52</v>
      </c>
      <c r="M48" s="6">
        <v>388.14</v>
      </c>
      <c r="N48" s="8">
        <f t="shared" si="1"/>
        <v>218.24</v>
      </c>
      <c r="O48" s="4" t="s">
        <v>60</v>
      </c>
      <c r="P48" s="4" t="s">
        <v>118</v>
      </c>
      <c r="Q48" s="4">
        <v>5</v>
      </c>
      <c r="R48" s="4" t="str">
        <f>TEXT(Table1[[#This Row],[Order Date]],"mmm")</f>
        <v>Jan</v>
      </c>
      <c r="S48" s="4" t="str">
        <f>TEXT(Table1[[#This Row],[Order Date]],"mm")</f>
        <v>01</v>
      </c>
      <c r="T48" s="4" t="str">
        <f>IF(Table1[[#This Row],[Sales]]&lt;0,"loss","profit")</f>
        <v>profit</v>
      </c>
      <c r="U48" s="4" t="str" cm="1">
        <f t="array" ref="U48">_xlfn.IFS(Table1[[#This Row],[Sales]]&gt;2000,"large",Table1[[#This Row],[Sales]]&gt;=500,"medium",Table1[[#This Row],[Sales]]&lt;500,"small")</f>
        <v>medium</v>
      </c>
      <c r="V48" s="22">
        <f>Table1[[#This Row],[Profit]]/Table1[[#This Row],[Sales]]*100</f>
        <v>21.944254514740781</v>
      </c>
    </row>
    <row r="49" spans="1:22" x14ac:dyDescent="0.35">
      <c r="A49" s="4" t="s">
        <v>167</v>
      </c>
      <c r="B49" s="5">
        <v>45678</v>
      </c>
      <c r="C49" s="4" t="s">
        <v>168</v>
      </c>
      <c r="D49" s="4" t="s">
        <v>43</v>
      </c>
      <c r="E49" s="4" t="s">
        <v>29</v>
      </c>
      <c r="F49" s="4" t="s">
        <v>108</v>
      </c>
      <c r="G49" s="4" t="s">
        <v>38</v>
      </c>
      <c r="H49" s="4" t="s">
        <v>89</v>
      </c>
      <c r="I49" s="4">
        <v>3</v>
      </c>
      <c r="J49" s="6">
        <v>1111.26</v>
      </c>
      <c r="K49" s="7">
        <v>0.1</v>
      </c>
      <c r="L49" s="6">
        <f t="shared" si="0"/>
        <v>3000.402</v>
      </c>
      <c r="M49" s="6">
        <v>915.61</v>
      </c>
      <c r="N49" s="8">
        <f t="shared" si="1"/>
        <v>253.57200000000012</v>
      </c>
      <c r="O49" s="4" t="s">
        <v>51</v>
      </c>
      <c r="P49" s="4" t="s">
        <v>72</v>
      </c>
      <c r="Q49" s="4">
        <v>4</v>
      </c>
      <c r="R49" s="4" t="str">
        <f>TEXT(Table1[[#This Row],[Order Date]],"mmm")</f>
        <v>Jan</v>
      </c>
      <c r="S49" s="4" t="str">
        <f>TEXT(Table1[[#This Row],[Order Date]],"mm")</f>
        <v>01</v>
      </c>
      <c r="T49" s="4" t="str">
        <f>IF(Table1[[#This Row],[Sales]]&lt;0,"loss","profit")</f>
        <v>profit</v>
      </c>
      <c r="U49" s="4" t="str" cm="1">
        <f t="array" ref="U49">_xlfn.IFS(Table1[[#This Row],[Sales]]&gt;2000,"large",Table1[[#This Row],[Sales]]&gt;=500,"medium",Table1[[#This Row],[Sales]]&lt;500,"small")</f>
        <v>large</v>
      </c>
      <c r="V49" s="22">
        <f>Table1[[#This Row],[Profit]]/Table1[[#This Row],[Sales]]*100</f>
        <v>8.4512675301509628</v>
      </c>
    </row>
    <row r="50" spans="1:22" x14ac:dyDescent="0.35">
      <c r="A50" s="4" t="s">
        <v>169</v>
      </c>
      <c r="B50" s="5">
        <v>45678</v>
      </c>
      <c r="C50" s="4" t="s">
        <v>170</v>
      </c>
      <c r="D50" s="4" t="s">
        <v>47</v>
      </c>
      <c r="E50" s="4" t="s">
        <v>36</v>
      </c>
      <c r="F50" s="4" t="s">
        <v>37</v>
      </c>
      <c r="G50" s="4" t="s">
        <v>23</v>
      </c>
      <c r="H50" s="4" t="s">
        <v>24</v>
      </c>
      <c r="I50" s="4">
        <v>1</v>
      </c>
      <c r="J50" s="6">
        <v>87.25</v>
      </c>
      <c r="K50" s="7">
        <v>0.1</v>
      </c>
      <c r="L50" s="6">
        <f t="shared" si="0"/>
        <v>78.525000000000006</v>
      </c>
      <c r="M50" s="6">
        <v>46.89</v>
      </c>
      <c r="N50" s="8">
        <f t="shared" si="1"/>
        <v>31.635000000000005</v>
      </c>
      <c r="O50" s="4" t="s">
        <v>40</v>
      </c>
      <c r="P50" s="4" t="s">
        <v>26</v>
      </c>
      <c r="Q50" s="4">
        <v>4</v>
      </c>
      <c r="R50" s="4" t="str">
        <f>TEXT(Table1[[#This Row],[Order Date]],"mmm")</f>
        <v>Jan</v>
      </c>
      <c r="S50" s="4" t="str">
        <f>TEXT(Table1[[#This Row],[Order Date]],"mm")</f>
        <v>01</v>
      </c>
      <c r="T50" s="4" t="str">
        <f>IF(Table1[[#This Row],[Sales]]&lt;0,"loss","profit")</f>
        <v>profit</v>
      </c>
      <c r="U50" s="4" t="str" cm="1">
        <f t="array" ref="U50">_xlfn.IFS(Table1[[#This Row],[Sales]]&gt;2000,"large",Table1[[#This Row],[Sales]]&gt;=500,"medium",Table1[[#This Row],[Sales]]&lt;500,"small")</f>
        <v>small</v>
      </c>
      <c r="V50" s="22">
        <f>Table1[[#This Row],[Profit]]/Table1[[#This Row],[Sales]]*100</f>
        <v>40.286532951289402</v>
      </c>
    </row>
    <row r="51" spans="1:22" x14ac:dyDescent="0.35">
      <c r="A51" s="4" t="s">
        <v>171</v>
      </c>
      <c r="B51" s="5">
        <v>45679</v>
      </c>
      <c r="C51" s="4" t="s">
        <v>172</v>
      </c>
      <c r="D51" s="4" t="s">
        <v>20</v>
      </c>
      <c r="E51" s="4" t="s">
        <v>29</v>
      </c>
      <c r="F51" s="4" t="s">
        <v>30</v>
      </c>
      <c r="G51" s="4" t="s">
        <v>23</v>
      </c>
      <c r="H51" s="4" t="s">
        <v>71</v>
      </c>
      <c r="I51" s="4">
        <v>3</v>
      </c>
      <c r="J51" s="6">
        <v>110.25</v>
      </c>
      <c r="K51" s="7">
        <v>0</v>
      </c>
      <c r="L51" s="6">
        <f t="shared" si="0"/>
        <v>330.75</v>
      </c>
      <c r="M51" s="6">
        <v>63.87</v>
      </c>
      <c r="N51" s="8">
        <f t="shared" si="1"/>
        <v>139.14000000000001</v>
      </c>
      <c r="O51" s="4" t="s">
        <v>25</v>
      </c>
      <c r="P51" s="4" t="s">
        <v>56</v>
      </c>
      <c r="Q51" s="4">
        <v>4</v>
      </c>
      <c r="R51" s="4" t="str">
        <f>TEXT(Table1[[#This Row],[Order Date]],"mmm")</f>
        <v>Jan</v>
      </c>
      <c r="S51" s="4" t="str">
        <f>TEXT(Table1[[#This Row],[Order Date]],"mm")</f>
        <v>01</v>
      </c>
      <c r="T51" s="4" t="str">
        <f>IF(Table1[[#This Row],[Sales]]&lt;0,"loss","profit")</f>
        <v>profit</v>
      </c>
      <c r="U51" s="4" t="str" cm="1">
        <f t="array" ref="U51">_xlfn.IFS(Table1[[#This Row],[Sales]]&gt;2000,"large",Table1[[#This Row],[Sales]]&gt;=500,"medium",Table1[[#This Row],[Sales]]&lt;500,"small")</f>
        <v>small</v>
      </c>
      <c r="V51" s="22">
        <f>Table1[[#This Row],[Profit]]/Table1[[#This Row],[Sales]]*100</f>
        <v>42.06802721088436</v>
      </c>
    </row>
    <row r="52" spans="1:22" x14ac:dyDescent="0.35">
      <c r="A52" s="4" t="s">
        <v>173</v>
      </c>
      <c r="B52" s="5">
        <v>45679</v>
      </c>
      <c r="C52" s="4" t="s">
        <v>174</v>
      </c>
      <c r="D52" s="4" t="s">
        <v>43</v>
      </c>
      <c r="E52" s="4" t="s">
        <v>87</v>
      </c>
      <c r="F52" s="4" t="s">
        <v>92</v>
      </c>
      <c r="G52" s="4" t="s">
        <v>23</v>
      </c>
      <c r="H52" s="4" t="s">
        <v>44</v>
      </c>
      <c r="I52" s="4">
        <v>1</v>
      </c>
      <c r="J52" s="6">
        <v>74.099999999999994</v>
      </c>
      <c r="K52" s="7">
        <v>0.1</v>
      </c>
      <c r="L52" s="6">
        <f t="shared" si="0"/>
        <v>66.69</v>
      </c>
      <c r="M52" s="6">
        <v>34.76</v>
      </c>
      <c r="N52" s="8">
        <f t="shared" si="1"/>
        <v>31.93</v>
      </c>
      <c r="O52" s="4" t="s">
        <v>40</v>
      </c>
      <c r="P52" s="4" t="s">
        <v>61</v>
      </c>
      <c r="Q52" s="4">
        <v>4</v>
      </c>
      <c r="R52" s="4" t="str">
        <f>TEXT(Table1[[#This Row],[Order Date]],"mmm")</f>
        <v>Jan</v>
      </c>
      <c r="S52" s="4" t="str">
        <f>TEXT(Table1[[#This Row],[Order Date]],"mm")</f>
        <v>01</v>
      </c>
      <c r="T52" s="4" t="str">
        <f>IF(Table1[[#This Row],[Sales]]&lt;0,"loss","profit")</f>
        <v>profit</v>
      </c>
      <c r="U52" s="4" t="str" cm="1">
        <f t="array" ref="U52">_xlfn.IFS(Table1[[#This Row],[Sales]]&gt;2000,"large",Table1[[#This Row],[Sales]]&gt;=500,"medium",Table1[[#This Row],[Sales]]&lt;500,"small")</f>
        <v>small</v>
      </c>
      <c r="V52" s="22">
        <f>Table1[[#This Row],[Profit]]/Table1[[#This Row],[Sales]]*100</f>
        <v>47.878242615084723</v>
      </c>
    </row>
    <row r="53" spans="1:22" x14ac:dyDescent="0.35">
      <c r="A53" s="4" t="s">
        <v>175</v>
      </c>
      <c r="B53" s="5">
        <v>45680</v>
      </c>
      <c r="C53" s="4" t="s">
        <v>176</v>
      </c>
      <c r="D53" s="4" t="s">
        <v>20</v>
      </c>
      <c r="E53" s="4" t="s">
        <v>36</v>
      </c>
      <c r="F53" s="4" t="s">
        <v>48</v>
      </c>
      <c r="G53" s="4" t="s">
        <v>49</v>
      </c>
      <c r="H53" s="4" t="s">
        <v>78</v>
      </c>
      <c r="I53" s="4">
        <v>3</v>
      </c>
      <c r="J53" s="6">
        <v>513.29999999999995</v>
      </c>
      <c r="K53" s="7">
        <v>0.15</v>
      </c>
      <c r="L53" s="6">
        <f t="shared" si="0"/>
        <v>1308.9149999999997</v>
      </c>
      <c r="M53" s="6">
        <v>318.91000000000003</v>
      </c>
      <c r="N53" s="8">
        <f t="shared" si="1"/>
        <v>352.18499999999972</v>
      </c>
      <c r="O53" s="4" t="s">
        <v>51</v>
      </c>
      <c r="P53" s="4" t="s">
        <v>56</v>
      </c>
      <c r="Q53" s="4">
        <v>4</v>
      </c>
      <c r="R53" s="4" t="str">
        <f>TEXT(Table1[[#This Row],[Order Date]],"mmm")</f>
        <v>Jan</v>
      </c>
      <c r="S53" s="4" t="str">
        <f>TEXT(Table1[[#This Row],[Order Date]],"mm")</f>
        <v>01</v>
      </c>
      <c r="T53" s="4" t="str">
        <f>IF(Table1[[#This Row],[Sales]]&lt;0,"loss","profit")</f>
        <v>profit</v>
      </c>
      <c r="U53" s="4" t="str" cm="1">
        <f t="array" ref="U53">_xlfn.IFS(Table1[[#This Row],[Sales]]&gt;2000,"large",Table1[[#This Row],[Sales]]&gt;=500,"medium",Table1[[#This Row],[Sales]]&lt;500,"small")</f>
        <v>medium</v>
      </c>
      <c r="V53" s="22">
        <f>Table1[[#This Row],[Profit]]/Table1[[#This Row],[Sales]]*100</f>
        <v>26.906636412601259</v>
      </c>
    </row>
    <row r="54" spans="1:22" x14ac:dyDescent="0.35">
      <c r="A54" s="4" t="s">
        <v>177</v>
      </c>
      <c r="B54" s="5">
        <v>45680</v>
      </c>
      <c r="C54" s="4" t="s">
        <v>178</v>
      </c>
      <c r="D54" s="4" t="s">
        <v>47</v>
      </c>
      <c r="E54" s="4" t="s">
        <v>87</v>
      </c>
      <c r="F54" s="4" t="s">
        <v>92</v>
      </c>
      <c r="G54" s="4" t="s">
        <v>23</v>
      </c>
      <c r="H54" s="4" t="s">
        <v>71</v>
      </c>
      <c r="I54" s="4">
        <v>8</v>
      </c>
      <c r="J54" s="6">
        <v>48.19</v>
      </c>
      <c r="K54" s="7">
        <v>0.05</v>
      </c>
      <c r="L54" s="6">
        <f t="shared" si="0"/>
        <v>366.24399999999997</v>
      </c>
      <c r="M54" s="6">
        <v>27.6</v>
      </c>
      <c r="N54" s="8">
        <f t="shared" si="1"/>
        <v>145.44399999999996</v>
      </c>
      <c r="O54" s="4" t="s">
        <v>84</v>
      </c>
      <c r="P54" s="4" t="s">
        <v>56</v>
      </c>
      <c r="Q54" s="4">
        <v>3</v>
      </c>
      <c r="R54" s="4" t="str">
        <f>TEXT(Table1[[#This Row],[Order Date]],"mmm")</f>
        <v>Jan</v>
      </c>
      <c r="S54" s="4" t="str">
        <f>TEXT(Table1[[#This Row],[Order Date]],"mm")</f>
        <v>01</v>
      </c>
      <c r="T54" s="4" t="str">
        <f>IF(Table1[[#This Row],[Sales]]&lt;0,"loss","profit")</f>
        <v>profit</v>
      </c>
      <c r="U54" s="4" t="str" cm="1">
        <f t="array" ref="U54">_xlfn.IFS(Table1[[#This Row],[Sales]]&gt;2000,"large",Table1[[#This Row],[Sales]]&gt;=500,"medium",Table1[[#This Row],[Sales]]&lt;500,"small")</f>
        <v>small</v>
      </c>
      <c r="V54" s="22">
        <f>Table1[[#This Row],[Profit]]/Table1[[#This Row],[Sales]]*100</f>
        <v>39.71232293225281</v>
      </c>
    </row>
    <row r="55" spans="1:22" x14ac:dyDescent="0.35">
      <c r="A55" s="4" t="s">
        <v>179</v>
      </c>
      <c r="B55" s="5">
        <v>45680</v>
      </c>
      <c r="C55" s="4" t="s">
        <v>180</v>
      </c>
      <c r="D55" s="4" t="s">
        <v>20</v>
      </c>
      <c r="E55" s="4" t="s">
        <v>87</v>
      </c>
      <c r="F55" s="4" t="s">
        <v>124</v>
      </c>
      <c r="G55" s="4" t="s">
        <v>31</v>
      </c>
      <c r="H55" s="4" t="s">
        <v>147</v>
      </c>
      <c r="I55" s="4">
        <v>2</v>
      </c>
      <c r="J55" s="6">
        <v>87.88</v>
      </c>
      <c r="K55" s="7">
        <v>0</v>
      </c>
      <c r="L55" s="6">
        <f t="shared" si="0"/>
        <v>175.76</v>
      </c>
      <c r="M55" s="6">
        <v>50.51</v>
      </c>
      <c r="N55" s="8">
        <f t="shared" si="1"/>
        <v>74.739999999999995</v>
      </c>
      <c r="O55" s="4" t="s">
        <v>84</v>
      </c>
      <c r="P55" s="4" t="s">
        <v>26</v>
      </c>
      <c r="Q55" s="4">
        <v>2</v>
      </c>
      <c r="R55" s="4" t="str">
        <f>TEXT(Table1[[#This Row],[Order Date]],"mmm")</f>
        <v>Jan</v>
      </c>
      <c r="S55" s="4" t="str">
        <f>TEXT(Table1[[#This Row],[Order Date]],"mm")</f>
        <v>01</v>
      </c>
      <c r="T55" s="4" t="str">
        <f>IF(Table1[[#This Row],[Sales]]&lt;0,"loss","profit")</f>
        <v>profit</v>
      </c>
      <c r="U55" s="4" t="str" cm="1">
        <f t="array" ref="U55">_xlfn.IFS(Table1[[#This Row],[Sales]]&gt;2000,"large",Table1[[#This Row],[Sales]]&gt;=500,"medium",Table1[[#This Row],[Sales]]&lt;500,"small")</f>
        <v>small</v>
      </c>
      <c r="V55" s="22">
        <f>Table1[[#This Row],[Profit]]/Table1[[#This Row],[Sales]]*100</f>
        <v>42.523896222121074</v>
      </c>
    </row>
    <row r="56" spans="1:22" x14ac:dyDescent="0.35">
      <c r="A56" s="4" t="s">
        <v>181</v>
      </c>
      <c r="B56" s="5">
        <v>45681</v>
      </c>
      <c r="C56" s="4" t="s">
        <v>35</v>
      </c>
      <c r="D56" s="4" t="s">
        <v>47</v>
      </c>
      <c r="E56" s="4" t="s">
        <v>29</v>
      </c>
      <c r="F56" s="4" t="s">
        <v>54</v>
      </c>
      <c r="G56" s="4" t="s">
        <v>67</v>
      </c>
      <c r="H56" s="4" t="s">
        <v>93</v>
      </c>
      <c r="I56" s="4">
        <v>2</v>
      </c>
      <c r="J56" s="6">
        <v>585.4</v>
      </c>
      <c r="K56" s="7">
        <v>0</v>
      </c>
      <c r="L56" s="6">
        <f t="shared" si="0"/>
        <v>1170.8</v>
      </c>
      <c r="M56" s="6">
        <v>396.83</v>
      </c>
      <c r="N56" s="8">
        <f t="shared" si="1"/>
        <v>377.14</v>
      </c>
      <c r="O56" s="4" t="s">
        <v>25</v>
      </c>
      <c r="P56" s="4" t="s">
        <v>26</v>
      </c>
      <c r="Q56" s="4">
        <v>4</v>
      </c>
      <c r="R56" s="4" t="str">
        <f>TEXT(Table1[[#This Row],[Order Date]],"mmm")</f>
        <v>Jan</v>
      </c>
      <c r="S56" s="4" t="str">
        <f>TEXT(Table1[[#This Row],[Order Date]],"mm")</f>
        <v>01</v>
      </c>
      <c r="T56" s="4" t="str">
        <f>IF(Table1[[#This Row],[Sales]]&lt;0,"loss","profit")</f>
        <v>profit</v>
      </c>
      <c r="U56" s="4" t="str" cm="1">
        <f t="array" ref="U56">_xlfn.IFS(Table1[[#This Row],[Sales]]&gt;2000,"large",Table1[[#This Row],[Sales]]&gt;=500,"medium",Table1[[#This Row],[Sales]]&lt;500,"small")</f>
        <v>medium</v>
      </c>
      <c r="V56" s="22">
        <f>Table1[[#This Row],[Profit]]/Table1[[#This Row],[Sales]]*100</f>
        <v>32.212162623846943</v>
      </c>
    </row>
    <row r="57" spans="1:22" x14ac:dyDescent="0.35">
      <c r="A57" s="4" t="s">
        <v>182</v>
      </c>
      <c r="B57" s="5">
        <v>45681</v>
      </c>
      <c r="C57" s="4" t="s">
        <v>183</v>
      </c>
      <c r="D57" s="4" t="s">
        <v>47</v>
      </c>
      <c r="E57" s="4" t="s">
        <v>87</v>
      </c>
      <c r="F57" s="4" t="s">
        <v>88</v>
      </c>
      <c r="G57" s="4" t="s">
        <v>67</v>
      </c>
      <c r="H57" s="4" t="s">
        <v>68</v>
      </c>
      <c r="I57" s="4">
        <v>5</v>
      </c>
      <c r="J57" s="6">
        <v>752.62</v>
      </c>
      <c r="K57" s="7">
        <v>0</v>
      </c>
      <c r="L57" s="6">
        <f t="shared" si="0"/>
        <v>3763.1</v>
      </c>
      <c r="M57" s="6">
        <v>539.08000000000004</v>
      </c>
      <c r="N57" s="8">
        <f t="shared" si="1"/>
        <v>1067.6999999999998</v>
      </c>
      <c r="O57" s="4" t="s">
        <v>40</v>
      </c>
      <c r="P57" s="4" t="s">
        <v>118</v>
      </c>
      <c r="Q57" s="4">
        <v>4</v>
      </c>
      <c r="R57" s="4" t="str">
        <f>TEXT(Table1[[#This Row],[Order Date]],"mmm")</f>
        <v>Jan</v>
      </c>
      <c r="S57" s="4" t="str">
        <f>TEXT(Table1[[#This Row],[Order Date]],"mm")</f>
        <v>01</v>
      </c>
      <c r="T57" s="4" t="str">
        <f>IF(Table1[[#This Row],[Sales]]&lt;0,"loss","profit")</f>
        <v>profit</v>
      </c>
      <c r="U57" s="4" t="str" cm="1">
        <f t="array" ref="U57">_xlfn.IFS(Table1[[#This Row],[Sales]]&gt;2000,"large",Table1[[#This Row],[Sales]]&gt;=500,"medium",Table1[[#This Row],[Sales]]&lt;500,"small")</f>
        <v>large</v>
      </c>
      <c r="V57" s="22">
        <f>Table1[[#This Row],[Profit]]/Table1[[#This Row],[Sales]]*100</f>
        <v>28.372884058356142</v>
      </c>
    </row>
    <row r="58" spans="1:22" x14ac:dyDescent="0.35">
      <c r="A58" s="4" t="s">
        <v>184</v>
      </c>
      <c r="B58" s="5">
        <v>45681</v>
      </c>
      <c r="C58" s="4" t="s">
        <v>156</v>
      </c>
      <c r="D58" s="4" t="s">
        <v>47</v>
      </c>
      <c r="E58" s="4" t="s">
        <v>87</v>
      </c>
      <c r="F58" s="4" t="s">
        <v>92</v>
      </c>
      <c r="G58" s="4" t="s">
        <v>38</v>
      </c>
      <c r="H58" s="4" t="s">
        <v>39</v>
      </c>
      <c r="I58" s="4">
        <v>2</v>
      </c>
      <c r="J58" s="6">
        <v>394.93</v>
      </c>
      <c r="K58" s="7">
        <v>0.05</v>
      </c>
      <c r="L58" s="6">
        <f t="shared" si="0"/>
        <v>750.36699999999996</v>
      </c>
      <c r="M58" s="6">
        <v>338.55</v>
      </c>
      <c r="N58" s="8">
        <f t="shared" si="1"/>
        <v>73.266999999999939</v>
      </c>
      <c r="O58" s="4" t="s">
        <v>84</v>
      </c>
      <c r="P58" s="4" t="s">
        <v>26</v>
      </c>
      <c r="Q58" s="4">
        <v>5</v>
      </c>
      <c r="R58" s="4" t="str">
        <f>TEXT(Table1[[#This Row],[Order Date]],"mmm")</f>
        <v>Jan</v>
      </c>
      <c r="S58" s="4" t="str">
        <f>TEXT(Table1[[#This Row],[Order Date]],"mm")</f>
        <v>01</v>
      </c>
      <c r="T58" s="4" t="str">
        <f>IF(Table1[[#This Row],[Sales]]&lt;0,"loss","profit")</f>
        <v>profit</v>
      </c>
      <c r="U58" s="4" t="str" cm="1">
        <f t="array" ref="U58">_xlfn.IFS(Table1[[#This Row],[Sales]]&gt;2000,"large",Table1[[#This Row],[Sales]]&gt;=500,"medium",Table1[[#This Row],[Sales]]&lt;500,"small")</f>
        <v>medium</v>
      </c>
      <c r="V58" s="22">
        <f>Table1[[#This Row],[Profit]]/Table1[[#This Row],[Sales]]*100</f>
        <v>9.7641554066210201</v>
      </c>
    </row>
    <row r="59" spans="1:22" x14ac:dyDescent="0.35">
      <c r="A59" s="4" t="s">
        <v>185</v>
      </c>
      <c r="B59" s="5">
        <v>45682</v>
      </c>
      <c r="C59" s="4" t="s">
        <v>186</v>
      </c>
      <c r="D59" s="4" t="s">
        <v>43</v>
      </c>
      <c r="E59" s="4" t="s">
        <v>87</v>
      </c>
      <c r="F59" s="4" t="s">
        <v>92</v>
      </c>
      <c r="G59" s="4" t="s">
        <v>49</v>
      </c>
      <c r="H59" s="4" t="s">
        <v>187</v>
      </c>
      <c r="I59" s="4">
        <v>10</v>
      </c>
      <c r="J59" s="6">
        <v>37.99</v>
      </c>
      <c r="K59" s="7">
        <v>0</v>
      </c>
      <c r="L59" s="6">
        <f t="shared" si="0"/>
        <v>379.90000000000003</v>
      </c>
      <c r="M59" s="6">
        <v>24.68</v>
      </c>
      <c r="N59" s="8">
        <f t="shared" si="1"/>
        <v>133.10000000000002</v>
      </c>
      <c r="O59" s="4" t="s">
        <v>60</v>
      </c>
      <c r="P59" s="4" t="s">
        <v>118</v>
      </c>
      <c r="Q59" s="4">
        <v>5</v>
      </c>
      <c r="R59" s="4" t="str">
        <f>TEXT(Table1[[#This Row],[Order Date]],"mmm")</f>
        <v>Jan</v>
      </c>
      <c r="S59" s="4" t="str">
        <f>TEXT(Table1[[#This Row],[Order Date]],"mm")</f>
        <v>01</v>
      </c>
      <c r="T59" s="4" t="str">
        <f>IF(Table1[[#This Row],[Sales]]&lt;0,"loss","profit")</f>
        <v>profit</v>
      </c>
      <c r="U59" s="4" t="str" cm="1">
        <f t="array" ref="U59">_xlfn.IFS(Table1[[#This Row],[Sales]]&gt;2000,"large",Table1[[#This Row],[Sales]]&gt;=500,"medium",Table1[[#This Row],[Sales]]&lt;500,"small")</f>
        <v>small</v>
      </c>
      <c r="V59" s="22">
        <f>Table1[[#This Row],[Profit]]/Table1[[#This Row],[Sales]]*100</f>
        <v>35.035535667280868</v>
      </c>
    </row>
    <row r="60" spans="1:22" x14ac:dyDescent="0.35">
      <c r="A60" s="4" t="s">
        <v>188</v>
      </c>
      <c r="B60" s="5">
        <v>45683</v>
      </c>
      <c r="C60" s="4" t="s">
        <v>189</v>
      </c>
      <c r="D60" s="4" t="s">
        <v>47</v>
      </c>
      <c r="E60" s="4" t="s">
        <v>87</v>
      </c>
      <c r="F60" s="4" t="s">
        <v>124</v>
      </c>
      <c r="G60" s="4" t="s">
        <v>38</v>
      </c>
      <c r="H60" s="4" t="s">
        <v>55</v>
      </c>
      <c r="I60" s="4">
        <v>2</v>
      </c>
      <c r="J60" s="6">
        <v>277.7</v>
      </c>
      <c r="K60" s="7">
        <v>0.1</v>
      </c>
      <c r="L60" s="6">
        <f t="shared" si="0"/>
        <v>499.86</v>
      </c>
      <c r="M60" s="6">
        <v>230.25</v>
      </c>
      <c r="N60" s="8">
        <f t="shared" si="1"/>
        <v>39.360000000000014</v>
      </c>
      <c r="O60" s="4" t="s">
        <v>25</v>
      </c>
      <c r="P60" s="4" t="s">
        <v>72</v>
      </c>
      <c r="Q60" s="4">
        <v>5</v>
      </c>
      <c r="R60" s="4" t="str">
        <f>TEXT(Table1[[#This Row],[Order Date]],"mmm")</f>
        <v>Jan</v>
      </c>
      <c r="S60" s="4" t="str">
        <f>TEXT(Table1[[#This Row],[Order Date]],"mm")</f>
        <v>01</v>
      </c>
      <c r="T60" s="4" t="str">
        <f>IF(Table1[[#This Row],[Sales]]&lt;0,"loss","profit")</f>
        <v>profit</v>
      </c>
      <c r="U60" s="4" t="str" cm="1">
        <f t="array" ref="U60">_xlfn.IFS(Table1[[#This Row],[Sales]]&gt;2000,"large",Table1[[#This Row],[Sales]]&gt;=500,"medium",Table1[[#This Row],[Sales]]&lt;500,"small")</f>
        <v>small</v>
      </c>
      <c r="V60" s="22">
        <f>Table1[[#This Row],[Profit]]/Table1[[#This Row],[Sales]]*100</f>
        <v>7.8742047773376562</v>
      </c>
    </row>
    <row r="61" spans="1:22" x14ac:dyDescent="0.35">
      <c r="A61" s="4" t="s">
        <v>190</v>
      </c>
      <c r="B61" s="5">
        <v>45683</v>
      </c>
      <c r="C61" s="4" t="s">
        <v>191</v>
      </c>
      <c r="D61" s="4" t="s">
        <v>43</v>
      </c>
      <c r="E61" s="4" t="s">
        <v>36</v>
      </c>
      <c r="F61" s="4" t="s">
        <v>48</v>
      </c>
      <c r="G61" s="4" t="s">
        <v>23</v>
      </c>
      <c r="H61" s="4" t="s">
        <v>44</v>
      </c>
      <c r="I61" s="4">
        <v>1</v>
      </c>
      <c r="J61" s="6">
        <v>53.34</v>
      </c>
      <c r="K61" s="7">
        <v>0.05</v>
      </c>
      <c r="L61" s="6">
        <f t="shared" si="0"/>
        <v>50.673000000000002</v>
      </c>
      <c r="M61" s="6">
        <v>30.83</v>
      </c>
      <c r="N61" s="8">
        <f t="shared" si="1"/>
        <v>19.843000000000004</v>
      </c>
      <c r="O61" s="4" t="s">
        <v>60</v>
      </c>
      <c r="P61" s="4" t="s">
        <v>56</v>
      </c>
      <c r="Q61" s="4">
        <v>5</v>
      </c>
      <c r="R61" s="4" t="str">
        <f>TEXT(Table1[[#This Row],[Order Date]],"mmm")</f>
        <v>Jan</v>
      </c>
      <c r="S61" s="4" t="str">
        <f>TEXT(Table1[[#This Row],[Order Date]],"mm")</f>
        <v>01</v>
      </c>
      <c r="T61" s="4" t="str">
        <f>IF(Table1[[#This Row],[Sales]]&lt;0,"loss","profit")</f>
        <v>profit</v>
      </c>
      <c r="U61" s="4" t="str" cm="1">
        <f t="array" ref="U61">_xlfn.IFS(Table1[[#This Row],[Sales]]&gt;2000,"large",Table1[[#This Row],[Sales]]&gt;=500,"medium",Table1[[#This Row],[Sales]]&lt;500,"small")</f>
        <v>small</v>
      </c>
      <c r="V61" s="22">
        <f>Table1[[#This Row],[Profit]]/Table1[[#This Row],[Sales]]*100</f>
        <v>39.158920924358142</v>
      </c>
    </row>
    <row r="62" spans="1:22" x14ac:dyDescent="0.35">
      <c r="A62" s="4" t="s">
        <v>192</v>
      </c>
      <c r="B62" s="5">
        <v>45683</v>
      </c>
      <c r="C62" s="4" t="s">
        <v>193</v>
      </c>
      <c r="D62" s="4" t="s">
        <v>20</v>
      </c>
      <c r="E62" s="4" t="s">
        <v>87</v>
      </c>
      <c r="F62" s="4" t="s">
        <v>92</v>
      </c>
      <c r="G62" s="4" t="s">
        <v>23</v>
      </c>
      <c r="H62" s="4" t="s">
        <v>135</v>
      </c>
      <c r="I62" s="4">
        <v>2</v>
      </c>
      <c r="J62" s="6">
        <v>25.06</v>
      </c>
      <c r="K62" s="7">
        <v>0.1</v>
      </c>
      <c r="L62" s="6">
        <f t="shared" si="0"/>
        <v>45.107999999999997</v>
      </c>
      <c r="M62" s="6">
        <v>12.69</v>
      </c>
      <c r="N62" s="8">
        <f t="shared" si="1"/>
        <v>19.727999999999998</v>
      </c>
      <c r="O62" s="4" t="s">
        <v>40</v>
      </c>
      <c r="P62" s="4" t="s">
        <v>61</v>
      </c>
      <c r="Q62" s="4">
        <v>4</v>
      </c>
      <c r="R62" s="4" t="str">
        <f>TEXT(Table1[[#This Row],[Order Date]],"mmm")</f>
        <v>Jan</v>
      </c>
      <c r="S62" s="4" t="str">
        <f>TEXT(Table1[[#This Row],[Order Date]],"mm")</f>
        <v>01</v>
      </c>
      <c r="T62" s="4" t="str">
        <f>IF(Table1[[#This Row],[Sales]]&lt;0,"loss","profit")</f>
        <v>profit</v>
      </c>
      <c r="U62" s="4" t="str" cm="1">
        <f t="array" ref="U62">_xlfn.IFS(Table1[[#This Row],[Sales]]&gt;2000,"large",Table1[[#This Row],[Sales]]&gt;=500,"medium",Table1[[#This Row],[Sales]]&lt;500,"small")</f>
        <v>small</v>
      </c>
      <c r="V62" s="22">
        <f>Table1[[#This Row],[Profit]]/Table1[[#This Row],[Sales]]*100</f>
        <v>43.735035913806861</v>
      </c>
    </row>
    <row r="63" spans="1:22" x14ac:dyDescent="0.35">
      <c r="A63" s="4" t="s">
        <v>194</v>
      </c>
      <c r="B63" s="5">
        <v>45683</v>
      </c>
      <c r="C63" s="4" t="s">
        <v>195</v>
      </c>
      <c r="D63" s="4" t="s">
        <v>43</v>
      </c>
      <c r="E63" s="4" t="s">
        <v>21</v>
      </c>
      <c r="F63" s="4" t="s">
        <v>81</v>
      </c>
      <c r="G63" s="4" t="s">
        <v>38</v>
      </c>
      <c r="H63" s="4" t="s">
        <v>55</v>
      </c>
      <c r="I63" s="4">
        <v>5</v>
      </c>
      <c r="J63" s="6">
        <v>48.27</v>
      </c>
      <c r="K63" s="7">
        <v>0</v>
      </c>
      <c r="L63" s="6">
        <f t="shared" si="0"/>
        <v>241.35000000000002</v>
      </c>
      <c r="M63" s="6">
        <v>39.630000000000003</v>
      </c>
      <c r="N63" s="8">
        <f t="shared" si="1"/>
        <v>43.200000000000017</v>
      </c>
      <c r="O63" s="4" t="s">
        <v>25</v>
      </c>
      <c r="P63" s="4" t="s">
        <v>75</v>
      </c>
      <c r="Q63" s="4">
        <v>4</v>
      </c>
      <c r="R63" s="4" t="str">
        <f>TEXT(Table1[[#This Row],[Order Date]],"mmm")</f>
        <v>Jan</v>
      </c>
      <c r="S63" s="4" t="str">
        <f>TEXT(Table1[[#This Row],[Order Date]],"mm")</f>
        <v>01</v>
      </c>
      <c r="T63" s="4" t="str">
        <f>IF(Table1[[#This Row],[Sales]]&lt;0,"loss","profit")</f>
        <v>profit</v>
      </c>
      <c r="U63" s="4" t="str" cm="1">
        <f t="array" ref="U63">_xlfn.IFS(Table1[[#This Row],[Sales]]&gt;2000,"large",Table1[[#This Row],[Sales]]&gt;=500,"medium",Table1[[#This Row],[Sales]]&lt;500,"small")</f>
        <v>small</v>
      </c>
      <c r="V63" s="22">
        <f>Table1[[#This Row],[Profit]]/Table1[[#This Row],[Sales]]*100</f>
        <v>17.899316345556251</v>
      </c>
    </row>
    <row r="64" spans="1:22" x14ac:dyDescent="0.35">
      <c r="A64" s="4" t="s">
        <v>196</v>
      </c>
      <c r="B64" s="5">
        <v>45684</v>
      </c>
      <c r="C64" s="4" t="s">
        <v>197</v>
      </c>
      <c r="D64" s="4" t="s">
        <v>47</v>
      </c>
      <c r="E64" s="4" t="s">
        <v>36</v>
      </c>
      <c r="F64" s="4" t="s">
        <v>48</v>
      </c>
      <c r="G64" s="4" t="s">
        <v>38</v>
      </c>
      <c r="H64" s="4" t="s">
        <v>109</v>
      </c>
      <c r="I64" s="4">
        <v>1</v>
      </c>
      <c r="J64" s="6">
        <v>886.35</v>
      </c>
      <c r="K64" s="7">
        <v>0.05</v>
      </c>
      <c r="L64" s="6">
        <f t="shared" si="0"/>
        <v>842.03250000000003</v>
      </c>
      <c r="M64" s="6">
        <v>714.19</v>
      </c>
      <c r="N64" s="8">
        <f t="shared" si="1"/>
        <v>127.84249999999997</v>
      </c>
      <c r="O64" s="4" t="s">
        <v>40</v>
      </c>
      <c r="P64" s="4" t="s">
        <v>26</v>
      </c>
      <c r="Q64" s="4">
        <v>4</v>
      </c>
      <c r="R64" s="4" t="str">
        <f>TEXT(Table1[[#This Row],[Order Date]],"mmm")</f>
        <v>Jan</v>
      </c>
      <c r="S64" s="4" t="str">
        <f>TEXT(Table1[[#This Row],[Order Date]],"mm")</f>
        <v>01</v>
      </c>
      <c r="T64" s="4" t="str">
        <f>IF(Table1[[#This Row],[Sales]]&lt;0,"loss","profit")</f>
        <v>profit</v>
      </c>
      <c r="U64" s="4" t="str" cm="1">
        <f t="array" ref="U64">_xlfn.IFS(Table1[[#This Row],[Sales]]&gt;2000,"large",Table1[[#This Row],[Sales]]&gt;=500,"medium",Table1[[#This Row],[Sales]]&lt;500,"small")</f>
        <v>medium</v>
      </c>
      <c r="V64" s="22">
        <f>Table1[[#This Row],[Profit]]/Table1[[#This Row],[Sales]]*100</f>
        <v>15.182608747287066</v>
      </c>
    </row>
    <row r="65" spans="1:22" x14ac:dyDescent="0.35">
      <c r="A65" s="4" t="s">
        <v>198</v>
      </c>
      <c r="B65" s="5">
        <v>45684</v>
      </c>
      <c r="C65" s="4" t="s">
        <v>168</v>
      </c>
      <c r="D65" s="4" t="s">
        <v>43</v>
      </c>
      <c r="E65" s="4" t="s">
        <v>21</v>
      </c>
      <c r="F65" s="4" t="s">
        <v>81</v>
      </c>
      <c r="G65" s="4" t="s">
        <v>31</v>
      </c>
      <c r="H65" s="4" t="s">
        <v>147</v>
      </c>
      <c r="I65" s="4">
        <v>1</v>
      </c>
      <c r="J65" s="6">
        <v>93.02</v>
      </c>
      <c r="K65" s="7">
        <v>0.1</v>
      </c>
      <c r="L65" s="6">
        <f t="shared" si="0"/>
        <v>83.718000000000004</v>
      </c>
      <c r="M65" s="6">
        <v>52.21</v>
      </c>
      <c r="N65" s="8">
        <f t="shared" si="1"/>
        <v>31.508000000000003</v>
      </c>
      <c r="O65" s="4" t="s">
        <v>25</v>
      </c>
      <c r="P65" s="4" t="s">
        <v>97</v>
      </c>
      <c r="Q65" s="4">
        <v>5</v>
      </c>
      <c r="R65" s="4" t="str">
        <f>TEXT(Table1[[#This Row],[Order Date]],"mmm")</f>
        <v>Jan</v>
      </c>
      <c r="S65" s="4" t="str">
        <f>TEXT(Table1[[#This Row],[Order Date]],"mm")</f>
        <v>01</v>
      </c>
      <c r="T65" s="4" t="str">
        <f>IF(Table1[[#This Row],[Sales]]&lt;0,"loss","profit")</f>
        <v>profit</v>
      </c>
      <c r="U65" s="4" t="str" cm="1">
        <f t="array" ref="U65">_xlfn.IFS(Table1[[#This Row],[Sales]]&gt;2000,"large",Table1[[#This Row],[Sales]]&gt;=500,"medium",Table1[[#This Row],[Sales]]&lt;500,"small")</f>
        <v>small</v>
      </c>
      <c r="V65" s="22">
        <f>Table1[[#This Row],[Profit]]/Table1[[#This Row],[Sales]]*100</f>
        <v>37.635872811103944</v>
      </c>
    </row>
    <row r="66" spans="1:22" x14ac:dyDescent="0.35">
      <c r="A66" s="4" t="s">
        <v>199</v>
      </c>
      <c r="B66" s="5">
        <v>45684</v>
      </c>
      <c r="C66" s="4" t="s">
        <v>200</v>
      </c>
      <c r="D66" s="4" t="s">
        <v>43</v>
      </c>
      <c r="E66" s="4" t="s">
        <v>36</v>
      </c>
      <c r="F66" s="4" t="s">
        <v>201</v>
      </c>
      <c r="G66" s="4" t="s">
        <v>23</v>
      </c>
      <c r="H66" s="4" t="s">
        <v>71</v>
      </c>
      <c r="I66" s="4">
        <v>5</v>
      </c>
      <c r="J66" s="6">
        <v>51.41</v>
      </c>
      <c r="K66" s="7">
        <v>0</v>
      </c>
      <c r="L66" s="6">
        <f t="shared" ref="L66:L129" si="2">I66*J66*(1-K66)</f>
        <v>257.04999999999995</v>
      </c>
      <c r="M66" s="6">
        <v>25.1</v>
      </c>
      <c r="N66" s="8">
        <f t="shared" ref="N66:N129" si="3">L66-I66*M66</f>
        <v>131.54999999999995</v>
      </c>
      <c r="O66" s="4" t="s">
        <v>25</v>
      </c>
      <c r="P66" s="4" t="s">
        <v>56</v>
      </c>
      <c r="Q66" s="4">
        <v>5</v>
      </c>
      <c r="R66" s="4" t="str">
        <f>TEXT(Table1[[#This Row],[Order Date]],"mmm")</f>
        <v>Jan</v>
      </c>
      <c r="S66" s="4" t="str">
        <f>TEXT(Table1[[#This Row],[Order Date]],"mm")</f>
        <v>01</v>
      </c>
      <c r="T66" s="4" t="str">
        <f>IF(Table1[[#This Row],[Sales]]&lt;0,"loss","profit")</f>
        <v>profit</v>
      </c>
      <c r="U66" s="4" t="str" cm="1">
        <f t="array" ref="U66">_xlfn.IFS(Table1[[#This Row],[Sales]]&gt;2000,"large",Table1[[#This Row],[Sales]]&gt;=500,"medium",Table1[[#This Row],[Sales]]&lt;500,"small")</f>
        <v>small</v>
      </c>
      <c r="V66" s="22">
        <f>Table1[[#This Row],[Profit]]/Table1[[#This Row],[Sales]]*100</f>
        <v>51.176813849445622</v>
      </c>
    </row>
    <row r="67" spans="1:22" x14ac:dyDescent="0.35">
      <c r="A67" s="4" t="s">
        <v>202</v>
      </c>
      <c r="B67" s="5">
        <v>45685</v>
      </c>
      <c r="C67" s="4" t="s">
        <v>154</v>
      </c>
      <c r="D67" s="4" t="s">
        <v>43</v>
      </c>
      <c r="E67" s="4" t="s">
        <v>29</v>
      </c>
      <c r="F67" s="4" t="s">
        <v>30</v>
      </c>
      <c r="G67" s="4" t="s">
        <v>23</v>
      </c>
      <c r="H67" s="4" t="s">
        <v>44</v>
      </c>
      <c r="I67" s="4">
        <v>10</v>
      </c>
      <c r="J67" s="6">
        <v>129.19999999999999</v>
      </c>
      <c r="K67" s="7">
        <v>0.05</v>
      </c>
      <c r="L67" s="6">
        <f t="shared" si="2"/>
        <v>1227.3999999999999</v>
      </c>
      <c r="M67" s="6">
        <v>55.08</v>
      </c>
      <c r="N67" s="8">
        <f t="shared" si="3"/>
        <v>676.59999999999991</v>
      </c>
      <c r="O67" s="4" t="s">
        <v>51</v>
      </c>
      <c r="P67" s="4" t="s">
        <v>33</v>
      </c>
      <c r="Q67" s="4">
        <v>5</v>
      </c>
      <c r="R67" s="4" t="str">
        <f>TEXT(Table1[[#This Row],[Order Date]],"mmm")</f>
        <v>Jan</v>
      </c>
      <c r="S67" s="4" t="str">
        <f>TEXT(Table1[[#This Row],[Order Date]],"mm")</f>
        <v>01</v>
      </c>
      <c r="T67" s="4" t="str">
        <f>IF(Table1[[#This Row],[Sales]]&lt;0,"loss","profit")</f>
        <v>profit</v>
      </c>
      <c r="U67" s="4" t="str" cm="1">
        <f t="array" ref="U67">_xlfn.IFS(Table1[[#This Row],[Sales]]&gt;2000,"large",Table1[[#This Row],[Sales]]&gt;=500,"medium",Table1[[#This Row],[Sales]]&lt;500,"small")</f>
        <v>medium</v>
      </c>
      <c r="V67" s="22">
        <f>Table1[[#This Row],[Profit]]/Table1[[#This Row],[Sales]]*100</f>
        <v>55.124653739612185</v>
      </c>
    </row>
    <row r="68" spans="1:22" x14ac:dyDescent="0.35">
      <c r="A68" s="4" t="s">
        <v>203</v>
      </c>
      <c r="B68" s="5">
        <v>45685</v>
      </c>
      <c r="C68" s="4" t="s">
        <v>103</v>
      </c>
      <c r="D68" s="4" t="s">
        <v>20</v>
      </c>
      <c r="E68" s="4" t="s">
        <v>87</v>
      </c>
      <c r="F68" s="4" t="s">
        <v>124</v>
      </c>
      <c r="G68" s="4" t="s">
        <v>31</v>
      </c>
      <c r="H68" s="4" t="s">
        <v>147</v>
      </c>
      <c r="I68" s="4">
        <v>1</v>
      </c>
      <c r="J68" s="6">
        <v>65.91</v>
      </c>
      <c r="K68" s="7">
        <v>0</v>
      </c>
      <c r="L68" s="6">
        <f t="shared" si="2"/>
        <v>65.91</v>
      </c>
      <c r="M68" s="6">
        <v>36.32</v>
      </c>
      <c r="N68" s="8">
        <f t="shared" si="3"/>
        <v>29.589999999999996</v>
      </c>
      <c r="O68" s="4" t="s">
        <v>25</v>
      </c>
      <c r="P68" s="4" t="s">
        <v>33</v>
      </c>
      <c r="Q68" s="4">
        <v>4</v>
      </c>
      <c r="R68" s="4" t="str">
        <f>TEXT(Table1[[#This Row],[Order Date]],"mmm")</f>
        <v>Jan</v>
      </c>
      <c r="S68" s="4" t="str">
        <f>TEXT(Table1[[#This Row],[Order Date]],"mm")</f>
        <v>01</v>
      </c>
      <c r="T68" s="4" t="str">
        <f>IF(Table1[[#This Row],[Sales]]&lt;0,"loss","profit")</f>
        <v>profit</v>
      </c>
      <c r="U68" s="4" t="str" cm="1">
        <f t="array" ref="U68">_xlfn.IFS(Table1[[#This Row],[Sales]]&gt;2000,"large",Table1[[#This Row],[Sales]]&gt;=500,"medium",Table1[[#This Row],[Sales]]&lt;500,"small")</f>
        <v>small</v>
      </c>
      <c r="V68" s="22">
        <f>Table1[[#This Row],[Profit]]/Table1[[#This Row],[Sales]]*100</f>
        <v>44.894553178576842</v>
      </c>
    </row>
    <row r="69" spans="1:22" x14ac:dyDescent="0.35">
      <c r="A69" s="4" t="s">
        <v>204</v>
      </c>
      <c r="B69" s="5">
        <v>45685</v>
      </c>
      <c r="C69" s="4" t="s">
        <v>205</v>
      </c>
      <c r="D69" s="4" t="s">
        <v>43</v>
      </c>
      <c r="E69" s="4" t="s">
        <v>21</v>
      </c>
      <c r="F69" s="4" t="s">
        <v>59</v>
      </c>
      <c r="G69" s="4" t="s">
        <v>31</v>
      </c>
      <c r="H69" s="4" t="s">
        <v>125</v>
      </c>
      <c r="I69" s="4">
        <v>5</v>
      </c>
      <c r="J69" s="6">
        <v>147.26</v>
      </c>
      <c r="K69" s="7">
        <v>0</v>
      </c>
      <c r="L69" s="6">
        <f t="shared" si="2"/>
        <v>736.3</v>
      </c>
      <c r="M69" s="6">
        <v>100.09</v>
      </c>
      <c r="N69" s="8">
        <f t="shared" si="3"/>
        <v>235.84999999999991</v>
      </c>
      <c r="O69" s="4" t="s">
        <v>60</v>
      </c>
      <c r="P69" s="4" t="s">
        <v>56</v>
      </c>
      <c r="Q69" s="4">
        <v>4</v>
      </c>
      <c r="R69" s="4" t="str">
        <f>TEXT(Table1[[#This Row],[Order Date]],"mmm")</f>
        <v>Jan</v>
      </c>
      <c r="S69" s="4" t="str">
        <f>TEXT(Table1[[#This Row],[Order Date]],"mm")</f>
        <v>01</v>
      </c>
      <c r="T69" s="4" t="str">
        <f>IF(Table1[[#This Row],[Sales]]&lt;0,"loss","profit")</f>
        <v>profit</v>
      </c>
      <c r="U69" s="4" t="str" cm="1">
        <f t="array" ref="U69">_xlfn.IFS(Table1[[#This Row],[Sales]]&gt;2000,"large",Table1[[#This Row],[Sales]]&gt;=500,"medium",Table1[[#This Row],[Sales]]&lt;500,"small")</f>
        <v>medium</v>
      </c>
      <c r="V69" s="22">
        <f>Table1[[#This Row],[Profit]]/Table1[[#This Row],[Sales]]*100</f>
        <v>32.031780524242826</v>
      </c>
    </row>
    <row r="70" spans="1:22" x14ac:dyDescent="0.35">
      <c r="A70" s="4" t="s">
        <v>206</v>
      </c>
      <c r="B70" s="5">
        <v>45686</v>
      </c>
      <c r="C70" s="4" t="s">
        <v>207</v>
      </c>
      <c r="D70" s="4" t="s">
        <v>43</v>
      </c>
      <c r="E70" s="4" t="s">
        <v>29</v>
      </c>
      <c r="F70" s="4" t="s">
        <v>54</v>
      </c>
      <c r="G70" s="4" t="s">
        <v>23</v>
      </c>
      <c r="H70" s="4" t="s">
        <v>24</v>
      </c>
      <c r="I70" s="4">
        <v>1</v>
      </c>
      <c r="J70" s="6">
        <v>86.93</v>
      </c>
      <c r="K70" s="7">
        <v>0</v>
      </c>
      <c r="L70" s="6">
        <f t="shared" si="2"/>
        <v>86.93</v>
      </c>
      <c r="M70" s="6">
        <v>53.4</v>
      </c>
      <c r="N70" s="8">
        <f t="shared" si="3"/>
        <v>33.530000000000008</v>
      </c>
      <c r="O70" s="4" t="s">
        <v>25</v>
      </c>
      <c r="P70" s="4" t="s">
        <v>97</v>
      </c>
      <c r="Q70" s="4">
        <v>5</v>
      </c>
      <c r="R70" s="4" t="str">
        <f>TEXT(Table1[[#This Row],[Order Date]],"mmm")</f>
        <v>Jan</v>
      </c>
      <c r="S70" s="4" t="str">
        <f>TEXT(Table1[[#This Row],[Order Date]],"mm")</f>
        <v>01</v>
      </c>
      <c r="T70" s="4" t="str">
        <f>IF(Table1[[#This Row],[Sales]]&lt;0,"loss","profit")</f>
        <v>profit</v>
      </c>
      <c r="U70" s="4" t="str" cm="1">
        <f t="array" ref="U70">_xlfn.IFS(Table1[[#This Row],[Sales]]&gt;2000,"large",Table1[[#This Row],[Sales]]&gt;=500,"medium",Table1[[#This Row],[Sales]]&lt;500,"small")</f>
        <v>small</v>
      </c>
      <c r="V70" s="22">
        <f>Table1[[#This Row],[Profit]]/Table1[[#This Row],[Sales]]*100</f>
        <v>38.571264235591862</v>
      </c>
    </row>
    <row r="71" spans="1:22" x14ac:dyDescent="0.35">
      <c r="A71" s="4" t="s">
        <v>208</v>
      </c>
      <c r="B71" s="5">
        <v>45687</v>
      </c>
      <c r="C71" s="4" t="s">
        <v>209</v>
      </c>
      <c r="D71" s="4" t="s">
        <v>43</v>
      </c>
      <c r="E71" s="4" t="s">
        <v>36</v>
      </c>
      <c r="F71" s="4" t="s">
        <v>201</v>
      </c>
      <c r="G71" s="4" t="s">
        <v>38</v>
      </c>
      <c r="H71" s="4" t="s">
        <v>109</v>
      </c>
      <c r="I71" s="4">
        <v>4</v>
      </c>
      <c r="J71" s="6">
        <v>843.25</v>
      </c>
      <c r="K71" s="7">
        <v>0.05</v>
      </c>
      <c r="L71" s="6">
        <f t="shared" si="2"/>
        <v>3204.35</v>
      </c>
      <c r="M71" s="6">
        <v>638.91</v>
      </c>
      <c r="N71" s="8">
        <f t="shared" si="3"/>
        <v>648.71</v>
      </c>
      <c r="O71" s="4" t="s">
        <v>40</v>
      </c>
      <c r="P71" s="4" t="s">
        <v>118</v>
      </c>
      <c r="Q71" s="4">
        <v>4</v>
      </c>
      <c r="R71" s="4" t="str">
        <f>TEXT(Table1[[#This Row],[Order Date]],"mmm")</f>
        <v>Jan</v>
      </c>
      <c r="S71" s="4" t="str">
        <f>TEXT(Table1[[#This Row],[Order Date]],"mm")</f>
        <v>01</v>
      </c>
      <c r="T71" s="4" t="str">
        <f>IF(Table1[[#This Row],[Sales]]&lt;0,"loss","profit")</f>
        <v>profit</v>
      </c>
      <c r="U71" s="4" t="str" cm="1">
        <f t="array" ref="U71">_xlfn.IFS(Table1[[#This Row],[Sales]]&gt;2000,"large",Table1[[#This Row],[Sales]]&gt;=500,"medium",Table1[[#This Row],[Sales]]&lt;500,"small")</f>
        <v>large</v>
      </c>
      <c r="V71" s="22">
        <f>Table1[[#This Row],[Profit]]/Table1[[#This Row],[Sales]]*100</f>
        <v>20.244667405245995</v>
      </c>
    </row>
    <row r="72" spans="1:22" x14ac:dyDescent="0.35">
      <c r="A72" s="4" t="s">
        <v>210</v>
      </c>
      <c r="B72" s="5">
        <v>45687</v>
      </c>
      <c r="C72" s="4" t="s">
        <v>211</v>
      </c>
      <c r="D72" s="4" t="s">
        <v>43</v>
      </c>
      <c r="E72" s="4" t="s">
        <v>29</v>
      </c>
      <c r="F72" s="4" t="s">
        <v>108</v>
      </c>
      <c r="G72" s="4" t="s">
        <v>38</v>
      </c>
      <c r="H72" s="4" t="s">
        <v>89</v>
      </c>
      <c r="I72" s="4">
        <v>1</v>
      </c>
      <c r="J72" s="6">
        <v>669.44</v>
      </c>
      <c r="K72" s="7">
        <v>0.1</v>
      </c>
      <c r="L72" s="6">
        <f t="shared" si="2"/>
        <v>602.49600000000009</v>
      </c>
      <c r="M72" s="6">
        <v>583.80999999999995</v>
      </c>
      <c r="N72" s="8">
        <f t="shared" si="3"/>
        <v>18.686000000000149</v>
      </c>
      <c r="O72" s="4" t="s">
        <v>84</v>
      </c>
      <c r="P72" s="4" t="s">
        <v>33</v>
      </c>
      <c r="Q72" s="4">
        <v>4</v>
      </c>
      <c r="R72" s="4" t="str">
        <f>TEXT(Table1[[#This Row],[Order Date]],"mmm")</f>
        <v>Jan</v>
      </c>
      <c r="S72" s="4" t="str">
        <f>TEXT(Table1[[#This Row],[Order Date]],"mm")</f>
        <v>01</v>
      </c>
      <c r="T72" s="4" t="str">
        <f>IF(Table1[[#This Row],[Sales]]&lt;0,"loss","profit")</f>
        <v>profit</v>
      </c>
      <c r="U72" s="4" t="str" cm="1">
        <f t="array" ref="U72">_xlfn.IFS(Table1[[#This Row],[Sales]]&gt;2000,"large",Table1[[#This Row],[Sales]]&gt;=500,"medium",Table1[[#This Row],[Sales]]&lt;500,"small")</f>
        <v>medium</v>
      </c>
      <c r="V72" s="22">
        <f>Table1[[#This Row],[Profit]]/Table1[[#This Row],[Sales]]*100</f>
        <v>3.1014313787975598</v>
      </c>
    </row>
    <row r="73" spans="1:22" x14ac:dyDescent="0.35">
      <c r="A73" s="4" t="s">
        <v>212</v>
      </c>
      <c r="B73" s="5">
        <v>45687</v>
      </c>
      <c r="C73" s="4" t="s">
        <v>213</v>
      </c>
      <c r="D73" s="4" t="s">
        <v>20</v>
      </c>
      <c r="E73" s="4" t="s">
        <v>29</v>
      </c>
      <c r="F73" s="4" t="s">
        <v>54</v>
      </c>
      <c r="G73" s="4" t="s">
        <v>49</v>
      </c>
      <c r="H73" s="4" t="s">
        <v>128</v>
      </c>
      <c r="I73" s="4">
        <v>6</v>
      </c>
      <c r="J73" s="6">
        <v>40.33</v>
      </c>
      <c r="K73" s="7">
        <v>0.05</v>
      </c>
      <c r="L73" s="6">
        <f t="shared" si="2"/>
        <v>229.88099999999997</v>
      </c>
      <c r="M73" s="6">
        <v>23.37</v>
      </c>
      <c r="N73" s="8">
        <f t="shared" si="3"/>
        <v>89.660999999999973</v>
      </c>
      <c r="O73" s="4" t="s">
        <v>25</v>
      </c>
      <c r="P73" s="4" t="s">
        <v>118</v>
      </c>
      <c r="Q73" s="4">
        <v>5</v>
      </c>
      <c r="R73" s="4" t="str">
        <f>TEXT(Table1[[#This Row],[Order Date]],"mmm")</f>
        <v>Jan</v>
      </c>
      <c r="S73" s="4" t="str">
        <f>TEXT(Table1[[#This Row],[Order Date]],"mm")</f>
        <v>01</v>
      </c>
      <c r="T73" s="4" t="str">
        <f>IF(Table1[[#This Row],[Sales]]&lt;0,"loss","profit")</f>
        <v>profit</v>
      </c>
      <c r="U73" s="4" t="str" cm="1">
        <f t="array" ref="U73">_xlfn.IFS(Table1[[#This Row],[Sales]]&gt;2000,"large",Table1[[#This Row],[Sales]]&gt;=500,"medium",Table1[[#This Row],[Sales]]&lt;500,"small")</f>
        <v>small</v>
      </c>
      <c r="V73" s="22">
        <f>Table1[[#This Row],[Profit]]/Table1[[#This Row],[Sales]]*100</f>
        <v>39.00322340689312</v>
      </c>
    </row>
    <row r="74" spans="1:22" x14ac:dyDescent="0.35">
      <c r="A74" s="4" t="s">
        <v>214</v>
      </c>
      <c r="B74" s="5">
        <v>45687</v>
      </c>
      <c r="C74" s="4" t="s">
        <v>215</v>
      </c>
      <c r="D74" s="4" t="s">
        <v>47</v>
      </c>
      <c r="E74" s="4" t="s">
        <v>87</v>
      </c>
      <c r="F74" s="4" t="s">
        <v>92</v>
      </c>
      <c r="G74" s="4" t="s">
        <v>23</v>
      </c>
      <c r="H74" s="4" t="s">
        <v>71</v>
      </c>
      <c r="I74" s="4">
        <v>2</v>
      </c>
      <c r="J74" s="6">
        <v>200.98</v>
      </c>
      <c r="K74" s="7">
        <v>0</v>
      </c>
      <c r="L74" s="6">
        <f t="shared" si="2"/>
        <v>401.96</v>
      </c>
      <c r="M74" s="6">
        <v>87.86</v>
      </c>
      <c r="N74" s="8">
        <f t="shared" si="3"/>
        <v>226.23999999999998</v>
      </c>
      <c r="O74" s="4" t="s">
        <v>84</v>
      </c>
      <c r="P74" s="4" t="s">
        <v>26</v>
      </c>
      <c r="Q74" s="4">
        <v>1</v>
      </c>
      <c r="R74" s="4" t="str">
        <f>TEXT(Table1[[#This Row],[Order Date]],"mmm")</f>
        <v>Jan</v>
      </c>
      <c r="S74" s="4" t="str">
        <f>TEXT(Table1[[#This Row],[Order Date]],"mm")</f>
        <v>01</v>
      </c>
      <c r="T74" s="4" t="str">
        <f>IF(Table1[[#This Row],[Sales]]&lt;0,"loss","profit")</f>
        <v>profit</v>
      </c>
      <c r="U74" s="4" t="str" cm="1">
        <f t="array" ref="U74">_xlfn.IFS(Table1[[#This Row],[Sales]]&gt;2000,"large",Table1[[#This Row],[Sales]]&gt;=500,"medium",Table1[[#This Row],[Sales]]&lt;500,"small")</f>
        <v>small</v>
      </c>
      <c r="V74" s="22">
        <f>Table1[[#This Row],[Profit]]/Table1[[#This Row],[Sales]]*100</f>
        <v>56.284207383819286</v>
      </c>
    </row>
    <row r="75" spans="1:22" x14ac:dyDescent="0.35">
      <c r="A75" s="4" t="s">
        <v>216</v>
      </c>
      <c r="B75" s="5">
        <v>45688</v>
      </c>
      <c r="C75" s="4" t="s">
        <v>217</v>
      </c>
      <c r="D75" s="4" t="s">
        <v>20</v>
      </c>
      <c r="E75" s="4" t="s">
        <v>87</v>
      </c>
      <c r="F75" s="4" t="s">
        <v>124</v>
      </c>
      <c r="G75" s="4" t="s">
        <v>23</v>
      </c>
      <c r="H75" s="4" t="s">
        <v>71</v>
      </c>
      <c r="I75" s="4">
        <v>6</v>
      </c>
      <c r="J75" s="6">
        <v>126.8</v>
      </c>
      <c r="K75" s="7">
        <v>0</v>
      </c>
      <c r="L75" s="6">
        <f t="shared" si="2"/>
        <v>760.8</v>
      </c>
      <c r="M75" s="6">
        <v>51.26</v>
      </c>
      <c r="N75" s="8">
        <f t="shared" si="3"/>
        <v>453.23999999999995</v>
      </c>
      <c r="O75" s="4" t="s">
        <v>40</v>
      </c>
      <c r="P75" s="4" t="s">
        <v>97</v>
      </c>
      <c r="Q75" s="4">
        <v>5</v>
      </c>
      <c r="R75" s="4" t="str">
        <f>TEXT(Table1[[#This Row],[Order Date]],"mmm")</f>
        <v>Jan</v>
      </c>
      <c r="S75" s="4" t="str">
        <f>TEXT(Table1[[#This Row],[Order Date]],"mm")</f>
        <v>01</v>
      </c>
      <c r="T75" s="4" t="str">
        <f>IF(Table1[[#This Row],[Sales]]&lt;0,"loss","profit")</f>
        <v>profit</v>
      </c>
      <c r="U75" s="4" t="str" cm="1">
        <f t="array" ref="U75">_xlfn.IFS(Table1[[#This Row],[Sales]]&gt;2000,"large",Table1[[#This Row],[Sales]]&gt;=500,"medium",Table1[[#This Row],[Sales]]&lt;500,"small")</f>
        <v>medium</v>
      </c>
      <c r="V75" s="22">
        <f>Table1[[#This Row],[Profit]]/Table1[[#This Row],[Sales]]*100</f>
        <v>59.574132492113563</v>
      </c>
    </row>
    <row r="76" spans="1:22" x14ac:dyDescent="0.35">
      <c r="A76" s="4" t="s">
        <v>218</v>
      </c>
      <c r="B76" s="5">
        <v>45688</v>
      </c>
      <c r="C76" s="4" t="s">
        <v>219</v>
      </c>
      <c r="D76" s="4" t="s">
        <v>20</v>
      </c>
      <c r="E76" s="4" t="s">
        <v>21</v>
      </c>
      <c r="F76" s="4" t="s">
        <v>81</v>
      </c>
      <c r="G76" s="4" t="s">
        <v>31</v>
      </c>
      <c r="H76" s="4" t="s">
        <v>147</v>
      </c>
      <c r="I76" s="4">
        <v>2</v>
      </c>
      <c r="J76" s="6">
        <v>36.909999999999997</v>
      </c>
      <c r="K76" s="7">
        <v>0.05</v>
      </c>
      <c r="L76" s="6">
        <f t="shared" si="2"/>
        <v>70.128999999999991</v>
      </c>
      <c r="M76" s="6">
        <v>25.34</v>
      </c>
      <c r="N76" s="8">
        <f t="shared" si="3"/>
        <v>19.448999999999991</v>
      </c>
      <c r="O76" s="4" t="s">
        <v>51</v>
      </c>
      <c r="P76" s="4" t="s">
        <v>61</v>
      </c>
      <c r="Q76" s="4">
        <v>5</v>
      </c>
      <c r="R76" s="4" t="str">
        <f>TEXT(Table1[[#This Row],[Order Date]],"mmm")</f>
        <v>Jan</v>
      </c>
      <c r="S76" s="4" t="str">
        <f>TEXT(Table1[[#This Row],[Order Date]],"mm")</f>
        <v>01</v>
      </c>
      <c r="T76" s="4" t="str">
        <f>IF(Table1[[#This Row],[Sales]]&lt;0,"loss","profit")</f>
        <v>profit</v>
      </c>
      <c r="U76" s="4" t="str" cm="1">
        <f t="array" ref="U76">_xlfn.IFS(Table1[[#This Row],[Sales]]&gt;2000,"large",Table1[[#This Row],[Sales]]&gt;=500,"medium",Table1[[#This Row],[Sales]]&lt;500,"small")</f>
        <v>small</v>
      </c>
      <c r="V76" s="22">
        <f>Table1[[#This Row],[Profit]]/Table1[[#This Row],[Sales]]*100</f>
        <v>27.733177430164403</v>
      </c>
    </row>
    <row r="77" spans="1:22" x14ac:dyDescent="0.35">
      <c r="A77" s="4" t="s">
        <v>220</v>
      </c>
      <c r="B77" s="5">
        <v>45688</v>
      </c>
      <c r="C77" s="4" t="s">
        <v>221</v>
      </c>
      <c r="D77" s="4" t="s">
        <v>20</v>
      </c>
      <c r="E77" s="4" t="s">
        <v>21</v>
      </c>
      <c r="F77" s="4" t="s">
        <v>59</v>
      </c>
      <c r="G77" s="4" t="s">
        <v>38</v>
      </c>
      <c r="H77" s="4" t="s">
        <v>39</v>
      </c>
      <c r="I77" s="4">
        <v>1</v>
      </c>
      <c r="J77" s="6">
        <v>416.96</v>
      </c>
      <c r="K77" s="7">
        <v>0</v>
      </c>
      <c r="L77" s="6">
        <f t="shared" si="2"/>
        <v>416.96</v>
      </c>
      <c r="M77" s="6">
        <v>371.8</v>
      </c>
      <c r="N77" s="8">
        <f t="shared" si="3"/>
        <v>45.159999999999968</v>
      </c>
      <c r="O77" s="4" t="s">
        <v>84</v>
      </c>
      <c r="P77" s="4" t="s">
        <v>118</v>
      </c>
      <c r="Q77" s="4">
        <v>5</v>
      </c>
      <c r="R77" s="4" t="str">
        <f>TEXT(Table1[[#This Row],[Order Date]],"mmm")</f>
        <v>Jan</v>
      </c>
      <c r="S77" s="4" t="str">
        <f>TEXT(Table1[[#This Row],[Order Date]],"mm")</f>
        <v>01</v>
      </c>
      <c r="T77" s="4" t="str">
        <f>IF(Table1[[#This Row],[Sales]]&lt;0,"loss","profit")</f>
        <v>profit</v>
      </c>
      <c r="U77" s="4" t="str" cm="1">
        <f t="array" ref="U77">_xlfn.IFS(Table1[[#This Row],[Sales]]&gt;2000,"large",Table1[[#This Row],[Sales]]&gt;=500,"medium",Table1[[#This Row],[Sales]]&lt;500,"small")</f>
        <v>small</v>
      </c>
      <c r="V77" s="22">
        <f>Table1[[#This Row],[Profit]]/Table1[[#This Row],[Sales]]*100</f>
        <v>10.830775134305441</v>
      </c>
    </row>
    <row r="78" spans="1:22" x14ac:dyDescent="0.35">
      <c r="A78" s="4" t="s">
        <v>222</v>
      </c>
      <c r="B78" s="5">
        <v>45689</v>
      </c>
      <c r="C78" s="4" t="s">
        <v>223</v>
      </c>
      <c r="D78" s="4" t="s">
        <v>20</v>
      </c>
      <c r="E78" s="4" t="s">
        <v>36</v>
      </c>
      <c r="F78" s="4" t="s">
        <v>48</v>
      </c>
      <c r="G78" s="4" t="s">
        <v>23</v>
      </c>
      <c r="H78" s="4" t="s">
        <v>71</v>
      </c>
      <c r="I78" s="4">
        <v>3</v>
      </c>
      <c r="J78" s="6">
        <v>193.04</v>
      </c>
      <c r="K78" s="7">
        <v>0.1</v>
      </c>
      <c r="L78" s="6">
        <f t="shared" si="2"/>
        <v>521.20799999999997</v>
      </c>
      <c r="M78" s="6">
        <v>113.38</v>
      </c>
      <c r="N78" s="8">
        <f t="shared" si="3"/>
        <v>181.06799999999998</v>
      </c>
      <c r="O78" s="4" t="s">
        <v>84</v>
      </c>
      <c r="P78" s="4" t="s">
        <v>61</v>
      </c>
      <c r="Q78" s="4">
        <v>3</v>
      </c>
      <c r="R78" s="4" t="str">
        <f>TEXT(Table1[[#This Row],[Order Date]],"mmm")</f>
        <v>Feb</v>
      </c>
      <c r="S78" s="4" t="str">
        <f>TEXT(Table1[[#This Row],[Order Date]],"mm")</f>
        <v>02</v>
      </c>
      <c r="T78" s="4" t="str">
        <f>IF(Table1[[#This Row],[Sales]]&lt;0,"loss","profit")</f>
        <v>profit</v>
      </c>
      <c r="U78" s="4" t="str" cm="1">
        <f t="array" ref="U78">_xlfn.IFS(Table1[[#This Row],[Sales]]&gt;2000,"large",Table1[[#This Row],[Sales]]&gt;=500,"medium",Table1[[#This Row],[Sales]]&lt;500,"small")</f>
        <v>medium</v>
      </c>
      <c r="V78" s="22">
        <f>Table1[[#This Row],[Profit]]/Table1[[#This Row],[Sales]]*100</f>
        <v>34.740065386563515</v>
      </c>
    </row>
    <row r="79" spans="1:22" x14ac:dyDescent="0.35">
      <c r="A79" s="4" t="s">
        <v>224</v>
      </c>
      <c r="B79" s="5">
        <v>45689</v>
      </c>
      <c r="C79" s="4" t="s">
        <v>225</v>
      </c>
      <c r="D79" s="4" t="s">
        <v>43</v>
      </c>
      <c r="E79" s="4" t="s">
        <v>21</v>
      </c>
      <c r="F79" s="4" t="s">
        <v>22</v>
      </c>
      <c r="G79" s="4" t="s">
        <v>23</v>
      </c>
      <c r="H79" s="4" t="s">
        <v>71</v>
      </c>
      <c r="I79" s="4">
        <v>1</v>
      </c>
      <c r="J79" s="6">
        <v>192.44</v>
      </c>
      <c r="K79" s="7">
        <v>0.1</v>
      </c>
      <c r="L79" s="6">
        <f t="shared" si="2"/>
        <v>173.196</v>
      </c>
      <c r="M79" s="6">
        <v>97.97</v>
      </c>
      <c r="N79" s="8">
        <f t="shared" si="3"/>
        <v>75.225999999999999</v>
      </c>
      <c r="O79" s="4" t="s">
        <v>84</v>
      </c>
      <c r="P79" s="4" t="s">
        <v>97</v>
      </c>
      <c r="Q79" s="4">
        <v>4</v>
      </c>
      <c r="R79" s="4" t="str">
        <f>TEXT(Table1[[#This Row],[Order Date]],"mmm")</f>
        <v>Feb</v>
      </c>
      <c r="S79" s="4" t="str">
        <f>TEXT(Table1[[#This Row],[Order Date]],"mm")</f>
        <v>02</v>
      </c>
      <c r="T79" s="4" t="str">
        <f>IF(Table1[[#This Row],[Sales]]&lt;0,"loss","profit")</f>
        <v>profit</v>
      </c>
      <c r="U79" s="4" t="str" cm="1">
        <f t="array" ref="U79">_xlfn.IFS(Table1[[#This Row],[Sales]]&gt;2000,"large",Table1[[#This Row],[Sales]]&gt;=500,"medium",Table1[[#This Row],[Sales]]&lt;500,"small")</f>
        <v>small</v>
      </c>
      <c r="V79" s="22">
        <f>Table1[[#This Row],[Profit]]/Table1[[#This Row],[Sales]]*100</f>
        <v>43.434028499503455</v>
      </c>
    </row>
    <row r="80" spans="1:22" x14ac:dyDescent="0.35">
      <c r="A80" s="4" t="s">
        <v>226</v>
      </c>
      <c r="B80" s="5">
        <v>45689</v>
      </c>
      <c r="C80" s="4" t="s">
        <v>227</v>
      </c>
      <c r="D80" s="4" t="s">
        <v>43</v>
      </c>
      <c r="E80" s="4" t="s">
        <v>29</v>
      </c>
      <c r="F80" s="4" t="s">
        <v>54</v>
      </c>
      <c r="G80" s="4" t="s">
        <v>38</v>
      </c>
      <c r="H80" s="4" t="s">
        <v>39</v>
      </c>
      <c r="I80" s="4">
        <v>5</v>
      </c>
      <c r="J80" s="6">
        <v>187.18</v>
      </c>
      <c r="K80" s="7">
        <v>0.1</v>
      </c>
      <c r="L80" s="6">
        <f t="shared" si="2"/>
        <v>842.31000000000006</v>
      </c>
      <c r="M80" s="6">
        <v>141.6</v>
      </c>
      <c r="N80" s="8">
        <f t="shared" si="3"/>
        <v>134.31000000000006</v>
      </c>
      <c r="O80" s="4" t="s">
        <v>60</v>
      </c>
      <c r="P80" s="4" t="s">
        <v>75</v>
      </c>
      <c r="Q80" s="4">
        <v>3</v>
      </c>
      <c r="R80" s="4" t="str">
        <f>TEXT(Table1[[#This Row],[Order Date]],"mmm")</f>
        <v>Feb</v>
      </c>
      <c r="S80" s="4" t="str">
        <f>TEXT(Table1[[#This Row],[Order Date]],"mm")</f>
        <v>02</v>
      </c>
      <c r="T80" s="4" t="str">
        <f>IF(Table1[[#This Row],[Sales]]&lt;0,"loss","profit")</f>
        <v>profit</v>
      </c>
      <c r="U80" s="4" t="str" cm="1">
        <f t="array" ref="U80">_xlfn.IFS(Table1[[#This Row],[Sales]]&gt;2000,"large",Table1[[#This Row],[Sales]]&gt;=500,"medium",Table1[[#This Row],[Sales]]&lt;500,"small")</f>
        <v>medium</v>
      </c>
      <c r="V80" s="22">
        <f>Table1[[#This Row],[Profit]]/Table1[[#This Row],[Sales]]*100</f>
        <v>15.945435765929414</v>
      </c>
    </row>
    <row r="81" spans="1:22" x14ac:dyDescent="0.35">
      <c r="A81" s="4" t="s">
        <v>228</v>
      </c>
      <c r="B81" s="5">
        <v>45690</v>
      </c>
      <c r="C81" s="4" t="s">
        <v>229</v>
      </c>
      <c r="D81" s="4" t="s">
        <v>43</v>
      </c>
      <c r="E81" s="4" t="s">
        <v>36</v>
      </c>
      <c r="F81" s="4" t="s">
        <v>37</v>
      </c>
      <c r="G81" s="4" t="s">
        <v>23</v>
      </c>
      <c r="H81" s="4" t="s">
        <v>44</v>
      </c>
      <c r="I81" s="4">
        <v>2</v>
      </c>
      <c r="J81" s="6">
        <v>64.48</v>
      </c>
      <c r="K81" s="7">
        <v>0.2</v>
      </c>
      <c r="L81" s="6">
        <f t="shared" si="2"/>
        <v>103.16800000000001</v>
      </c>
      <c r="M81" s="6">
        <v>32.130000000000003</v>
      </c>
      <c r="N81" s="8">
        <f t="shared" si="3"/>
        <v>38.908000000000001</v>
      </c>
      <c r="O81" s="4" t="s">
        <v>84</v>
      </c>
      <c r="P81" s="4" t="s">
        <v>118</v>
      </c>
      <c r="Q81" s="4">
        <v>4</v>
      </c>
      <c r="R81" s="4" t="str">
        <f>TEXT(Table1[[#This Row],[Order Date]],"mmm")</f>
        <v>Feb</v>
      </c>
      <c r="S81" s="4" t="str">
        <f>TEXT(Table1[[#This Row],[Order Date]],"mm")</f>
        <v>02</v>
      </c>
      <c r="T81" s="4" t="str">
        <f>IF(Table1[[#This Row],[Sales]]&lt;0,"loss","profit")</f>
        <v>profit</v>
      </c>
      <c r="U81" s="4" t="str" cm="1">
        <f t="array" ref="U81">_xlfn.IFS(Table1[[#This Row],[Sales]]&gt;2000,"large",Table1[[#This Row],[Sales]]&gt;=500,"medium",Table1[[#This Row],[Sales]]&lt;500,"small")</f>
        <v>small</v>
      </c>
      <c r="V81" s="22">
        <f>Table1[[#This Row],[Profit]]/Table1[[#This Row],[Sales]]*100</f>
        <v>37.713244416873451</v>
      </c>
    </row>
    <row r="82" spans="1:22" x14ac:dyDescent="0.35">
      <c r="A82" s="4" t="s">
        <v>230</v>
      </c>
      <c r="B82" s="5">
        <v>45690</v>
      </c>
      <c r="C82" s="4" t="s">
        <v>231</v>
      </c>
      <c r="D82" s="4" t="s">
        <v>20</v>
      </c>
      <c r="E82" s="4" t="s">
        <v>87</v>
      </c>
      <c r="F82" s="4" t="s">
        <v>88</v>
      </c>
      <c r="G82" s="4" t="s">
        <v>38</v>
      </c>
      <c r="H82" s="4" t="s">
        <v>109</v>
      </c>
      <c r="I82" s="4">
        <v>1</v>
      </c>
      <c r="J82" s="6">
        <v>673.18</v>
      </c>
      <c r="K82" s="7">
        <v>0</v>
      </c>
      <c r="L82" s="6">
        <f t="shared" si="2"/>
        <v>673.18</v>
      </c>
      <c r="M82" s="6">
        <v>578.85</v>
      </c>
      <c r="N82" s="8">
        <f t="shared" si="3"/>
        <v>94.329999999999927</v>
      </c>
      <c r="O82" s="4" t="s">
        <v>40</v>
      </c>
      <c r="P82" s="4" t="s">
        <v>72</v>
      </c>
      <c r="Q82" s="4">
        <v>5</v>
      </c>
      <c r="R82" s="4" t="str">
        <f>TEXT(Table1[[#This Row],[Order Date]],"mmm")</f>
        <v>Feb</v>
      </c>
      <c r="S82" s="4" t="str">
        <f>TEXT(Table1[[#This Row],[Order Date]],"mm")</f>
        <v>02</v>
      </c>
      <c r="T82" s="4" t="str">
        <f>IF(Table1[[#This Row],[Sales]]&lt;0,"loss","profit")</f>
        <v>profit</v>
      </c>
      <c r="U82" s="4" t="str" cm="1">
        <f t="array" ref="U82">_xlfn.IFS(Table1[[#This Row],[Sales]]&gt;2000,"large",Table1[[#This Row],[Sales]]&gt;=500,"medium",Table1[[#This Row],[Sales]]&lt;500,"small")</f>
        <v>medium</v>
      </c>
      <c r="V82" s="22">
        <f>Table1[[#This Row],[Profit]]/Table1[[#This Row],[Sales]]*100</f>
        <v>14.012596928013298</v>
      </c>
    </row>
    <row r="83" spans="1:22" x14ac:dyDescent="0.35">
      <c r="A83" s="4" t="s">
        <v>232</v>
      </c>
      <c r="B83" s="5">
        <v>45690</v>
      </c>
      <c r="C83" s="4" t="s">
        <v>233</v>
      </c>
      <c r="D83" s="4" t="s">
        <v>43</v>
      </c>
      <c r="E83" s="4" t="s">
        <v>87</v>
      </c>
      <c r="F83" s="4" t="s">
        <v>88</v>
      </c>
      <c r="G83" s="4" t="s">
        <v>49</v>
      </c>
      <c r="H83" s="4" t="s">
        <v>78</v>
      </c>
      <c r="I83" s="4">
        <v>2</v>
      </c>
      <c r="J83" s="6">
        <v>756.94</v>
      </c>
      <c r="K83" s="7">
        <v>0.05</v>
      </c>
      <c r="L83" s="6">
        <f t="shared" si="2"/>
        <v>1438.1860000000001</v>
      </c>
      <c r="M83" s="6">
        <v>458.53</v>
      </c>
      <c r="N83" s="8">
        <f t="shared" si="3"/>
        <v>521.1260000000002</v>
      </c>
      <c r="O83" s="4" t="s">
        <v>40</v>
      </c>
      <c r="P83" s="4" t="s">
        <v>75</v>
      </c>
      <c r="Q83" s="4">
        <v>2</v>
      </c>
      <c r="R83" s="4" t="str">
        <f>TEXT(Table1[[#This Row],[Order Date]],"mmm")</f>
        <v>Feb</v>
      </c>
      <c r="S83" s="4" t="str">
        <f>TEXT(Table1[[#This Row],[Order Date]],"mm")</f>
        <v>02</v>
      </c>
      <c r="T83" s="4" t="str">
        <f>IF(Table1[[#This Row],[Sales]]&lt;0,"loss","profit")</f>
        <v>profit</v>
      </c>
      <c r="U83" s="4" t="str" cm="1">
        <f t="array" ref="U83">_xlfn.IFS(Table1[[#This Row],[Sales]]&gt;2000,"large",Table1[[#This Row],[Sales]]&gt;=500,"medium",Table1[[#This Row],[Sales]]&lt;500,"small")</f>
        <v>medium</v>
      </c>
      <c r="V83" s="22">
        <f>Table1[[#This Row],[Profit]]/Table1[[#This Row],[Sales]]*100</f>
        <v>36.234951529218066</v>
      </c>
    </row>
    <row r="84" spans="1:22" x14ac:dyDescent="0.35">
      <c r="A84" s="4" t="s">
        <v>234</v>
      </c>
      <c r="B84" s="5">
        <v>45691</v>
      </c>
      <c r="C84" s="4" t="s">
        <v>235</v>
      </c>
      <c r="D84" s="4" t="s">
        <v>20</v>
      </c>
      <c r="E84" s="4" t="s">
        <v>36</v>
      </c>
      <c r="F84" s="4" t="s">
        <v>48</v>
      </c>
      <c r="G84" s="4" t="s">
        <v>67</v>
      </c>
      <c r="H84" s="4" t="s">
        <v>68</v>
      </c>
      <c r="I84" s="4">
        <v>1</v>
      </c>
      <c r="J84" s="6">
        <v>1170.02</v>
      </c>
      <c r="K84" s="7">
        <v>0.05</v>
      </c>
      <c r="L84" s="6">
        <f t="shared" si="2"/>
        <v>1111.519</v>
      </c>
      <c r="M84" s="6">
        <v>885.67</v>
      </c>
      <c r="N84" s="8">
        <f t="shared" si="3"/>
        <v>225.84900000000005</v>
      </c>
      <c r="O84" s="4" t="s">
        <v>40</v>
      </c>
      <c r="P84" s="4" t="s">
        <v>33</v>
      </c>
      <c r="Q84" s="4">
        <v>4</v>
      </c>
      <c r="R84" s="4" t="str">
        <f>TEXT(Table1[[#This Row],[Order Date]],"mmm")</f>
        <v>Feb</v>
      </c>
      <c r="S84" s="4" t="str">
        <f>TEXT(Table1[[#This Row],[Order Date]],"mm")</f>
        <v>02</v>
      </c>
      <c r="T84" s="4" t="str">
        <f>IF(Table1[[#This Row],[Sales]]&lt;0,"loss","profit")</f>
        <v>profit</v>
      </c>
      <c r="U84" s="4" t="str" cm="1">
        <f t="array" ref="U84">_xlfn.IFS(Table1[[#This Row],[Sales]]&gt;2000,"large",Table1[[#This Row],[Sales]]&gt;=500,"medium",Table1[[#This Row],[Sales]]&lt;500,"small")</f>
        <v>medium</v>
      </c>
      <c r="V84" s="22">
        <f>Table1[[#This Row],[Profit]]/Table1[[#This Row],[Sales]]*100</f>
        <v>20.318950913119799</v>
      </c>
    </row>
    <row r="85" spans="1:22" x14ac:dyDescent="0.35">
      <c r="A85" s="4" t="s">
        <v>236</v>
      </c>
      <c r="B85" s="5">
        <v>45691</v>
      </c>
      <c r="C85" s="4" t="s">
        <v>237</v>
      </c>
      <c r="D85" s="4" t="s">
        <v>20</v>
      </c>
      <c r="E85" s="4" t="s">
        <v>36</v>
      </c>
      <c r="F85" s="4" t="s">
        <v>201</v>
      </c>
      <c r="G85" s="4" t="s">
        <v>31</v>
      </c>
      <c r="H85" s="4" t="s">
        <v>32</v>
      </c>
      <c r="I85" s="4">
        <v>2</v>
      </c>
      <c r="J85" s="6">
        <v>114.2</v>
      </c>
      <c r="K85" s="7">
        <v>0.05</v>
      </c>
      <c r="L85" s="6">
        <f t="shared" si="2"/>
        <v>216.98</v>
      </c>
      <c r="M85" s="6">
        <v>79.61</v>
      </c>
      <c r="N85" s="8">
        <f t="shared" si="3"/>
        <v>57.759999999999991</v>
      </c>
      <c r="O85" s="4" t="s">
        <v>84</v>
      </c>
      <c r="P85" s="4" t="s">
        <v>118</v>
      </c>
      <c r="Q85" s="4">
        <v>4</v>
      </c>
      <c r="R85" s="4" t="str">
        <f>TEXT(Table1[[#This Row],[Order Date]],"mmm")</f>
        <v>Feb</v>
      </c>
      <c r="S85" s="4" t="str">
        <f>TEXT(Table1[[#This Row],[Order Date]],"mm")</f>
        <v>02</v>
      </c>
      <c r="T85" s="4" t="str">
        <f>IF(Table1[[#This Row],[Sales]]&lt;0,"loss","profit")</f>
        <v>profit</v>
      </c>
      <c r="U85" s="4" t="str" cm="1">
        <f t="array" ref="U85">_xlfn.IFS(Table1[[#This Row],[Sales]]&gt;2000,"large",Table1[[#This Row],[Sales]]&gt;=500,"medium",Table1[[#This Row],[Sales]]&lt;500,"small")</f>
        <v>small</v>
      </c>
      <c r="V85" s="22">
        <f>Table1[[#This Row],[Profit]]/Table1[[#This Row],[Sales]]*100</f>
        <v>26.619964973730291</v>
      </c>
    </row>
    <row r="86" spans="1:22" x14ac:dyDescent="0.35">
      <c r="A86" s="4" t="s">
        <v>238</v>
      </c>
      <c r="B86" s="5">
        <v>45692</v>
      </c>
      <c r="C86" s="4" t="s">
        <v>137</v>
      </c>
      <c r="D86" s="4" t="s">
        <v>20</v>
      </c>
      <c r="E86" s="4" t="s">
        <v>21</v>
      </c>
      <c r="F86" s="4" t="s">
        <v>22</v>
      </c>
      <c r="G86" s="4" t="s">
        <v>38</v>
      </c>
      <c r="H86" s="4" t="s">
        <v>39</v>
      </c>
      <c r="I86" s="4">
        <v>10</v>
      </c>
      <c r="J86" s="6">
        <v>246.63</v>
      </c>
      <c r="K86" s="7">
        <v>0</v>
      </c>
      <c r="L86" s="6">
        <f t="shared" si="2"/>
        <v>2466.3000000000002</v>
      </c>
      <c r="M86" s="6">
        <v>201.63</v>
      </c>
      <c r="N86" s="8">
        <f t="shared" si="3"/>
        <v>450.00000000000023</v>
      </c>
      <c r="O86" s="4" t="s">
        <v>25</v>
      </c>
      <c r="P86" s="4" t="s">
        <v>61</v>
      </c>
      <c r="Q86" s="4">
        <v>3</v>
      </c>
      <c r="R86" s="4" t="str">
        <f>TEXT(Table1[[#This Row],[Order Date]],"mmm")</f>
        <v>Feb</v>
      </c>
      <c r="S86" s="4" t="str">
        <f>TEXT(Table1[[#This Row],[Order Date]],"mm")</f>
        <v>02</v>
      </c>
      <c r="T86" s="4" t="str">
        <f>IF(Table1[[#This Row],[Sales]]&lt;0,"loss","profit")</f>
        <v>profit</v>
      </c>
      <c r="U86" s="4" t="str" cm="1">
        <f t="array" ref="U86">_xlfn.IFS(Table1[[#This Row],[Sales]]&gt;2000,"large",Table1[[#This Row],[Sales]]&gt;=500,"medium",Table1[[#This Row],[Sales]]&lt;500,"small")</f>
        <v>large</v>
      </c>
      <c r="V86" s="22">
        <f>Table1[[#This Row],[Profit]]/Table1[[#This Row],[Sales]]*100</f>
        <v>18.245955479868638</v>
      </c>
    </row>
    <row r="87" spans="1:22" x14ac:dyDescent="0.35">
      <c r="A87" s="4" t="s">
        <v>239</v>
      </c>
      <c r="B87" s="5">
        <v>45692</v>
      </c>
      <c r="C87" s="4" t="s">
        <v>46</v>
      </c>
      <c r="D87" s="4" t="s">
        <v>47</v>
      </c>
      <c r="E87" s="4" t="s">
        <v>36</v>
      </c>
      <c r="F87" s="4" t="s">
        <v>201</v>
      </c>
      <c r="G87" s="4" t="s">
        <v>23</v>
      </c>
      <c r="H87" s="4" t="s">
        <v>135</v>
      </c>
      <c r="I87" s="4">
        <v>2</v>
      </c>
      <c r="J87" s="6">
        <v>9.2200000000000006</v>
      </c>
      <c r="K87" s="7">
        <v>0</v>
      </c>
      <c r="L87" s="6">
        <f t="shared" si="2"/>
        <v>18.440000000000001</v>
      </c>
      <c r="M87" s="6">
        <v>5.68</v>
      </c>
      <c r="N87" s="8">
        <f t="shared" si="3"/>
        <v>7.0800000000000018</v>
      </c>
      <c r="O87" s="4" t="s">
        <v>25</v>
      </c>
      <c r="P87" s="4" t="s">
        <v>118</v>
      </c>
      <c r="Q87" s="4">
        <v>3</v>
      </c>
      <c r="R87" s="4" t="str">
        <f>TEXT(Table1[[#This Row],[Order Date]],"mmm")</f>
        <v>Feb</v>
      </c>
      <c r="S87" s="4" t="str">
        <f>TEXT(Table1[[#This Row],[Order Date]],"mm")</f>
        <v>02</v>
      </c>
      <c r="T87" s="4" t="str">
        <f>IF(Table1[[#This Row],[Sales]]&lt;0,"loss","profit")</f>
        <v>profit</v>
      </c>
      <c r="U87" s="4" t="str" cm="1">
        <f t="array" ref="U87">_xlfn.IFS(Table1[[#This Row],[Sales]]&gt;2000,"large",Table1[[#This Row],[Sales]]&gt;=500,"medium",Table1[[#This Row],[Sales]]&lt;500,"small")</f>
        <v>small</v>
      </c>
      <c r="V87" s="22">
        <f>Table1[[#This Row],[Profit]]/Table1[[#This Row],[Sales]]*100</f>
        <v>38.394793926247296</v>
      </c>
    </row>
    <row r="88" spans="1:22" x14ac:dyDescent="0.35">
      <c r="A88" s="4" t="s">
        <v>240</v>
      </c>
      <c r="B88" s="5">
        <v>45693</v>
      </c>
      <c r="C88" s="4" t="s">
        <v>241</v>
      </c>
      <c r="D88" s="4" t="s">
        <v>43</v>
      </c>
      <c r="E88" s="4" t="s">
        <v>29</v>
      </c>
      <c r="F88" s="4" t="s">
        <v>108</v>
      </c>
      <c r="G88" s="4" t="s">
        <v>49</v>
      </c>
      <c r="H88" s="4" t="s">
        <v>78</v>
      </c>
      <c r="I88" s="4">
        <v>3</v>
      </c>
      <c r="J88" s="6">
        <v>535.91999999999996</v>
      </c>
      <c r="K88" s="7">
        <v>0.05</v>
      </c>
      <c r="L88" s="6">
        <f t="shared" si="2"/>
        <v>1527.3719999999996</v>
      </c>
      <c r="M88" s="6">
        <v>347.56</v>
      </c>
      <c r="N88" s="8">
        <f t="shared" si="3"/>
        <v>484.69199999999955</v>
      </c>
      <c r="O88" s="4" t="s">
        <v>25</v>
      </c>
      <c r="P88" s="4" t="s">
        <v>56</v>
      </c>
      <c r="Q88" s="4">
        <v>5</v>
      </c>
      <c r="R88" s="4" t="str">
        <f>TEXT(Table1[[#This Row],[Order Date]],"mmm")</f>
        <v>Feb</v>
      </c>
      <c r="S88" s="4" t="str">
        <f>TEXT(Table1[[#This Row],[Order Date]],"mm")</f>
        <v>02</v>
      </c>
      <c r="T88" s="4" t="str">
        <f>IF(Table1[[#This Row],[Sales]]&lt;0,"loss","profit")</f>
        <v>profit</v>
      </c>
      <c r="U88" s="4" t="str" cm="1">
        <f t="array" ref="U88">_xlfn.IFS(Table1[[#This Row],[Sales]]&gt;2000,"large",Table1[[#This Row],[Sales]]&gt;=500,"medium",Table1[[#This Row],[Sales]]&lt;500,"small")</f>
        <v>medium</v>
      </c>
      <c r="V88" s="22">
        <f>Table1[[#This Row],[Profit]]/Table1[[#This Row],[Sales]]*100</f>
        <v>31.733723022289244</v>
      </c>
    </row>
    <row r="89" spans="1:22" x14ac:dyDescent="0.35">
      <c r="A89" s="4" t="s">
        <v>242</v>
      </c>
      <c r="B89" s="5">
        <v>45693</v>
      </c>
      <c r="C89" s="4" t="s">
        <v>243</v>
      </c>
      <c r="D89" s="4" t="s">
        <v>20</v>
      </c>
      <c r="E89" s="4" t="s">
        <v>87</v>
      </c>
      <c r="F89" s="4" t="s">
        <v>124</v>
      </c>
      <c r="G89" s="4" t="s">
        <v>23</v>
      </c>
      <c r="H89" s="4" t="s">
        <v>135</v>
      </c>
      <c r="I89" s="4">
        <v>1</v>
      </c>
      <c r="J89" s="6">
        <v>24.12</v>
      </c>
      <c r="K89" s="7">
        <v>0.05</v>
      </c>
      <c r="L89" s="6">
        <f t="shared" si="2"/>
        <v>22.914000000000001</v>
      </c>
      <c r="M89" s="6">
        <v>14.08</v>
      </c>
      <c r="N89" s="8">
        <f t="shared" si="3"/>
        <v>8.8340000000000014</v>
      </c>
      <c r="O89" s="4" t="s">
        <v>51</v>
      </c>
      <c r="P89" s="4" t="s">
        <v>97</v>
      </c>
      <c r="Q89" s="4">
        <v>3</v>
      </c>
      <c r="R89" s="4" t="str">
        <f>TEXT(Table1[[#This Row],[Order Date]],"mmm")</f>
        <v>Feb</v>
      </c>
      <c r="S89" s="4" t="str">
        <f>TEXT(Table1[[#This Row],[Order Date]],"mm")</f>
        <v>02</v>
      </c>
      <c r="T89" s="4" t="str">
        <f>IF(Table1[[#This Row],[Sales]]&lt;0,"loss","profit")</f>
        <v>profit</v>
      </c>
      <c r="U89" s="4" t="str" cm="1">
        <f t="array" ref="U89">_xlfn.IFS(Table1[[#This Row],[Sales]]&gt;2000,"large",Table1[[#This Row],[Sales]]&gt;=500,"medium",Table1[[#This Row],[Sales]]&lt;500,"small")</f>
        <v>small</v>
      </c>
      <c r="V89" s="22">
        <f>Table1[[#This Row],[Profit]]/Table1[[#This Row],[Sales]]*100</f>
        <v>38.552849786156941</v>
      </c>
    </row>
    <row r="90" spans="1:22" x14ac:dyDescent="0.35">
      <c r="A90" s="4" t="s">
        <v>244</v>
      </c>
      <c r="B90" s="5">
        <v>45693</v>
      </c>
      <c r="C90" s="4" t="s">
        <v>245</v>
      </c>
      <c r="D90" s="4" t="s">
        <v>20</v>
      </c>
      <c r="E90" s="4" t="s">
        <v>87</v>
      </c>
      <c r="F90" s="4" t="s">
        <v>88</v>
      </c>
      <c r="G90" s="4" t="s">
        <v>31</v>
      </c>
      <c r="H90" s="4" t="s">
        <v>147</v>
      </c>
      <c r="I90" s="4">
        <v>2</v>
      </c>
      <c r="J90" s="6">
        <v>79.39</v>
      </c>
      <c r="K90" s="7">
        <v>0.05</v>
      </c>
      <c r="L90" s="6">
        <f t="shared" si="2"/>
        <v>150.84100000000001</v>
      </c>
      <c r="M90" s="6">
        <v>48.42</v>
      </c>
      <c r="N90" s="8">
        <f t="shared" si="3"/>
        <v>54.001000000000005</v>
      </c>
      <c r="O90" s="4" t="s">
        <v>84</v>
      </c>
      <c r="P90" s="4" t="s">
        <v>97</v>
      </c>
      <c r="Q90" s="4">
        <v>4</v>
      </c>
      <c r="R90" s="4" t="str">
        <f>TEXT(Table1[[#This Row],[Order Date]],"mmm")</f>
        <v>Feb</v>
      </c>
      <c r="S90" s="4" t="str">
        <f>TEXT(Table1[[#This Row],[Order Date]],"mm")</f>
        <v>02</v>
      </c>
      <c r="T90" s="4" t="str">
        <f>IF(Table1[[#This Row],[Sales]]&lt;0,"loss","profit")</f>
        <v>profit</v>
      </c>
      <c r="U90" s="4" t="str" cm="1">
        <f t="array" ref="U90">_xlfn.IFS(Table1[[#This Row],[Sales]]&gt;2000,"large",Table1[[#This Row],[Sales]]&gt;=500,"medium",Table1[[#This Row],[Sales]]&lt;500,"small")</f>
        <v>small</v>
      </c>
      <c r="V90" s="22">
        <f>Table1[[#This Row],[Profit]]/Table1[[#This Row],[Sales]]*100</f>
        <v>35.799948289921176</v>
      </c>
    </row>
    <row r="91" spans="1:22" x14ac:dyDescent="0.35">
      <c r="A91" s="4" t="s">
        <v>246</v>
      </c>
      <c r="B91" s="5">
        <v>45693</v>
      </c>
      <c r="C91" s="4" t="s">
        <v>247</v>
      </c>
      <c r="D91" s="4" t="s">
        <v>20</v>
      </c>
      <c r="E91" s="4" t="s">
        <v>21</v>
      </c>
      <c r="F91" s="4" t="s">
        <v>59</v>
      </c>
      <c r="G91" s="4" t="s">
        <v>23</v>
      </c>
      <c r="H91" s="4" t="s">
        <v>44</v>
      </c>
      <c r="I91" s="4">
        <v>1</v>
      </c>
      <c r="J91" s="6">
        <v>144.74</v>
      </c>
      <c r="K91" s="7">
        <v>0</v>
      </c>
      <c r="L91" s="6">
        <f t="shared" si="2"/>
        <v>144.74</v>
      </c>
      <c r="M91" s="6">
        <v>67.45</v>
      </c>
      <c r="N91" s="8">
        <f t="shared" si="3"/>
        <v>77.290000000000006</v>
      </c>
      <c r="O91" s="4" t="s">
        <v>40</v>
      </c>
      <c r="P91" s="4" t="s">
        <v>97</v>
      </c>
      <c r="Q91" s="4">
        <v>3</v>
      </c>
      <c r="R91" s="4" t="str">
        <f>TEXT(Table1[[#This Row],[Order Date]],"mmm")</f>
        <v>Feb</v>
      </c>
      <c r="S91" s="4" t="str">
        <f>TEXT(Table1[[#This Row],[Order Date]],"mm")</f>
        <v>02</v>
      </c>
      <c r="T91" s="4" t="str">
        <f>IF(Table1[[#This Row],[Sales]]&lt;0,"loss","profit")</f>
        <v>profit</v>
      </c>
      <c r="U91" s="4" t="str" cm="1">
        <f t="array" ref="U91">_xlfn.IFS(Table1[[#This Row],[Sales]]&gt;2000,"large",Table1[[#This Row],[Sales]]&gt;=500,"medium",Table1[[#This Row],[Sales]]&lt;500,"small")</f>
        <v>small</v>
      </c>
      <c r="V91" s="22">
        <f>Table1[[#This Row],[Profit]]/Table1[[#This Row],[Sales]]*100</f>
        <v>53.399198562940441</v>
      </c>
    </row>
    <row r="92" spans="1:22" x14ac:dyDescent="0.35">
      <c r="A92" s="4" t="s">
        <v>248</v>
      </c>
      <c r="B92" s="5">
        <v>45693</v>
      </c>
      <c r="C92" s="4" t="s">
        <v>249</v>
      </c>
      <c r="D92" s="4" t="s">
        <v>20</v>
      </c>
      <c r="E92" s="4" t="s">
        <v>36</v>
      </c>
      <c r="F92" s="4" t="s">
        <v>37</v>
      </c>
      <c r="G92" s="4" t="s">
        <v>38</v>
      </c>
      <c r="H92" s="4" t="s">
        <v>39</v>
      </c>
      <c r="I92" s="4">
        <v>2</v>
      </c>
      <c r="J92" s="6">
        <v>206.66</v>
      </c>
      <c r="K92" s="7">
        <v>0.2</v>
      </c>
      <c r="L92" s="6">
        <f t="shared" si="2"/>
        <v>330.65600000000001</v>
      </c>
      <c r="M92" s="6">
        <v>175.01</v>
      </c>
      <c r="N92" s="8">
        <f t="shared" si="3"/>
        <v>-19.363999999999976</v>
      </c>
      <c r="O92" s="4" t="s">
        <v>25</v>
      </c>
      <c r="P92" s="4" t="s">
        <v>72</v>
      </c>
      <c r="Q92" s="4">
        <v>5</v>
      </c>
      <c r="R92" s="4" t="str">
        <f>TEXT(Table1[[#This Row],[Order Date]],"mmm")</f>
        <v>Feb</v>
      </c>
      <c r="S92" s="4" t="str">
        <f>TEXT(Table1[[#This Row],[Order Date]],"mm")</f>
        <v>02</v>
      </c>
      <c r="T92" s="4" t="str">
        <f>IF(Table1[[#This Row],[Sales]]&lt;0,"loss","profit")</f>
        <v>profit</v>
      </c>
      <c r="U92" s="4" t="str" cm="1">
        <f t="array" ref="U92">_xlfn.IFS(Table1[[#This Row],[Sales]]&gt;2000,"large",Table1[[#This Row],[Sales]]&gt;=500,"medium",Table1[[#This Row],[Sales]]&lt;500,"small")</f>
        <v>small</v>
      </c>
      <c r="V92" s="22">
        <f>Table1[[#This Row],[Profit]]/Table1[[#This Row],[Sales]]*100</f>
        <v>-5.8562372979773469</v>
      </c>
    </row>
    <row r="93" spans="1:22" x14ac:dyDescent="0.35">
      <c r="A93" s="4" t="s">
        <v>250</v>
      </c>
      <c r="B93" s="5">
        <v>45693</v>
      </c>
      <c r="C93" s="4" t="s">
        <v>77</v>
      </c>
      <c r="D93" s="4" t="s">
        <v>43</v>
      </c>
      <c r="E93" s="4" t="s">
        <v>29</v>
      </c>
      <c r="F93" s="4" t="s">
        <v>30</v>
      </c>
      <c r="G93" s="4" t="s">
        <v>49</v>
      </c>
      <c r="H93" s="4" t="s">
        <v>78</v>
      </c>
      <c r="I93" s="4">
        <v>2</v>
      </c>
      <c r="J93" s="6">
        <v>608.19000000000005</v>
      </c>
      <c r="K93" s="7">
        <v>0.05</v>
      </c>
      <c r="L93" s="6">
        <f t="shared" si="2"/>
        <v>1155.5610000000001</v>
      </c>
      <c r="M93" s="6">
        <v>372.18</v>
      </c>
      <c r="N93" s="8">
        <f t="shared" si="3"/>
        <v>411.20100000000014</v>
      </c>
      <c r="O93" s="4" t="s">
        <v>25</v>
      </c>
      <c r="P93" s="4" t="s">
        <v>56</v>
      </c>
      <c r="Q93" s="4">
        <v>4</v>
      </c>
      <c r="R93" s="4" t="str">
        <f>TEXT(Table1[[#This Row],[Order Date]],"mmm")</f>
        <v>Feb</v>
      </c>
      <c r="S93" s="4" t="str">
        <f>TEXT(Table1[[#This Row],[Order Date]],"mm")</f>
        <v>02</v>
      </c>
      <c r="T93" s="4" t="str">
        <f>IF(Table1[[#This Row],[Sales]]&lt;0,"loss","profit")</f>
        <v>profit</v>
      </c>
      <c r="U93" s="4" t="str" cm="1">
        <f t="array" ref="U93">_xlfn.IFS(Table1[[#This Row],[Sales]]&gt;2000,"large",Table1[[#This Row],[Sales]]&gt;=500,"medium",Table1[[#This Row],[Sales]]&lt;500,"small")</f>
        <v>medium</v>
      </c>
      <c r="V93" s="22">
        <f>Table1[[#This Row],[Profit]]/Table1[[#This Row],[Sales]]*100</f>
        <v>35.584534265175108</v>
      </c>
    </row>
    <row r="94" spans="1:22" x14ac:dyDescent="0.35">
      <c r="A94" s="4" t="s">
        <v>251</v>
      </c>
      <c r="B94" s="5">
        <v>45693</v>
      </c>
      <c r="C94" s="4" t="s">
        <v>189</v>
      </c>
      <c r="D94" s="4" t="s">
        <v>43</v>
      </c>
      <c r="E94" s="4" t="s">
        <v>87</v>
      </c>
      <c r="F94" s="4" t="s">
        <v>92</v>
      </c>
      <c r="G94" s="4" t="s">
        <v>23</v>
      </c>
      <c r="H94" s="4" t="s">
        <v>44</v>
      </c>
      <c r="I94" s="4">
        <v>1</v>
      </c>
      <c r="J94" s="6">
        <v>138.21</v>
      </c>
      <c r="K94" s="7">
        <v>0.2</v>
      </c>
      <c r="L94" s="6">
        <f t="shared" si="2"/>
        <v>110.56800000000001</v>
      </c>
      <c r="M94" s="6">
        <v>56.85</v>
      </c>
      <c r="N94" s="8">
        <f t="shared" si="3"/>
        <v>53.718000000000011</v>
      </c>
      <c r="O94" s="4" t="s">
        <v>40</v>
      </c>
      <c r="P94" s="4" t="s">
        <v>33</v>
      </c>
      <c r="Q94" s="4">
        <v>5</v>
      </c>
      <c r="R94" s="4" t="str">
        <f>TEXT(Table1[[#This Row],[Order Date]],"mmm")</f>
        <v>Feb</v>
      </c>
      <c r="S94" s="4" t="str">
        <f>TEXT(Table1[[#This Row],[Order Date]],"mm")</f>
        <v>02</v>
      </c>
      <c r="T94" s="4" t="str">
        <f>IF(Table1[[#This Row],[Sales]]&lt;0,"loss","profit")</f>
        <v>profit</v>
      </c>
      <c r="U94" s="4" t="str" cm="1">
        <f t="array" ref="U94">_xlfn.IFS(Table1[[#This Row],[Sales]]&gt;2000,"large",Table1[[#This Row],[Sales]]&gt;=500,"medium",Table1[[#This Row],[Sales]]&lt;500,"small")</f>
        <v>small</v>
      </c>
      <c r="V94" s="22">
        <f>Table1[[#This Row],[Profit]]/Table1[[#This Row],[Sales]]*100</f>
        <v>48.583677013240724</v>
      </c>
    </row>
    <row r="95" spans="1:22" x14ac:dyDescent="0.35">
      <c r="A95" s="4" t="s">
        <v>252</v>
      </c>
      <c r="B95" s="5">
        <v>45693</v>
      </c>
      <c r="C95" s="4" t="s">
        <v>70</v>
      </c>
      <c r="D95" s="4" t="s">
        <v>47</v>
      </c>
      <c r="E95" s="4" t="s">
        <v>36</v>
      </c>
      <c r="F95" s="4" t="s">
        <v>48</v>
      </c>
      <c r="G95" s="4" t="s">
        <v>38</v>
      </c>
      <c r="H95" s="4" t="s">
        <v>39</v>
      </c>
      <c r="I95" s="4">
        <v>1</v>
      </c>
      <c r="J95" s="6">
        <v>180.32</v>
      </c>
      <c r="K95" s="7">
        <v>0.1</v>
      </c>
      <c r="L95" s="6">
        <f t="shared" si="2"/>
        <v>162.28800000000001</v>
      </c>
      <c r="M95" s="6">
        <v>147.09</v>
      </c>
      <c r="N95" s="8">
        <f t="shared" si="3"/>
        <v>15.198000000000008</v>
      </c>
      <c r="O95" s="4" t="s">
        <v>60</v>
      </c>
      <c r="P95" s="4" t="s">
        <v>72</v>
      </c>
      <c r="Q95" s="4">
        <v>4</v>
      </c>
      <c r="R95" s="4" t="str">
        <f>TEXT(Table1[[#This Row],[Order Date]],"mmm")</f>
        <v>Feb</v>
      </c>
      <c r="S95" s="4" t="str">
        <f>TEXT(Table1[[#This Row],[Order Date]],"mm")</f>
        <v>02</v>
      </c>
      <c r="T95" s="4" t="str">
        <f>IF(Table1[[#This Row],[Sales]]&lt;0,"loss","profit")</f>
        <v>profit</v>
      </c>
      <c r="U95" s="4" t="str" cm="1">
        <f t="array" ref="U95">_xlfn.IFS(Table1[[#This Row],[Sales]]&gt;2000,"large",Table1[[#This Row],[Sales]]&gt;=500,"medium",Table1[[#This Row],[Sales]]&lt;500,"small")</f>
        <v>small</v>
      </c>
      <c r="V95" s="22">
        <f>Table1[[#This Row],[Profit]]/Table1[[#This Row],[Sales]]*100</f>
        <v>9.364832889677615</v>
      </c>
    </row>
    <row r="96" spans="1:22" x14ac:dyDescent="0.35">
      <c r="A96" s="4" t="s">
        <v>253</v>
      </c>
      <c r="B96" s="5">
        <v>45694</v>
      </c>
      <c r="C96" s="4" t="s">
        <v>254</v>
      </c>
      <c r="D96" s="4" t="s">
        <v>43</v>
      </c>
      <c r="E96" s="4" t="s">
        <v>87</v>
      </c>
      <c r="F96" s="4" t="s">
        <v>88</v>
      </c>
      <c r="G96" s="4" t="s">
        <v>38</v>
      </c>
      <c r="H96" s="4" t="s">
        <v>96</v>
      </c>
      <c r="I96" s="4">
        <v>8</v>
      </c>
      <c r="J96" s="6">
        <v>331.66</v>
      </c>
      <c r="K96" s="7">
        <v>0.2</v>
      </c>
      <c r="L96" s="6">
        <f t="shared" si="2"/>
        <v>2122.6240000000003</v>
      </c>
      <c r="M96" s="6">
        <v>274.99</v>
      </c>
      <c r="N96" s="8">
        <f t="shared" si="3"/>
        <v>-77.295999999999822</v>
      </c>
      <c r="O96" s="4" t="s">
        <v>40</v>
      </c>
      <c r="P96" s="4" t="s">
        <v>26</v>
      </c>
      <c r="Q96" s="4">
        <v>4</v>
      </c>
      <c r="R96" s="4" t="str">
        <f>TEXT(Table1[[#This Row],[Order Date]],"mmm")</f>
        <v>Feb</v>
      </c>
      <c r="S96" s="4" t="str">
        <f>TEXT(Table1[[#This Row],[Order Date]],"mm")</f>
        <v>02</v>
      </c>
      <c r="T96" s="4" t="str">
        <f>IF(Table1[[#This Row],[Sales]]&lt;0,"loss","profit")</f>
        <v>profit</v>
      </c>
      <c r="U96" s="4" t="str" cm="1">
        <f t="array" ref="U96">_xlfn.IFS(Table1[[#This Row],[Sales]]&gt;2000,"large",Table1[[#This Row],[Sales]]&gt;=500,"medium",Table1[[#This Row],[Sales]]&lt;500,"small")</f>
        <v>large</v>
      </c>
      <c r="V96" s="22">
        <f>Table1[[#This Row],[Profit]]/Table1[[#This Row],[Sales]]*100</f>
        <v>-3.6415304830247757</v>
      </c>
    </row>
    <row r="97" spans="1:22" x14ac:dyDescent="0.35">
      <c r="A97" s="4" t="s">
        <v>255</v>
      </c>
      <c r="B97" s="5">
        <v>45694</v>
      </c>
      <c r="C97" s="4" t="s">
        <v>256</v>
      </c>
      <c r="D97" s="4" t="s">
        <v>47</v>
      </c>
      <c r="E97" s="4" t="s">
        <v>21</v>
      </c>
      <c r="F97" s="4" t="s">
        <v>59</v>
      </c>
      <c r="G97" s="4" t="s">
        <v>31</v>
      </c>
      <c r="H97" s="4" t="s">
        <v>64</v>
      </c>
      <c r="I97" s="4">
        <v>3</v>
      </c>
      <c r="J97" s="6">
        <v>107.45</v>
      </c>
      <c r="K97" s="7">
        <v>0.05</v>
      </c>
      <c r="L97" s="6">
        <f t="shared" si="2"/>
        <v>306.23250000000002</v>
      </c>
      <c r="M97" s="6">
        <v>66.709999999999994</v>
      </c>
      <c r="N97" s="8">
        <f t="shared" si="3"/>
        <v>106.10250000000002</v>
      </c>
      <c r="O97" s="4" t="s">
        <v>84</v>
      </c>
      <c r="P97" s="4" t="s">
        <v>97</v>
      </c>
      <c r="Q97" s="4">
        <v>5</v>
      </c>
      <c r="R97" s="4" t="str">
        <f>TEXT(Table1[[#This Row],[Order Date]],"mmm")</f>
        <v>Feb</v>
      </c>
      <c r="S97" s="4" t="str">
        <f>TEXT(Table1[[#This Row],[Order Date]],"mm")</f>
        <v>02</v>
      </c>
      <c r="T97" s="4" t="str">
        <f>IF(Table1[[#This Row],[Sales]]&lt;0,"loss","profit")</f>
        <v>profit</v>
      </c>
      <c r="U97" s="4" t="str" cm="1">
        <f t="array" ref="U97">_xlfn.IFS(Table1[[#This Row],[Sales]]&gt;2000,"large",Table1[[#This Row],[Sales]]&gt;=500,"medium",Table1[[#This Row],[Sales]]&lt;500,"small")</f>
        <v>small</v>
      </c>
      <c r="V97" s="22">
        <f>Table1[[#This Row],[Profit]]/Table1[[#This Row],[Sales]]*100</f>
        <v>34.647694153951662</v>
      </c>
    </row>
    <row r="98" spans="1:22" x14ac:dyDescent="0.35">
      <c r="A98" s="4" t="s">
        <v>257</v>
      </c>
      <c r="B98" s="5">
        <v>45694</v>
      </c>
      <c r="C98" s="4" t="s">
        <v>258</v>
      </c>
      <c r="D98" s="4" t="s">
        <v>47</v>
      </c>
      <c r="E98" s="4" t="s">
        <v>29</v>
      </c>
      <c r="F98" s="4" t="s">
        <v>54</v>
      </c>
      <c r="G98" s="4" t="s">
        <v>38</v>
      </c>
      <c r="H98" s="4" t="s">
        <v>89</v>
      </c>
      <c r="I98" s="4">
        <v>8</v>
      </c>
      <c r="J98" s="6">
        <v>1397.88</v>
      </c>
      <c r="K98" s="7">
        <v>0.2</v>
      </c>
      <c r="L98" s="6">
        <f t="shared" si="2"/>
        <v>8946.4320000000007</v>
      </c>
      <c r="M98" s="6">
        <v>1174.8499999999999</v>
      </c>
      <c r="N98" s="8">
        <f t="shared" si="3"/>
        <v>-452.36799999999857</v>
      </c>
      <c r="O98" s="4" t="s">
        <v>60</v>
      </c>
      <c r="P98" s="4" t="s">
        <v>33</v>
      </c>
      <c r="Q98" s="4">
        <v>4</v>
      </c>
      <c r="R98" s="4" t="str">
        <f>TEXT(Table1[[#This Row],[Order Date]],"mmm")</f>
        <v>Feb</v>
      </c>
      <c r="S98" s="4" t="str">
        <f>TEXT(Table1[[#This Row],[Order Date]],"mm")</f>
        <v>02</v>
      </c>
      <c r="T98" s="4" t="str">
        <f>IF(Table1[[#This Row],[Sales]]&lt;0,"loss","profit")</f>
        <v>profit</v>
      </c>
      <c r="U98" s="4" t="str" cm="1">
        <f t="array" ref="U98">_xlfn.IFS(Table1[[#This Row],[Sales]]&gt;2000,"large",Table1[[#This Row],[Sales]]&gt;=500,"medium",Table1[[#This Row],[Sales]]&lt;500,"small")</f>
        <v>large</v>
      </c>
      <c r="V98" s="22">
        <f>Table1[[#This Row],[Profit]]/Table1[[#This Row],[Sales]]*100</f>
        <v>-5.0564068446504544</v>
      </c>
    </row>
    <row r="99" spans="1:22" x14ac:dyDescent="0.35">
      <c r="A99" s="4" t="s">
        <v>259</v>
      </c>
      <c r="B99" s="5">
        <v>45694</v>
      </c>
      <c r="C99" s="4" t="s">
        <v>260</v>
      </c>
      <c r="D99" s="4" t="s">
        <v>47</v>
      </c>
      <c r="E99" s="4" t="s">
        <v>29</v>
      </c>
      <c r="F99" s="4" t="s">
        <v>54</v>
      </c>
      <c r="G99" s="4" t="s">
        <v>38</v>
      </c>
      <c r="H99" s="4" t="s">
        <v>55</v>
      </c>
      <c r="I99" s="4">
        <v>5</v>
      </c>
      <c r="J99" s="6">
        <v>106.83</v>
      </c>
      <c r="K99" s="7">
        <v>0.05</v>
      </c>
      <c r="L99" s="6">
        <f t="shared" si="2"/>
        <v>507.44249999999994</v>
      </c>
      <c r="M99" s="6">
        <v>80.3</v>
      </c>
      <c r="N99" s="8">
        <f t="shared" si="3"/>
        <v>105.94249999999994</v>
      </c>
      <c r="O99" s="4" t="s">
        <v>25</v>
      </c>
      <c r="P99" s="4" t="s">
        <v>61</v>
      </c>
      <c r="Q99" s="4">
        <v>5</v>
      </c>
      <c r="R99" s="4" t="str">
        <f>TEXT(Table1[[#This Row],[Order Date]],"mmm")</f>
        <v>Feb</v>
      </c>
      <c r="S99" s="4" t="str">
        <f>TEXT(Table1[[#This Row],[Order Date]],"mm")</f>
        <v>02</v>
      </c>
      <c r="T99" s="4" t="str">
        <f>IF(Table1[[#This Row],[Sales]]&lt;0,"loss","profit")</f>
        <v>profit</v>
      </c>
      <c r="U99" s="4" t="str" cm="1">
        <f t="array" ref="U99">_xlfn.IFS(Table1[[#This Row],[Sales]]&gt;2000,"large",Table1[[#This Row],[Sales]]&gt;=500,"medium",Table1[[#This Row],[Sales]]&lt;500,"small")</f>
        <v>medium</v>
      </c>
      <c r="V99" s="22">
        <f>Table1[[#This Row],[Profit]]/Table1[[#This Row],[Sales]]*100</f>
        <v>20.877734915778625</v>
      </c>
    </row>
    <row r="100" spans="1:22" x14ac:dyDescent="0.35">
      <c r="A100" s="4" t="s">
        <v>261</v>
      </c>
      <c r="B100" s="5">
        <v>45695</v>
      </c>
      <c r="C100" s="4" t="s">
        <v>262</v>
      </c>
      <c r="D100" s="4" t="s">
        <v>20</v>
      </c>
      <c r="E100" s="4" t="s">
        <v>36</v>
      </c>
      <c r="F100" s="4" t="s">
        <v>37</v>
      </c>
      <c r="G100" s="4" t="s">
        <v>23</v>
      </c>
      <c r="H100" s="4" t="s">
        <v>24</v>
      </c>
      <c r="I100" s="4">
        <v>3</v>
      </c>
      <c r="J100" s="6">
        <v>25.92</v>
      </c>
      <c r="K100" s="7">
        <v>0</v>
      </c>
      <c r="L100" s="6">
        <f t="shared" si="2"/>
        <v>77.760000000000005</v>
      </c>
      <c r="M100" s="6">
        <v>14.66</v>
      </c>
      <c r="N100" s="8">
        <f t="shared" si="3"/>
        <v>33.78</v>
      </c>
      <c r="O100" s="4" t="s">
        <v>40</v>
      </c>
      <c r="P100" s="4" t="s">
        <v>97</v>
      </c>
      <c r="Q100" s="4">
        <v>4</v>
      </c>
      <c r="R100" s="4" t="str">
        <f>TEXT(Table1[[#This Row],[Order Date]],"mmm")</f>
        <v>Feb</v>
      </c>
      <c r="S100" s="4" t="str">
        <f>TEXT(Table1[[#This Row],[Order Date]],"mm")</f>
        <v>02</v>
      </c>
      <c r="T100" s="4" t="str">
        <f>IF(Table1[[#This Row],[Sales]]&lt;0,"loss","profit")</f>
        <v>profit</v>
      </c>
      <c r="U100" s="4" t="str" cm="1">
        <f t="array" ref="U100">_xlfn.IFS(Table1[[#This Row],[Sales]]&gt;2000,"large",Table1[[#This Row],[Sales]]&gt;=500,"medium",Table1[[#This Row],[Sales]]&lt;500,"small")</f>
        <v>small</v>
      </c>
      <c r="V100" s="22">
        <f>Table1[[#This Row],[Profit]]/Table1[[#This Row],[Sales]]*100</f>
        <v>43.441358024691354</v>
      </c>
    </row>
    <row r="101" spans="1:22" x14ac:dyDescent="0.35">
      <c r="A101" s="4" t="s">
        <v>263</v>
      </c>
      <c r="B101" s="5">
        <v>45695</v>
      </c>
      <c r="C101" s="4" t="s">
        <v>264</v>
      </c>
      <c r="D101" s="4" t="s">
        <v>43</v>
      </c>
      <c r="E101" s="4" t="s">
        <v>36</v>
      </c>
      <c r="F101" s="4" t="s">
        <v>48</v>
      </c>
      <c r="G101" s="4" t="s">
        <v>38</v>
      </c>
      <c r="H101" s="4" t="s">
        <v>89</v>
      </c>
      <c r="I101" s="4">
        <v>1</v>
      </c>
      <c r="J101" s="6">
        <v>788.59</v>
      </c>
      <c r="K101" s="7">
        <v>0</v>
      </c>
      <c r="L101" s="6">
        <f t="shared" si="2"/>
        <v>788.59</v>
      </c>
      <c r="M101" s="6">
        <v>693.1</v>
      </c>
      <c r="N101" s="8">
        <f t="shared" si="3"/>
        <v>95.490000000000009</v>
      </c>
      <c r="O101" s="4" t="s">
        <v>25</v>
      </c>
      <c r="P101" s="4" t="s">
        <v>33</v>
      </c>
      <c r="Q101" s="4">
        <v>4</v>
      </c>
      <c r="R101" s="4" t="str">
        <f>TEXT(Table1[[#This Row],[Order Date]],"mmm")</f>
        <v>Feb</v>
      </c>
      <c r="S101" s="4" t="str">
        <f>TEXT(Table1[[#This Row],[Order Date]],"mm")</f>
        <v>02</v>
      </c>
      <c r="T101" s="4" t="str">
        <f>IF(Table1[[#This Row],[Sales]]&lt;0,"loss","profit")</f>
        <v>profit</v>
      </c>
      <c r="U101" s="4" t="str" cm="1">
        <f t="array" ref="U101">_xlfn.IFS(Table1[[#This Row],[Sales]]&gt;2000,"large",Table1[[#This Row],[Sales]]&gt;=500,"medium",Table1[[#This Row],[Sales]]&lt;500,"small")</f>
        <v>medium</v>
      </c>
      <c r="V101" s="22">
        <f>Table1[[#This Row],[Profit]]/Table1[[#This Row],[Sales]]*100</f>
        <v>12.10895395579452</v>
      </c>
    </row>
    <row r="102" spans="1:22" x14ac:dyDescent="0.35">
      <c r="A102" s="4" t="s">
        <v>265</v>
      </c>
      <c r="B102" s="5">
        <v>45695</v>
      </c>
      <c r="C102" s="4" t="s">
        <v>266</v>
      </c>
      <c r="D102" s="4" t="s">
        <v>20</v>
      </c>
      <c r="E102" s="4" t="s">
        <v>21</v>
      </c>
      <c r="F102" s="4" t="s">
        <v>59</v>
      </c>
      <c r="G102" s="4" t="s">
        <v>23</v>
      </c>
      <c r="H102" s="4" t="s">
        <v>71</v>
      </c>
      <c r="I102" s="4">
        <v>1</v>
      </c>
      <c r="J102" s="6">
        <v>159.38999999999999</v>
      </c>
      <c r="K102" s="7">
        <v>0</v>
      </c>
      <c r="L102" s="6">
        <f t="shared" si="2"/>
        <v>159.38999999999999</v>
      </c>
      <c r="M102" s="6">
        <v>76</v>
      </c>
      <c r="N102" s="8">
        <f t="shared" si="3"/>
        <v>83.389999999999986</v>
      </c>
      <c r="O102" s="4" t="s">
        <v>51</v>
      </c>
      <c r="P102" s="4" t="s">
        <v>33</v>
      </c>
      <c r="Q102" s="4">
        <v>4</v>
      </c>
      <c r="R102" s="4" t="str">
        <f>TEXT(Table1[[#This Row],[Order Date]],"mmm")</f>
        <v>Feb</v>
      </c>
      <c r="S102" s="4" t="str">
        <f>TEXT(Table1[[#This Row],[Order Date]],"mm")</f>
        <v>02</v>
      </c>
      <c r="T102" s="4" t="str">
        <f>IF(Table1[[#This Row],[Sales]]&lt;0,"loss","profit")</f>
        <v>profit</v>
      </c>
      <c r="U102" s="4" t="str" cm="1">
        <f t="array" ref="U102">_xlfn.IFS(Table1[[#This Row],[Sales]]&gt;2000,"large",Table1[[#This Row],[Sales]]&gt;=500,"medium",Table1[[#This Row],[Sales]]&lt;500,"small")</f>
        <v>small</v>
      </c>
      <c r="V102" s="22">
        <f>Table1[[#This Row],[Profit]]/Table1[[#This Row],[Sales]]*100</f>
        <v>52.318213187778404</v>
      </c>
    </row>
    <row r="103" spans="1:22" x14ac:dyDescent="0.35">
      <c r="A103" s="4" t="s">
        <v>267</v>
      </c>
      <c r="B103" s="5">
        <v>45695</v>
      </c>
      <c r="C103" s="4" t="s">
        <v>268</v>
      </c>
      <c r="D103" s="4" t="s">
        <v>43</v>
      </c>
      <c r="E103" s="4" t="s">
        <v>87</v>
      </c>
      <c r="F103" s="4" t="s">
        <v>92</v>
      </c>
      <c r="G103" s="4" t="s">
        <v>23</v>
      </c>
      <c r="H103" s="4" t="s">
        <v>71</v>
      </c>
      <c r="I103" s="4">
        <v>1</v>
      </c>
      <c r="J103" s="6">
        <v>109.32</v>
      </c>
      <c r="K103" s="7">
        <v>0.1</v>
      </c>
      <c r="L103" s="6">
        <f t="shared" si="2"/>
        <v>98.387999999999991</v>
      </c>
      <c r="M103" s="6">
        <v>65.02</v>
      </c>
      <c r="N103" s="8">
        <f t="shared" si="3"/>
        <v>33.367999999999995</v>
      </c>
      <c r="O103" s="4" t="s">
        <v>40</v>
      </c>
      <c r="P103" s="4" t="s">
        <v>26</v>
      </c>
      <c r="Q103" s="4">
        <v>5</v>
      </c>
      <c r="R103" s="4" t="str">
        <f>TEXT(Table1[[#This Row],[Order Date]],"mmm")</f>
        <v>Feb</v>
      </c>
      <c r="S103" s="4" t="str">
        <f>TEXT(Table1[[#This Row],[Order Date]],"mm")</f>
        <v>02</v>
      </c>
      <c r="T103" s="4" t="str">
        <f>IF(Table1[[#This Row],[Sales]]&lt;0,"loss","profit")</f>
        <v>profit</v>
      </c>
      <c r="U103" s="4" t="str" cm="1">
        <f t="array" ref="U103">_xlfn.IFS(Table1[[#This Row],[Sales]]&gt;2000,"large",Table1[[#This Row],[Sales]]&gt;=500,"medium",Table1[[#This Row],[Sales]]&lt;500,"small")</f>
        <v>small</v>
      </c>
      <c r="V103" s="22">
        <f>Table1[[#This Row],[Profit]]/Table1[[#This Row],[Sales]]*100</f>
        <v>33.914705045330727</v>
      </c>
    </row>
    <row r="104" spans="1:22" x14ac:dyDescent="0.35">
      <c r="A104" s="4" t="s">
        <v>269</v>
      </c>
      <c r="B104" s="5">
        <v>45696</v>
      </c>
      <c r="C104" s="4" t="s">
        <v>270</v>
      </c>
      <c r="D104" s="4" t="s">
        <v>20</v>
      </c>
      <c r="E104" s="4" t="s">
        <v>21</v>
      </c>
      <c r="F104" s="4" t="s">
        <v>59</v>
      </c>
      <c r="G104" s="4" t="s">
        <v>31</v>
      </c>
      <c r="H104" s="4" t="s">
        <v>125</v>
      </c>
      <c r="I104" s="4">
        <v>2</v>
      </c>
      <c r="J104" s="6">
        <v>159.52000000000001</v>
      </c>
      <c r="K104" s="7">
        <v>0.1</v>
      </c>
      <c r="L104" s="6">
        <f t="shared" si="2"/>
        <v>287.13600000000002</v>
      </c>
      <c r="M104" s="6">
        <v>97.93</v>
      </c>
      <c r="N104" s="8">
        <f t="shared" si="3"/>
        <v>91.27600000000001</v>
      </c>
      <c r="O104" s="4" t="s">
        <v>60</v>
      </c>
      <c r="P104" s="4" t="s">
        <v>75</v>
      </c>
      <c r="Q104" s="4">
        <v>5</v>
      </c>
      <c r="R104" s="4" t="str">
        <f>TEXT(Table1[[#This Row],[Order Date]],"mmm")</f>
        <v>Feb</v>
      </c>
      <c r="S104" s="4" t="str">
        <f>TEXT(Table1[[#This Row],[Order Date]],"mm")</f>
        <v>02</v>
      </c>
      <c r="T104" s="4" t="str">
        <f>IF(Table1[[#This Row],[Sales]]&lt;0,"loss","profit")</f>
        <v>profit</v>
      </c>
      <c r="U104" s="4" t="str" cm="1">
        <f t="array" ref="U104">_xlfn.IFS(Table1[[#This Row],[Sales]]&gt;2000,"large",Table1[[#This Row],[Sales]]&gt;=500,"medium",Table1[[#This Row],[Sales]]&lt;500,"small")</f>
        <v>small</v>
      </c>
      <c r="V104" s="22">
        <f>Table1[[#This Row],[Profit]]/Table1[[#This Row],[Sales]]*100</f>
        <v>31.788420818009584</v>
      </c>
    </row>
    <row r="105" spans="1:22" x14ac:dyDescent="0.35">
      <c r="A105" s="4" t="s">
        <v>271</v>
      </c>
      <c r="B105" s="5">
        <v>45696</v>
      </c>
      <c r="C105" s="4" t="s">
        <v>272</v>
      </c>
      <c r="D105" s="4" t="s">
        <v>20</v>
      </c>
      <c r="E105" s="4" t="s">
        <v>36</v>
      </c>
      <c r="F105" s="4" t="s">
        <v>37</v>
      </c>
      <c r="G105" s="4" t="s">
        <v>49</v>
      </c>
      <c r="H105" s="4" t="s">
        <v>128</v>
      </c>
      <c r="I105" s="4">
        <v>2</v>
      </c>
      <c r="J105" s="6">
        <v>96.59</v>
      </c>
      <c r="K105" s="7">
        <v>0.1</v>
      </c>
      <c r="L105" s="6">
        <f t="shared" si="2"/>
        <v>173.86200000000002</v>
      </c>
      <c r="M105" s="6">
        <v>69.55</v>
      </c>
      <c r="N105" s="8">
        <f t="shared" si="3"/>
        <v>34.762000000000029</v>
      </c>
      <c r="O105" s="4" t="s">
        <v>40</v>
      </c>
      <c r="P105" s="4" t="s">
        <v>56</v>
      </c>
      <c r="Q105" s="4">
        <v>5</v>
      </c>
      <c r="R105" s="4" t="str">
        <f>TEXT(Table1[[#This Row],[Order Date]],"mmm")</f>
        <v>Feb</v>
      </c>
      <c r="S105" s="4" t="str">
        <f>TEXT(Table1[[#This Row],[Order Date]],"mm")</f>
        <v>02</v>
      </c>
      <c r="T105" s="4" t="str">
        <f>IF(Table1[[#This Row],[Sales]]&lt;0,"loss","profit")</f>
        <v>profit</v>
      </c>
      <c r="U105" s="4" t="str" cm="1">
        <f t="array" ref="U105">_xlfn.IFS(Table1[[#This Row],[Sales]]&gt;2000,"large",Table1[[#This Row],[Sales]]&gt;=500,"medium",Table1[[#This Row],[Sales]]&lt;500,"small")</f>
        <v>small</v>
      </c>
      <c r="V105" s="22">
        <f>Table1[[#This Row],[Profit]]/Table1[[#This Row],[Sales]]*100</f>
        <v>19.994018244354734</v>
      </c>
    </row>
    <row r="106" spans="1:22" x14ac:dyDescent="0.35">
      <c r="A106" s="4" t="s">
        <v>273</v>
      </c>
      <c r="B106" s="5">
        <v>45696</v>
      </c>
      <c r="C106" s="4" t="s">
        <v>274</v>
      </c>
      <c r="D106" s="4" t="s">
        <v>20</v>
      </c>
      <c r="E106" s="4" t="s">
        <v>29</v>
      </c>
      <c r="F106" s="4" t="s">
        <v>108</v>
      </c>
      <c r="G106" s="4" t="s">
        <v>23</v>
      </c>
      <c r="H106" s="4" t="s">
        <v>135</v>
      </c>
      <c r="I106" s="4">
        <v>1</v>
      </c>
      <c r="J106" s="6">
        <v>20.239999999999998</v>
      </c>
      <c r="K106" s="7">
        <v>0.05</v>
      </c>
      <c r="L106" s="6">
        <f t="shared" si="2"/>
        <v>19.227999999999998</v>
      </c>
      <c r="M106" s="6">
        <v>10.56</v>
      </c>
      <c r="N106" s="8">
        <f t="shared" si="3"/>
        <v>8.6679999999999975</v>
      </c>
      <c r="O106" s="4" t="s">
        <v>60</v>
      </c>
      <c r="P106" s="4" t="s">
        <v>97</v>
      </c>
      <c r="Q106" s="4">
        <v>3</v>
      </c>
      <c r="R106" s="4" t="str">
        <f>TEXT(Table1[[#This Row],[Order Date]],"mmm")</f>
        <v>Feb</v>
      </c>
      <c r="S106" s="4" t="str">
        <f>TEXT(Table1[[#This Row],[Order Date]],"mm")</f>
        <v>02</v>
      </c>
      <c r="T106" s="4" t="str">
        <f>IF(Table1[[#This Row],[Sales]]&lt;0,"loss","profit")</f>
        <v>profit</v>
      </c>
      <c r="U106" s="4" t="str" cm="1">
        <f t="array" ref="U106">_xlfn.IFS(Table1[[#This Row],[Sales]]&gt;2000,"large",Table1[[#This Row],[Sales]]&gt;=500,"medium",Table1[[#This Row],[Sales]]&lt;500,"small")</f>
        <v>small</v>
      </c>
      <c r="V106" s="22">
        <f>Table1[[#This Row],[Profit]]/Table1[[#This Row],[Sales]]*100</f>
        <v>45.08009153318077</v>
      </c>
    </row>
    <row r="107" spans="1:22" x14ac:dyDescent="0.35">
      <c r="A107" s="4" t="s">
        <v>275</v>
      </c>
      <c r="B107" s="5">
        <v>45696</v>
      </c>
      <c r="C107" s="4" t="s">
        <v>276</v>
      </c>
      <c r="D107" s="4" t="s">
        <v>43</v>
      </c>
      <c r="E107" s="4" t="s">
        <v>36</v>
      </c>
      <c r="F107" s="4" t="s">
        <v>37</v>
      </c>
      <c r="G107" s="4" t="s">
        <v>38</v>
      </c>
      <c r="H107" s="4" t="s">
        <v>109</v>
      </c>
      <c r="I107" s="4">
        <v>1</v>
      </c>
      <c r="J107" s="6">
        <v>762.65</v>
      </c>
      <c r="K107" s="7">
        <v>0.2</v>
      </c>
      <c r="L107" s="6">
        <f t="shared" si="2"/>
        <v>610.12</v>
      </c>
      <c r="M107" s="6">
        <v>681.2</v>
      </c>
      <c r="N107" s="8">
        <f t="shared" si="3"/>
        <v>-71.080000000000041</v>
      </c>
      <c r="O107" s="4" t="s">
        <v>60</v>
      </c>
      <c r="P107" s="4" t="s">
        <v>33</v>
      </c>
      <c r="Q107" s="4">
        <v>4</v>
      </c>
      <c r="R107" s="4" t="str">
        <f>TEXT(Table1[[#This Row],[Order Date]],"mmm")</f>
        <v>Feb</v>
      </c>
      <c r="S107" s="4" t="str">
        <f>TEXT(Table1[[#This Row],[Order Date]],"mm")</f>
        <v>02</v>
      </c>
      <c r="T107" s="4" t="str">
        <f>IF(Table1[[#This Row],[Sales]]&lt;0,"loss","profit")</f>
        <v>profit</v>
      </c>
      <c r="U107" s="4" t="str" cm="1">
        <f t="array" ref="U107">_xlfn.IFS(Table1[[#This Row],[Sales]]&gt;2000,"large",Table1[[#This Row],[Sales]]&gt;=500,"medium",Table1[[#This Row],[Sales]]&lt;500,"small")</f>
        <v>medium</v>
      </c>
      <c r="V107" s="22">
        <f>Table1[[#This Row],[Profit]]/Table1[[#This Row],[Sales]]*100</f>
        <v>-11.650167180226848</v>
      </c>
    </row>
    <row r="108" spans="1:22" x14ac:dyDescent="0.35">
      <c r="A108" s="4" t="s">
        <v>277</v>
      </c>
      <c r="B108" s="5">
        <v>45697</v>
      </c>
      <c r="C108" s="4" t="s">
        <v>278</v>
      </c>
      <c r="D108" s="4" t="s">
        <v>20</v>
      </c>
      <c r="E108" s="4" t="s">
        <v>29</v>
      </c>
      <c r="F108" s="4" t="s">
        <v>30</v>
      </c>
      <c r="G108" s="4" t="s">
        <v>31</v>
      </c>
      <c r="H108" s="4" t="s">
        <v>32</v>
      </c>
      <c r="I108" s="4">
        <v>2</v>
      </c>
      <c r="J108" s="6">
        <v>193.57</v>
      </c>
      <c r="K108" s="7">
        <v>0.1</v>
      </c>
      <c r="L108" s="6">
        <f t="shared" si="2"/>
        <v>348.42599999999999</v>
      </c>
      <c r="M108" s="6">
        <v>110.67</v>
      </c>
      <c r="N108" s="8">
        <f t="shared" si="3"/>
        <v>127.08599999999998</v>
      </c>
      <c r="O108" s="4" t="s">
        <v>84</v>
      </c>
      <c r="P108" s="4" t="s">
        <v>118</v>
      </c>
      <c r="Q108" s="4">
        <v>2</v>
      </c>
      <c r="R108" s="4" t="str">
        <f>TEXT(Table1[[#This Row],[Order Date]],"mmm")</f>
        <v>Feb</v>
      </c>
      <c r="S108" s="4" t="str">
        <f>TEXT(Table1[[#This Row],[Order Date]],"mm")</f>
        <v>02</v>
      </c>
      <c r="T108" s="4" t="str">
        <f>IF(Table1[[#This Row],[Sales]]&lt;0,"loss","profit")</f>
        <v>profit</v>
      </c>
      <c r="U108" s="4" t="str" cm="1">
        <f t="array" ref="U108">_xlfn.IFS(Table1[[#This Row],[Sales]]&gt;2000,"large",Table1[[#This Row],[Sales]]&gt;=500,"medium",Table1[[#This Row],[Sales]]&lt;500,"small")</f>
        <v>small</v>
      </c>
      <c r="V108" s="22">
        <f>Table1[[#This Row],[Profit]]/Table1[[#This Row],[Sales]]*100</f>
        <v>36.474315923610753</v>
      </c>
    </row>
    <row r="109" spans="1:22" x14ac:dyDescent="0.35">
      <c r="A109" s="4" t="s">
        <v>279</v>
      </c>
      <c r="B109" s="5">
        <v>45698</v>
      </c>
      <c r="C109" s="4" t="s">
        <v>280</v>
      </c>
      <c r="D109" s="4" t="s">
        <v>20</v>
      </c>
      <c r="E109" s="4" t="s">
        <v>87</v>
      </c>
      <c r="F109" s="4" t="s">
        <v>88</v>
      </c>
      <c r="G109" s="4" t="s">
        <v>49</v>
      </c>
      <c r="H109" s="4" t="s">
        <v>187</v>
      </c>
      <c r="I109" s="4">
        <v>4</v>
      </c>
      <c r="J109" s="6">
        <v>109.33</v>
      </c>
      <c r="K109" s="7">
        <v>0.2</v>
      </c>
      <c r="L109" s="6">
        <f t="shared" si="2"/>
        <v>349.85599999999999</v>
      </c>
      <c r="M109" s="6">
        <v>66.08</v>
      </c>
      <c r="N109" s="8">
        <f t="shared" si="3"/>
        <v>85.536000000000001</v>
      </c>
      <c r="O109" s="4" t="s">
        <v>51</v>
      </c>
      <c r="P109" s="4" t="s">
        <v>97</v>
      </c>
      <c r="Q109" s="4">
        <v>4</v>
      </c>
      <c r="R109" s="4" t="str">
        <f>TEXT(Table1[[#This Row],[Order Date]],"mmm")</f>
        <v>Feb</v>
      </c>
      <c r="S109" s="4" t="str">
        <f>TEXT(Table1[[#This Row],[Order Date]],"mm")</f>
        <v>02</v>
      </c>
      <c r="T109" s="4" t="str">
        <f>IF(Table1[[#This Row],[Sales]]&lt;0,"loss","profit")</f>
        <v>profit</v>
      </c>
      <c r="U109" s="4" t="str" cm="1">
        <f t="array" ref="U109">_xlfn.IFS(Table1[[#This Row],[Sales]]&gt;2000,"large",Table1[[#This Row],[Sales]]&gt;=500,"medium",Table1[[#This Row],[Sales]]&lt;500,"small")</f>
        <v>small</v>
      </c>
      <c r="V109" s="22">
        <f>Table1[[#This Row],[Profit]]/Table1[[#This Row],[Sales]]*100</f>
        <v>24.448916125491632</v>
      </c>
    </row>
    <row r="110" spans="1:22" x14ac:dyDescent="0.35">
      <c r="A110" s="4" t="s">
        <v>281</v>
      </c>
      <c r="B110" s="5">
        <v>45698</v>
      </c>
      <c r="C110" s="4" t="s">
        <v>278</v>
      </c>
      <c r="D110" s="4" t="s">
        <v>43</v>
      </c>
      <c r="E110" s="4" t="s">
        <v>87</v>
      </c>
      <c r="F110" s="4" t="s">
        <v>124</v>
      </c>
      <c r="G110" s="4" t="s">
        <v>31</v>
      </c>
      <c r="H110" s="4" t="s">
        <v>125</v>
      </c>
      <c r="I110" s="4">
        <v>4</v>
      </c>
      <c r="J110" s="6">
        <v>108.31</v>
      </c>
      <c r="K110" s="7">
        <v>0</v>
      </c>
      <c r="L110" s="6">
        <f t="shared" si="2"/>
        <v>433.24</v>
      </c>
      <c r="M110" s="6">
        <v>77.87</v>
      </c>
      <c r="N110" s="8">
        <f t="shared" si="3"/>
        <v>121.75999999999999</v>
      </c>
      <c r="O110" s="4" t="s">
        <v>51</v>
      </c>
      <c r="P110" s="4" t="s">
        <v>75</v>
      </c>
      <c r="Q110" s="4">
        <v>3</v>
      </c>
      <c r="R110" s="4" t="str">
        <f>TEXT(Table1[[#This Row],[Order Date]],"mmm")</f>
        <v>Feb</v>
      </c>
      <c r="S110" s="4" t="str">
        <f>TEXT(Table1[[#This Row],[Order Date]],"mm")</f>
        <v>02</v>
      </c>
      <c r="T110" s="4" t="str">
        <f>IF(Table1[[#This Row],[Sales]]&lt;0,"loss","profit")</f>
        <v>profit</v>
      </c>
      <c r="U110" s="4" t="str" cm="1">
        <f t="array" ref="U110">_xlfn.IFS(Table1[[#This Row],[Sales]]&gt;2000,"large",Table1[[#This Row],[Sales]]&gt;=500,"medium",Table1[[#This Row],[Sales]]&lt;500,"small")</f>
        <v>small</v>
      </c>
      <c r="V110" s="22">
        <f>Table1[[#This Row],[Profit]]/Table1[[#This Row],[Sales]]*100</f>
        <v>28.104514818576305</v>
      </c>
    </row>
    <row r="111" spans="1:22" x14ac:dyDescent="0.35">
      <c r="A111" s="4" t="s">
        <v>282</v>
      </c>
      <c r="B111" s="5">
        <v>45698</v>
      </c>
      <c r="C111" s="4" t="s">
        <v>283</v>
      </c>
      <c r="D111" s="4" t="s">
        <v>20</v>
      </c>
      <c r="E111" s="4" t="s">
        <v>21</v>
      </c>
      <c r="F111" s="4" t="s">
        <v>22</v>
      </c>
      <c r="G111" s="4" t="s">
        <v>38</v>
      </c>
      <c r="H111" s="4" t="s">
        <v>39</v>
      </c>
      <c r="I111" s="4">
        <v>4</v>
      </c>
      <c r="J111" s="6">
        <v>92.42</v>
      </c>
      <c r="K111" s="7">
        <v>0.05</v>
      </c>
      <c r="L111" s="6">
        <f t="shared" si="2"/>
        <v>351.19599999999997</v>
      </c>
      <c r="M111" s="6">
        <v>74.89</v>
      </c>
      <c r="N111" s="8">
        <f t="shared" si="3"/>
        <v>51.635999999999967</v>
      </c>
      <c r="O111" s="4" t="s">
        <v>84</v>
      </c>
      <c r="P111" s="4" t="s">
        <v>75</v>
      </c>
      <c r="Q111" s="4">
        <v>3</v>
      </c>
      <c r="R111" s="4" t="str">
        <f>TEXT(Table1[[#This Row],[Order Date]],"mmm")</f>
        <v>Feb</v>
      </c>
      <c r="S111" s="4" t="str">
        <f>TEXT(Table1[[#This Row],[Order Date]],"mm")</f>
        <v>02</v>
      </c>
      <c r="T111" s="4" t="str">
        <f>IF(Table1[[#This Row],[Sales]]&lt;0,"loss","profit")</f>
        <v>profit</v>
      </c>
      <c r="U111" s="4" t="str" cm="1">
        <f t="array" ref="U111">_xlfn.IFS(Table1[[#This Row],[Sales]]&gt;2000,"large",Table1[[#This Row],[Sales]]&gt;=500,"medium",Table1[[#This Row],[Sales]]&lt;500,"small")</f>
        <v>small</v>
      </c>
      <c r="V111" s="22">
        <f>Table1[[#This Row],[Profit]]/Table1[[#This Row],[Sales]]*100</f>
        <v>14.70290094420209</v>
      </c>
    </row>
    <row r="112" spans="1:22" x14ac:dyDescent="0.35">
      <c r="A112" s="4" t="s">
        <v>284</v>
      </c>
      <c r="B112" s="5">
        <v>45699</v>
      </c>
      <c r="C112" s="4" t="s">
        <v>285</v>
      </c>
      <c r="D112" s="4" t="s">
        <v>47</v>
      </c>
      <c r="E112" s="4" t="s">
        <v>36</v>
      </c>
      <c r="F112" s="4" t="s">
        <v>37</v>
      </c>
      <c r="G112" s="4" t="s">
        <v>49</v>
      </c>
      <c r="H112" s="4" t="s">
        <v>128</v>
      </c>
      <c r="I112" s="4">
        <v>3</v>
      </c>
      <c r="J112" s="6">
        <v>126.97</v>
      </c>
      <c r="K112" s="7">
        <v>0.1</v>
      </c>
      <c r="L112" s="6">
        <f t="shared" si="2"/>
        <v>342.81899999999996</v>
      </c>
      <c r="M112" s="6">
        <v>76.650000000000006</v>
      </c>
      <c r="N112" s="8">
        <f t="shared" si="3"/>
        <v>112.86899999999994</v>
      </c>
      <c r="O112" s="4" t="s">
        <v>25</v>
      </c>
      <c r="P112" s="4" t="s">
        <v>61</v>
      </c>
      <c r="Q112" s="4">
        <v>5</v>
      </c>
      <c r="R112" s="4" t="str">
        <f>TEXT(Table1[[#This Row],[Order Date]],"mmm")</f>
        <v>Feb</v>
      </c>
      <c r="S112" s="4" t="str">
        <f>TEXT(Table1[[#This Row],[Order Date]],"mm")</f>
        <v>02</v>
      </c>
      <c r="T112" s="4" t="str">
        <f>IF(Table1[[#This Row],[Sales]]&lt;0,"loss","profit")</f>
        <v>profit</v>
      </c>
      <c r="U112" s="4" t="str" cm="1">
        <f t="array" ref="U112">_xlfn.IFS(Table1[[#This Row],[Sales]]&gt;2000,"large",Table1[[#This Row],[Sales]]&gt;=500,"medium",Table1[[#This Row],[Sales]]&lt;500,"small")</f>
        <v>small</v>
      </c>
      <c r="V112" s="22">
        <f>Table1[[#This Row],[Profit]]/Table1[[#This Row],[Sales]]*100</f>
        <v>32.923787771389556</v>
      </c>
    </row>
    <row r="113" spans="1:22" x14ac:dyDescent="0.35">
      <c r="A113" s="4" t="s">
        <v>286</v>
      </c>
      <c r="B113" s="5">
        <v>45699</v>
      </c>
      <c r="C113" s="4" t="s">
        <v>287</v>
      </c>
      <c r="D113" s="4" t="s">
        <v>43</v>
      </c>
      <c r="E113" s="4" t="s">
        <v>87</v>
      </c>
      <c r="F113" s="4" t="s">
        <v>124</v>
      </c>
      <c r="G113" s="4" t="s">
        <v>23</v>
      </c>
      <c r="H113" s="4" t="s">
        <v>44</v>
      </c>
      <c r="I113" s="4">
        <v>3</v>
      </c>
      <c r="J113" s="6">
        <v>76.06</v>
      </c>
      <c r="K113" s="7">
        <v>0.05</v>
      </c>
      <c r="L113" s="6">
        <f t="shared" si="2"/>
        <v>216.77099999999999</v>
      </c>
      <c r="M113" s="6">
        <v>48.28</v>
      </c>
      <c r="N113" s="8">
        <f t="shared" si="3"/>
        <v>71.930999999999983</v>
      </c>
      <c r="O113" s="4" t="s">
        <v>40</v>
      </c>
      <c r="P113" s="4" t="s">
        <v>118</v>
      </c>
      <c r="Q113" s="4">
        <v>4</v>
      </c>
      <c r="R113" s="4" t="str">
        <f>TEXT(Table1[[#This Row],[Order Date]],"mmm")</f>
        <v>Feb</v>
      </c>
      <c r="S113" s="4" t="str">
        <f>TEXT(Table1[[#This Row],[Order Date]],"mm")</f>
        <v>02</v>
      </c>
      <c r="T113" s="4" t="str">
        <f>IF(Table1[[#This Row],[Sales]]&lt;0,"loss","profit")</f>
        <v>profit</v>
      </c>
      <c r="U113" s="4" t="str" cm="1">
        <f t="array" ref="U113">_xlfn.IFS(Table1[[#This Row],[Sales]]&gt;2000,"large",Table1[[#This Row],[Sales]]&gt;=500,"medium",Table1[[#This Row],[Sales]]&lt;500,"small")</f>
        <v>small</v>
      </c>
      <c r="V113" s="22">
        <f>Table1[[#This Row],[Profit]]/Table1[[#This Row],[Sales]]*100</f>
        <v>33.182944213017421</v>
      </c>
    </row>
    <row r="114" spans="1:22" x14ac:dyDescent="0.35">
      <c r="A114" s="4" t="s">
        <v>288</v>
      </c>
      <c r="B114" s="5">
        <v>45699</v>
      </c>
      <c r="C114" s="4" t="s">
        <v>289</v>
      </c>
      <c r="D114" s="4" t="s">
        <v>47</v>
      </c>
      <c r="E114" s="4" t="s">
        <v>29</v>
      </c>
      <c r="F114" s="4" t="s">
        <v>54</v>
      </c>
      <c r="G114" s="4" t="s">
        <v>23</v>
      </c>
      <c r="H114" s="4" t="s">
        <v>71</v>
      </c>
      <c r="I114" s="4">
        <v>5</v>
      </c>
      <c r="J114" s="6">
        <v>110.88</v>
      </c>
      <c r="K114" s="7">
        <v>0</v>
      </c>
      <c r="L114" s="6">
        <f t="shared" si="2"/>
        <v>554.4</v>
      </c>
      <c r="M114" s="6">
        <v>51.16</v>
      </c>
      <c r="N114" s="8">
        <f t="shared" si="3"/>
        <v>298.60000000000002</v>
      </c>
      <c r="O114" s="4" t="s">
        <v>40</v>
      </c>
      <c r="P114" s="4" t="s">
        <v>75</v>
      </c>
      <c r="Q114" s="4">
        <v>4</v>
      </c>
      <c r="R114" s="4" t="str">
        <f>TEXT(Table1[[#This Row],[Order Date]],"mmm")</f>
        <v>Feb</v>
      </c>
      <c r="S114" s="4" t="str">
        <f>TEXT(Table1[[#This Row],[Order Date]],"mm")</f>
        <v>02</v>
      </c>
      <c r="T114" s="4" t="str">
        <f>IF(Table1[[#This Row],[Sales]]&lt;0,"loss","profit")</f>
        <v>profit</v>
      </c>
      <c r="U114" s="4" t="str" cm="1">
        <f t="array" ref="U114">_xlfn.IFS(Table1[[#This Row],[Sales]]&gt;2000,"large",Table1[[#This Row],[Sales]]&gt;=500,"medium",Table1[[#This Row],[Sales]]&lt;500,"small")</f>
        <v>medium</v>
      </c>
      <c r="V114" s="22">
        <f>Table1[[#This Row],[Profit]]/Table1[[#This Row],[Sales]]*100</f>
        <v>53.860028860028862</v>
      </c>
    </row>
    <row r="115" spans="1:22" x14ac:dyDescent="0.35">
      <c r="A115" s="4" t="s">
        <v>290</v>
      </c>
      <c r="B115" s="5">
        <v>45699</v>
      </c>
      <c r="C115" s="4" t="s">
        <v>291</v>
      </c>
      <c r="D115" s="4" t="s">
        <v>47</v>
      </c>
      <c r="E115" s="4" t="s">
        <v>36</v>
      </c>
      <c r="F115" s="4" t="s">
        <v>37</v>
      </c>
      <c r="G115" s="4" t="s">
        <v>49</v>
      </c>
      <c r="H115" s="4" t="s">
        <v>128</v>
      </c>
      <c r="I115" s="4">
        <v>1</v>
      </c>
      <c r="J115" s="6">
        <v>73.55</v>
      </c>
      <c r="K115" s="7">
        <v>0.05</v>
      </c>
      <c r="L115" s="6">
        <f t="shared" si="2"/>
        <v>69.872499999999988</v>
      </c>
      <c r="M115" s="6">
        <v>51.41</v>
      </c>
      <c r="N115" s="8">
        <f t="shared" si="3"/>
        <v>18.462499999999991</v>
      </c>
      <c r="O115" s="4" t="s">
        <v>51</v>
      </c>
      <c r="P115" s="4" t="s">
        <v>72</v>
      </c>
      <c r="Q115" s="4">
        <v>2</v>
      </c>
      <c r="R115" s="4" t="str">
        <f>TEXT(Table1[[#This Row],[Order Date]],"mmm")</f>
        <v>Feb</v>
      </c>
      <c r="S115" s="4" t="str">
        <f>TEXT(Table1[[#This Row],[Order Date]],"mm")</f>
        <v>02</v>
      </c>
      <c r="T115" s="4" t="str">
        <f>IF(Table1[[#This Row],[Sales]]&lt;0,"loss","profit")</f>
        <v>profit</v>
      </c>
      <c r="U115" s="4" t="str" cm="1">
        <f t="array" ref="U115">_xlfn.IFS(Table1[[#This Row],[Sales]]&gt;2000,"large",Table1[[#This Row],[Sales]]&gt;=500,"medium",Table1[[#This Row],[Sales]]&lt;500,"small")</f>
        <v>small</v>
      </c>
      <c r="V115" s="22">
        <f>Table1[[#This Row],[Profit]]/Table1[[#This Row],[Sales]]*100</f>
        <v>26.423127839994265</v>
      </c>
    </row>
    <row r="116" spans="1:22" x14ac:dyDescent="0.35">
      <c r="A116" s="4" t="s">
        <v>292</v>
      </c>
      <c r="B116" s="5">
        <v>45699</v>
      </c>
      <c r="C116" s="4" t="s">
        <v>113</v>
      </c>
      <c r="D116" s="4" t="s">
        <v>47</v>
      </c>
      <c r="E116" s="4" t="s">
        <v>87</v>
      </c>
      <c r="F116" s="4" t="s">
        <v>92</v>
      </c>
      <c r="G116" s="4" t="s">
        <v>67</v>
      </c>
      <c r="H116" s="4" t="s">
        <v>121</v>
      </c>
      <c r="I116" s="4">
        <v>1</v>
      </c>
      <c r="J116" s="6">
        <v>403.24</v>
      </c>
      <c r="K116" s="7">
        <v>0.15</v>
      </c>
      <c r="L116" s="6">
        <f t="shared" si="2"/>
        <v>342.75400000000002</v>
      </c>
      <c r="M116" s="6">
        <v>307.42</v>
      </c>
      <c r="N116" s="8">
        <f t="shared" si="3"/>
        <v>35.334000000000003</v>
      </c>
      <c r="O116" s="4" t="s">
        <v>84</v>
      </c>
      <c r="P116" s="4" t="s">
        <v>72</v>
      </c>
      <c r="Q116" s="4">
        <v>5</v>
      </c>
      <c r="R116" s="4" t="str">
        <f>TEXT(Table1[[#This Row],[Order Date]],"mmm")</f>
        <v>Feb</v>
      </c>
      <c r="S116" s="4" t="str">
        <f>TEXT(Table1[[#This Row],[Order Date]],"mm")</f>
        <v>02</v>
      </c>
      <c r="T116" s="4" t="str">
        <f>IF(Table1[[#This Row],[Sales]]&lt;0,"loss","profit")</f>
        <v>profit</v>
      </c>
      <c r="U116" s="4" t="str" cm="1">
        <f t="array" ref="U116">_xlfn.IFS(Table1[[#This Row],[Sales]]&gt;2000,"large",Table1[[#This Row],[Sales]]&gt;=500,"medium",Table1[[#This Row],[Sales]]&lt;500,"small")</f>
        <v>small</v>
      </c>
      <c r="V116" s="22">
        <f>Table1[[#This Row],[Profit]]/Table1[[#This Row],[Sales]]*100</f>
        <v>10.308851246083197</v>
      </c>
    </row>
    <row r="117" spans="1:22" x14ac:dyDescent="0.35">
      <c r="A117" s="4" t="s">
        <v>293</v>
      </c>
      <c r="B117" s="5">
        <v>45700</v>
      </c>
      <c r="C117" s="4" t="s">
        <v>294</v>
      </c>
      <c r="D117" s="4" t="s">
        <v>43</v>
      </c>
      <c r="E117" s="4" t="s">
        <v>87</v>
      </c>
      <c r="F117" s="4" t="s">
        <v>92</v>
      </c>
      <c r="G117" s="4" t="s">
        <v>38</v>
      </c>
      <c r="H117" s="4" t="s">
        <v>96</v>
      </c>
      <c r="I117" s="4">
        <v>6</v>
      </c>
      <c r="J117" s="6">
        <v>652.94000000000005</v>
      </c>
      <c r="K117" s="7">
        <v>0.05</v>
      </c>
      <c r="L117" s="6">
        <f t="shared" si="2"/>
        <v>3721.7580000000003</v>
      </c>
      <c r="M117" s="6">
        <v>519.52</v>
      </c>
      <c r="N117" s="8">
        <f t="shared" si="3"/>
        <v>604.63800000000037</v>
      </c>
      <c r="O117" s="4" t="s">
        <v>40</v>
      </c>
      <c r="P117" s="4" t="s">
        <v>26</v>
      </c>
      <c r="Q117" s="4">
        <v>4</v>
      </c>
      <c r="R117" s="4" t="str">
        <f>TEXT(Table1[[#This Row],[Order Date]],"mmm")</f>
        <v>Feb</v>
      </c>
      <c r="S117" s="4" t="str">
        <f>TEXT(Table1[[#This Row],[Order Date]],"mm")</f>
        <v>02</v>
      </c>
      <c r="T117" s="4" t="str">
        <f>IF(Table1[[#This Row],[Sales]]&lt;0,"loss","profit")</f>
        <v>profit</v>
      </c>
      <c r="U117" s="4" t="str" cm="1">
        <f t="array" ref="U117">_xlfn.IFS(Table1[[#This Row],[Sales]]&gt;2000,"large",Table1[[#This Row],[Sales]]&gt;=500,"medium",Table1[[#This Row],[Sales]]&lt;500,"small")</f>
        <v>large</v>
      </c>
      <c r="V117" s="22">
        <f>Table1[[#This Row],[Profit]]/Table1[[#This Row],[Sales]]*100</f>
        <v>16.246032117080166</v>
      </c>
    </row>
    <row r="118" spans="1:22" x14ac:dyDescent="0.35">
      <c r="A118" s="4" t="s">
        <v>295</v>
      </c>
      <c r="B118" s="5">
        <v>45701</v>
      </c>
      <c r="C118" s="4" t="s">
        <v>296</v>
      </c>
      <c r="D118" s="4" t="s">
        <v>43</v>
      </c>
      <c r="E118" s="4" t="s">
        <v>29</v>
      </c>
      <c r="F118" s="4" t="s">
        <v>54</v>
      </c>
      <c r="G118" s="4" t="s">
        <v>67</v>
      </c>
      <c r="H118" s="4" t="s">
        <v>140</v>
      </c>
      <c r="I118" s="4">
        <v>5</v>
      </c>
      <c r="J118" s="6">
        <v>128.33000000000001</v>
      </c>
      <c r="K118" s="7">
        <v>0.1</v>
      </c>
      <c r="L118" s="6">
        <f t="shared" si="2"/>
        <v>577.48500000000013</v>
      </c>
      <c r="M118" s="6">
        <v>80.010000000000005</v>
      </c>
      <c r="N118" s="8">
        <f t="shared" si="3"/>
        <v>177.43500000000012</v>
      </c>
      <c r="O118" s="4" t="s">
        <v>84</v>
      </c>
      <c r="P118" s="4" t="s">
        <v>118</v>
      </c>
      <c r="Q118" s="4">
        <v>3</v>
      </c>
      <c r="R118" s="4" t="str">
        <f>TEXT(Table1[[#This Row],[Order Date]],"mmm")</f>
        <v>Feb</v>
      </c>
      <c r="S118" s="4" t="str">
        <f>TEXT(Table1[[#This Row],[Order Date]],"mm")</f>
        <v>02</v>
      </c>
      <c r="T118" s="4" t="str">
        <f>IF(Table1[[#This Row],[Sales]]&lt;0,"loss","profit")</f>
        <v>profit</v>
      </c>
      <c r="U118" s="4" t="str" cm="1">
        <f t="array" ref="U118">_xlfn.IFS(Table1[[#This Row],[Sales]]&gt;2000,"large",Table1[[#This Row],[Sales]]&gt;=500,"medium",Table1[[#This Row],[Sales]]&lt;500,"small")</f>
        <v>medium</v>
      </c>
      <c r="V118" s="22">
        <f>Table1[[#This Row],[Profit]]/Table1[[#This Row],[Sales]]*100</f>
        <v>30.725473388919205</v>
      </c>
    </row>
    <row r="119" spans="1:22" x14ac:dyDescent="0.35">
      <c r="A119" s="4" t="s">
        <v>297</v>
      </c>
      <c r="B119" s="5">
        <v>45701</v>
      </c>
      <c r="C119" s="4" t="s">
        <v>80</v>
      </c>
      <c r="D119" s="4" t="s">
        <v>20</v>
      </c>
      <c r="E119" s="4" t="s">
        <v>29</v>
      </c>
      <c r="F119" s="4" t="s">
        <v>30</v>
      </c>
      <c r="G119" s="4" t="s">
        <v>38</v>
      </c>
      <c r="H119" s="4" t="s">
        <v>109</v>
      </c>
      <c r="I119" s="4">
        <v>1</v>
      </c>
      <c r="J119" s="6">
        <v>893</v>
      </c>
      <c r="K119" s="7">
        <v>0</v>
      </c>
      <c r="L119" s="6">
        <f t="shared" si="2"/>
        <v>893</v>
      </c>
      <c r="M119" s="6">
        <v>801.53</v>
      </c>
      <c r="N119" s="8">
        <f t="shared" si="3"/>
        <v>91.470000000000027</v>
      </c>
      <c r="O119" s="4" t="s">
        <v>84</v>
      </c>
      <c r="P119" s="4" t="s">
        <v>26</v>
      </c>
      <c r="Q119" s="4">
        <v>4</v>
      </c>
      <c r="R119" s="4" t="str">
        <f>TEXT(Table1[[#This Row],[Order Date]],"mmm")</f>
        <v>Feb</v>
      </c>
      <c r="S119" s="4" t="str">
        <f>TEXT(Table1[[#This Row],[Order Date]],"mm")</f>
        <v>02</v>
      </c>
      <c r="T119" s="4" t="str">
        <f>IF(Table1[[#This Row],[Sales]]&lt;0,"loss","profit")</f>
        <v>profit</v>
      </c>
      <c r="U119" s="4" t="str" cm="1">
        <f t="array" ref="U119">_xlfn.IFS(Table1[[#This Row],[Sales]]&gt;2000,"large",Table1[[#This Row],[Sales]]&gt;=500,"medium",Table1[[#This Row],[Sales]]&lt;500,"small")</f>
        <v>medium</v>
      </c>
      <c r="V119" s="22">
        <f>Table1[[#This Row],[Profit]]/Table1[[#This Row],[Sales]]*100</f>
        <v>10.243001119820832</v>
      </c>
    </row>
    <row r="120" spans="1:22" x14ac:dyDescent="0.35">
      <c r="A120" s="4" t="s">
        <v>298</v>
      </c>
      <c r="B120" s="5">
        <v>45701</v>
      </c>
      <c r="C120" s="4" t="s">
        <v>299</v>
      </c>
      <c r="D120" s="4" t="s">
        <v>47</v>
      </c>
      <c r="E120" s="4" t="s">
        <v>29</v>
      </c>
      <c r="F120" s="4" t="s">
        <v>30</v>
      </c>
      <c r="G120" s="4" t="s">
        <v>49</v>
      </c>
      <c r="H120" s="4" t="s">
        <v>78</v>
      </c>
      <c r="I120" s="4">
        <v>1</v>
      </c>
      <c r="J120" s="6">
        <v>317.26</v>
      </c>
      <c r="K120" s="7">
        <v>0.1</v>
      </c>
      <c r="L120" s="6">
        <f t="shared" si="2"/>
        <v>285.53399999999999</v>
      </c>
      <c r="M120" s="6">
        <v>185.81</v>
      </c>
      <c r="N120" s="8">
        <f t="shared" si="3"/>
        <v>99.72399999999999</v>
      </c>
      <c r="O120" s="4" t="s">
        <v>51</v>
      </c>
      <c r="P120" s="4" t="s">
        <v>26</v>
      </c>
      <c r="Q120" s="4">
        <v>3</v>
      </c>
      <c r="R120" s="4" t="str">
        <f>TEXT(Table1[[#This Row],[Order Date]],"mmm")</f>
        <v>Feb</v>
      </c>
      <c r="S120" s="4" t="str">
        <f>TEXT(Table1[[#This Row],[Order Date]],"mm")</f>
        <v>02</v>
      </c>
      <c r="T120" s="4" t="str">
        <f>IF(Table1[[#This Row],[Sales]]&lt;0,"loss","profit")</f>
        <v>profit</v>
      </c>
      <c r="U120" s="4" t="str" cm="1">
        <f t="array" ref="U120">_xlfn.IFS(Table1[[#This Row],[Sales]]&gt;2000,"large",Table1[[#This Row],[Sales]]&gt;=500,"medium",Table1[[#This Row],[Sales]]&lt;500,"small")</f>
        <v>small</v>
      </c>
      <c r="V120" s="22">
        <f>Table1[[#This Row],[Profit]]/Table1[[#This Row],[Sales]]*100</f>
        <v>34.925437951347298</v>
      </c>
    </row>
    <row r="121" spans="1:22" x14ac:dyDescent="0.35">
      <c r="A121" s="4" t="s">
        <v>300</v>
      </c>
      <c r="B121" s="5">
        <v>45701</v>
      </c>
      <c r="C121" s="4" t="s">
        <v>301</v>
      </c>
      <c r="D121" s="4" t="s">
        <v>20</v>
      </c>
      <c r="E121" s="4" t="s">
        <v>21</v>
      </c>
      <c r="F121" s="4" t="s">
        <v>59</v>
      </c>
      <c r="G121" s="4" t="s">
        <v>49</v>
      </c>
      <c r="H121" s="4" t="s">
        <v>50</v>
      </c>
      <c r="I121" s="4">
        <v>1</v>
      </c>
      <c r="J121" s="6">
        <v>31.91</v>
      </c>
      <c r="K121" s="7">
        <v>0</v>
      </c>
      <c r="L121" s="6">
        <f t="shared" si="2"/>
        <v>31.91</v>
      </c>
      <c r="M121" s="6">
        <v>18.579999999999998</v>
      </c>
      <c r="N121" s="8">
        <f t="shared" si="3"/>
        <v>13.330000000000002</v>
      </c>
      <c r="O121" s="4" t="s">
        <v>84</v>
      </c>
      <c r="P121" s="4" t="s">
        <v>56</v>
      </c>
      <c r="Q121" s="4">
        <v>5</v>
      </c>
      <c r="R121" s="4" t="str">
        <f>TEXT(Table1[[#This Row],[Order Date]],"mmm")</f>
        <v>Feb</v>
      </c>
      <c r="S121" s="4" t="str">
        <f>TEXT(Table1[[#This Row],[Order Date]],"mm")</f>
        <v>02</v>
      </c>
      <c r="T121" s="4" t="str">
        <f>IF(Table1[[#This Row],[Sales]]&lt;0,"loss","profit")</f>
        <v>profit</v>
      </c>
      <c r="U121" s="4" t="str" cm="1">
        <f t="array" ref="U121">_xlfn.IFS(Table1[[#This Row],[Sales]]&gt;2000,"large",Table1[[#This Row],[Sales]]&gt;=500,"medium",Table1[[#This Row],[Sales]]&lt;500,"small")</f>
        <v>small</v>
      </c>
      <c r="V121" s="22">
        <f>Table1[[#This Row],[Profit]]/Table1[[#This Row],[Sales]]*100</f>
        <v>41.773738639924794</v>
      </c>
    </row>
    <row r="122" spans="1:22" x14ac:dyDescent="0.35">
      <c r="A122" s="4" t="s">
        <v>302</v>
      </c>
      <c r="B122" s="5">
        <v>45702</v>
      </c>
      <c r="C122" s="4" t="s">
        <v>303</v>
      </c>
      <c r="D122" s="4" t="s">
        <v>43</v>
      </c>
      <c r="E122" s="4" t="s">
        <v>29</v>
      </c>
      <c r="F122" s="4" t="s">
        <v>108</v>
      </c>
      <c r="G122" s="4" t="s">
        <v>38</v>
      </c>
      <c r="H122" s="4" t="s">
        <v>39</v>
      </c>
      <c r="I122" s="4">
        <v>2</v>
      </c>
      <c r="J122" s="6">
        <v>248.72</v>
      </c>
      <c r="K122" s="7">
        <v>0</v>
      </c>
      <c r="L122" s="6">
        <f t="shared" si="2"/>
        <v>497.44</v>
      </c>
      <c r="M122" s="6">
        <v>221.59</v>
      </c>
      <c r="N122" s="8">
        <f t="shared" si="3"/>
        <v>54.259999999999991</v>
      </c>
      <c r="O122" s="4" t="s">
        <v>60</v>
      </c>
      <c r="P122" s="4" t="s">
        <v>75</v>
      </c>
      <c r="Q122" s="4">
        <v>4</v>
      </c>
      <c r="R122" s="4" t="str">
        <f>TEXT(Table1[[#This Row],[Order Date]],"mmm")</f>
        <v>Feb</v>
      </c>
      <c r="S122" s="4" t="str">
        <f>TEXT(Table1[[#This Row],[Order Date]],"mm")</f>
        <v>02</v>
      </c>
      <c r="T122" s="4" t="str">
        <f>IF(Table1[[#This Row],[Sales]]&lt;0,"loss","profit")</f>
        <v>profit</v>
      </c>
      <c r="U122" s="4" t="str" cm="1">
        <f t="array" ref="U122">_xlfn.IFS(Table1[[#This Row],[Sales]]&gt;2000,"large",Table1[[#This Row],[Sales]]&gt;=500,"medium",Table1[[#This Row],[Sales]]&lt;500,"small")</f>
        <v>small</v>
      </c>
      <c r="V122" s="22">
        <f>Table1[[#This Row],[Profit]]/Table1[[#This Row],[Sales]]*100</f>
        <v>10.907848182695398</v>
      </c>
    </row>
    <row r="123" spans="1:22" x14ac:dyDescent="0.35">
      <c r="A123" s="4" t="s">
        <v>304</v>
      </c>
      <c r="B123" s="5">
        <v>45702</v>
      </c>
      <c r="C123" s="4" t="s">
        <v>305</v>
      </c>
      <c r="D123" s="4" t="s">
        <v>47</v>
      </c>
      <c r="E123" s="4" t="s">
        <v>29</v>
      </c>
      <c r="F123" s="4" t="s">
        <v>54</v>
      </c>
      <c r="G123" s="4" t="s">
        <v>67</v>
      </c>
      <c r="H123" s="4" t="s">
        <v>140</v>
      </c>
      <c r="I123" s="4">
        <v>1</v>
      </c>
      <c r="J123" s="6">
        <v>63.26</v>
      </c>
      <c r="K123" s="7">
        <v>0</v>
      </c>
      <c r="L123" s="6">
        <f t="shared" si="2"/>
        <v>63.26</v>
      </c>
      <c r="M123" s="6">
        <v>40.32</v>
      </c>
      <c r="N123" s="8">
        <f t="shared" si="3"/>
        <v>22.939999999999998</v>
      </c>
      <c r="O123" s="4" t="s">
        <v>84</v>
      </c>
      <c r="P123" s="4" t="s">
        <v>33</v>
      </c>
      <c r="Q123" s="4">
        <v>5</v>
      </c>
      <c r="R123" s="4" t="str">
        <f>TEXT(Table1[[#This Row],[Order Date]],"mmm")</f>
        <v>Feb</v>
      </c>
      <c r="S123" s="4" t="str">
        <f>TEXT(Table1[[#This Row],[Order Date]],"mm")</f>
        <v>02</v>
      </c>
      <c r="T123" s="4" t="str">
        <f>IF(Table1[[#This Row],[Sales]]&lt;0,"loss","profit")</f>
        <v>profit</v>
      </c>
      <c r="U123" s="4" t="str" cm="1">
        <f t="array" ref="U123">_xlfn.IFS(Table1[[#This Row],[Sales]]&gt;2000,"large",Table1[[#This Row],[Sales]]&gt;=500,"medium",Table1[[#This Row],[Sales]]&lt;500,"small")</f>
        <v>small</v>
      </c>
      <c r="V123" s="22">
        <f>Table1[[#This Row],[Profit]]/Table1[[#This Row],[Sales]]*100</f>
        <v>36.263041416376858</v>
      </c>
    </row>
    <row r="124" spans="1:22" x14ac:dyDescent="0.35">
      <c r="A124" s="4" t="s">
        <v>306</v>
      </c>
      <c r="B124" s="5">
        <v>45704</v>
      </c>
      <c r="C124" s="4" t="s">
        <v>307</v>
      </c>
      <c r="D124" s="4" t="s">
        <v>20</v>
      </c>
      <c r="E124" s="4" t="s">
        <v>29</v>
      </c>
      <c r="F124" s="4" t="s">
        <v>108</v>
      </c>
      <c r="G124" s="4" t="s">
        <v>67</v>
      </c>
      <c r="H124" s="4" t="s">
        <v>68</v>
      </c>
      <c r="I124" s="4">
        <v>1</v>
      </c>
      <c r="J124" s="6">
        <v>371.12</v>
      </c>
      <c r="K124" s="7">
        <v>0.1</v>
      </c>
      <c r="L124" s="6">
        <f t="shared" si="2"/>
        <v>334.00800000000004</v>
      </c>
      <c r="M124" s="6">
        <v>225.69</v>
      </c>
      <c r="N124" s="8">
        <f t="shared" si="3"/>
        <v>108.31800000000004</v>
      </c>
      <c r="O124" s="4" t="s">
        <v>60</v>
      </c>
      <c r="P124" s="4" t="s">
        <v>75</v>
      </c>
      <c r="Q124" s="4">
        <v>2</v>
      </c>
      <c r="R124" s="4" t="str">
        <f>TEXT(Table1[[#This Row],[Order Date]],"mmm")</f>
        <v>Feb</v>
      </c>
      <c r="S124" s="4" t="str">
        <f>TEXT(Table1[[#This Row],[Order Date]],"mm")</f>
        <v>02</v>
      </c>
      <c r="T124" s="4" t="str">
        <f>IF(Table1[[#This Row],[Sales]]&lt;0,"loss","profit")</f>
        <v>profit</v>
      </c>
      <c r="U124" s="4" t="str" cm="1">
        <f t="array" ref="U124">_xlfn.IFS(Table1[[#This Row],[Sales]]&gt;2000,"large",Table1[[#This Row],[Sales]]&gt;=500,"medium",Table1[[#This Row],[Sales]]&lt;500,"small")</f>
        <v>small</v>
      </c>
      <c r="V124" s="22">
        <f>Table1[[#This Row],[Profit]]/Table1[[#This Row],[Sales]]*100</f>
        <v>32.429762161385369</v>
      </c>
    </row>
    <row r="125" spans="1:22" x14ac:dyDescent="0.35">
      <c r="A125" s="4" t="s">
        <v>308</v>
      </c>
      <c r="B125" s="5">
        <v>45705</v>
      </c>
      <c r="C125" s="4" t="s">
        <v>309</v>
      </c>
      <c r="D125" s="4" t="s">
        <v>20</v>
      </c>
      <c r="E125" s="4" t="s">
        <v>87</v>
      </c>
      <c r="F125" s="4" t="s">
        <v>88</v>
      </c>
      <c r="G125" s="4" t="s">
        <v>67</v>
      </c>
      <c r="H125" s="4" t="s">
        <v>68</v>
      </c>
      <c r="I125" s="4">
        <v>2</v>
      </c>
      <c r="J125" s="6">
        <v>350.5</v>
      </c>
      <c r="K125" s="7">
        <v>0.05</v>
      </c>
      <c r="L125" s="6">
        <f t="shared" si="2"/>
        <v>665.94999999999993</v>
      </c>
      <c r="M125" s="6">
        <v>279.74</v>
      </c>
      <c r="N125" s="8">
        <f t="shared" si="3"/>
        <v>106.46999999999991</v>
      </c>
      <c r="O125" s="4" t="s">
        <v>60</v>
      </c>
      <c r="P125" s="4" t="s">
        <v>75</v>
      </c>
      <c r="Q125" s="4">
        <v>3</v>
      </c>
      <c r="R125" s="4" t="str">
        <f>TEXT(Table1[[#This Row],[Order Date]],"mmm")</f>
        <v>Feb</v>
      </c>
      <c r="S125" s="4" t="str">
        <f>TEXT(Table1[[#This Row],[Order Date]],"mm")</f>
        <v>02</v>
      </c>
      <c r="T125" s="4" t="str">
        <f>IF(Table1[[#This Row],[Sales]]&lt;0,"loss","profit")</f>
        <v>profit</v>
      </c>
      <c r="U125" s="4" t="str" cm="1">
        <f t="array" ref="U125">_xlfn.IFS(Table1[[#This Row],[Sales]]&gt;2000,"large",Table1[[#This Row],[Sales]]&gt;=500,"medium",Table1[[#This Row],[Sales]]&lt;500,"small")</f>
        <v>medium</v>
      </c>
      <c r="V125" s="22">
        <f>Table1[[#This Row],[Profit]]/Table1[[#This Row],[Sales]]*100</f>
        <v>15.987686763270503</v>
      </c>
    </row>
    <row r="126" spans="1:22" x14ac:dyDescent="0.35">
      <c r="A126" s="4" t="s">
        <v>310</v>
      </c>
      <c r="B126" s="5">
        <v>45705</v>
      </c>
      <c r="C126" s="4" t="s">
        <v>311</v>
      </c>
      <c r="D126" s="4" t="s">
        <v>47</v>
      </c>
      <c r="E126" s="4" t="s">
        <v>36</v>
      </c>
      <c r="F126" s="4" t="s">
        <v>37</v>
      </c>
      <c r="G126" s="4" t="s">
        <v>49</v>
      </c>
      <c r="H126" s="4" t="s">
        <v>187</v>
      </c>
      <c r="I126" s="4">
        <v>3</v>
      </c>
      <c r="J126" s="6">
        <v>70.66</v>
      </c>
      <c r="K126" s="7">
        <v>0</v>
      </c>
      <c r="L126" s="6">
        <f t="shared" si="2"/>
        <v>211.98</v>
      </c>
      <c r="M126" s="6">
        <v>39.93</v>
      </c>
      <c r="N126" s="8">
        <f t="shared" si="3"/>
        <v>92.19</v>
      </c>
      <c r="O126" s="4" t="s">
        <v>84</v>
      </c>
      <c r="P126" s="4" t="s">
        <v>61</v>
      </c>
      <c r="Q126" s="4">
        <v>5</v>
      </c>
      <c r="R126" s="4" t="str">
        <f>TEXT(Table1[[#This Row],[Order Date]],"mmm")</f>
        <v>Feb</v>
      </c>
      <c r="S126" s="4" t="str">
        <f>TEXT(Table1[[#This Row],[Order Date]],"mm")</f>
        <v>02</v>
      </c>
      <c r="T126" s="4" t="str">
        <f>IF(Table1[[#This Row],[Sales]]&lt;0,"loss","profit")</f>
        <v>profit</v>
      </c>
      <c r="U126" s="4" t="str" cm="1">
        <f t="array" ref="U126">_xlfn.IFS(Table1[[#This Row],[Sales]]&gt;2000,"large",Table1[[#This Row],[Sales]]&gt;=500,"medium",Table1[[#This Row],[Sales]]&lt;500,"small")</f>
        <v>small</v>
      </c>
      <c r="V126" s="22">
        <f>Table1[[#This Row],[Profit]]/Table1[[#This Row],[Sales]]*100</f>
        <v>43.489951882253038</v>
      </c>
    </row>
    <row r="127" spans="1:22" x14ac:dyDescent="0.35">
      <c r="A127" s="4" t="s">
        <v>312</v>
      </c>
      <c r="B127" s="5">
        <v>45705</v>
      </c>
      <c r="C127" s="4" t="s">
        <v>313</v>
      </c>
      <c r="D127" s="4" t="s">
        <v>43</v>
      </c>
      <c r="E127" s="4" t="s">
        <v>87</v>
      </c>
      <c r="F127" s="4" t="s">
        <v>124</v>
      </c>
      <c r="G127" s="4" t="s">
        <v>31</v>
      </c>
      <c r="H127" s="4" t="s">
        <v>32</v>
      </c>
      <c r="I127" s="4">
        <v>5</v>
      </c>
      <c r="J127" s="6">
        <v>376.53</v>
      </c>
      <c r="K127" s="7">
        <v>0</v>
      </c>
      <c r="L127" s="6">
        <f t="shared" si="2"/>
        <v>1882.6499999999999</v>
      </c>
      <c r="M127" s="6">
        <v>259.86</v>
      </c>
      <c r="N127" s="8">
        <f t="shared" si="3"/>
        <v>583.34999999999968</v>
      </c>
      <c r="O127" s="4" t="s">
        <v>40</v>
      </c>
      <c r="P127" s="4" t="s">
        <v>61</v>
      </c>
      <c r="Q127" s="4">
        <v>5</v>
      </c>
      <c r="R127" s="4" t="str">
        <f>TEXT(Table1[[#This Row],[Order Date]],"mmm")</f>
        <v>Feb</v>
      </c>
      <c r="S127" s="4" t="str">
        <f>TEXT(Table1[[#This Row],[Order Date]],"mm")</f>
        <v>02</v>
      </c>
      <c r="T127" s="4" t="str">
        <f>IF(Table1[[#This Row],[Sales]]&lt;0,"loss","profit")</f>
        <v>profit</v>
      </c>
      <c r="U127" s="4" t="str" cm="1">
        <f t="array" ref="U127">_xlfn.IFS(Table1[[#This Row],[Sales]]&gt;2000,"large",Table1[[#This Row],[Sales]]&gt;=500,"medium",Table1[[#This Row],[Sales]]&lt;500,"small")</f>
        <v>medium</v>
      </c>
      <c r="V127" s="22">
        <f>Table1[[#This Row],[Profit]]/Table1[[#This Row],[Sales]]*100</f>
        <v>30.98557883833956</v>
      </c>
    </row>
    <row r="128" spans="1:22" x14ac:dyDescent="0.35">
      <c r="A128" s="4" t="s">
        <v>314</v>
      </c>
      <c r="B128" s="5">
        <v>45705</v>
      </c>
      <c r="C128" s="4" t="s">
        <v>315</v>
      </c>
      <c r="D128" s="4" t="s">
        <v>20</v>
      </c>
      <c r="E128" s="4" t="s">
        <v>21</v>
      </c>
      <c r="F128" s="4" t="s">
        <v>22</v>
      </c>
      <c r="G128" s="4" t="s">
        <v>31</v>
      </c>
      <c r="H128" s="4" t="s">
        <v>147</v>
      </c>
      <c r="I128" s="4">
        <v>2</v>
      </c>
      <c r="J128" s="6">
        <v>72.58</v>
      </c>
      <c r="K128" s="7">
        <v>0.15</v>
      </c>
      <c r="L128" s="6">
        <f t="shared" si="2"/>
        <v>123.386</v>
      </c>
      <c r="M128" s="6">
        <v>40.29</v>
      </c>
      <c r="N128" s="8">
        <f t="shared" si="3"/>
        <v>42.805999999999997</v>
      </c>
      <c r="O128" s="4" t="s">
        <v>51</v>
      </c>
      <c r="P128" s="4" t="s">
        <v>97</v>
      </c>
      <c r="Q128" s="4">
        <v>5</v>
      </c>
      <c r="R128" s="4" t="str">
        <f>TEXT(Table1[[#This Row],[Order Date]],"mmm")</f>
        <v>Feb</v>
      </c>
      <c r="S128" s="4" t="str">
        <f>TEXT(Table1[[#This Row],[Order Date]],"mm")</f>
        <v>02</v>
      </c>
      <c r="T128" s="4" t="str">
        <f>IF(Table1[[#This Row],[Sales]]&lt;0,"loss","profit")</f>
        <v>profit</v>
      </c>
      <c r="U128" s="4" t="str" cm="1">
        <f t="array" ref="U128">_xlfn.IFS(Table1[[#This Row],[Sales]]&gt;2000,"large",Table1[[#This Row],[Sales]]&gt;=500,"medium",Table1[[#This Row],[Sales]]&lt;500,"small")</f>
        <v>small</v>
      </c>
      <c r="V128" s="22">
        <f>Table1[[#This Row],[Profit]]/Table1[[#This Row],[Sales]]*100</f>
        <v>34.692752824469551</v>
      </c>
    </row>
    <row r="129" spans="1:22" x14ac:dyDescent="0.35">
      <c r="A129" s="4" t="s">
        <v>316</v>
      </c>
      <c r="B129" s="5">
        <v>45705</v>
      </c>
      <c r="C129" s="4" t="s">
        <v>317</v>
      </c>
      <c r="D129" s="4" t="s">
        <v>20</v>
      </c>
      <c r="E129" s="4" t="s">
        <v>87</v>
      </c>
      <c r="F129" s="4" t="s">
        <v>92</v>
      </c>
      <c r="G129" s="4" t="s">
        <v>67</v>
      </c>
      <c r="H129" s="4" t="s">
        <v>140</v>
      </c>
      <c r="I129" s="4">
        <v>3</v>
      </c>
      <c r="J129" s="6">
        <v>208.87</v>
      </c>
      <c r="K129" s="7">
        <v>0</v>
      </c>
      <c r="L129" s="6">
        <f t="shared" si="2"/>
        <v>626.61</v>
      </c>
      <c r="M129" s="6">
        <v>148.27000000000001</v>
      </c>
      <c r="N129" s="8">
        <f t="shared" si="3"/>
        <v>181.79999999999995</v>
      </c>
      <c r="O129" s="4" t="s">
        <v>51</v>
      </c>
      <c r="P129" s="4" t="s">
        <v>97</v>
      </c>
      <c r="Q129" s="4">
        <v>2</v>
      </c>
      <c r="R129" s="4" t="str">
        <f>TEXT(Table1[[#This Row],[Order Date]],"mmm")</f>
        <v>Feb</v>
      </c>
      <c r="S129" s="4" t="str">
        <f>TEXT(Table1[[#This Row],[Order Date]],"mm")</f>
        <v>02</v>
      </c>
      <c r="T129" s="4" t="str">
        <f>IF(Table1[[#This Row],[Sales]]&lt;0,"loss","profit")</f>
        <v>profit</v>
      </c>
      <c r="U129" s="4" t="str" cm="1">
        <f t="array" ref="U129">_xlfn.IFS(Table1[[#This Row],[Sales]]&gt;2000,"large",Table1[[#This Row],[Sales]]&gt;=500,"medium",Table1[[#This Row],[Sales]]&lt;500,"small")</f>
        <v>medium</v>
      </c>
      <c r="V129" s="22">
        <f>Table1[[#This Row],[Profit]]/Table1[[#This Row],[Sales]]*100</f>
        <v>29.013261837506576</v>
      </c>
    </row>
    <row r="130" spans="1:22" x14ac:dyDescent="0.35">
      <c r="A130" s="4" t="s">
        <v>318</v>
      </c>
      <c r="B130" s="5">
        <v>45705</v>
      </c>
      <c r="C130" s="4" t="s">
        <v>176</v>
      </c>
      <c r="D130" s="4" t="s">
        <v>43</v>
      </c>
      <c r="E130" s="4" t="s">
        <v>87</v>
      </c>
      <c r="F130" s="4" t="s">
        <v>92</v>
      </c>
      <c r="G130" s="4" t="s">
        <v>23</v>
      </c>
      <c r="H130" s="4" t="s">
        <v>24</v>
      </c>
      <c r="I130" s="4">
        <v>4</v>
      </c>
      <c r="J130" s="6">
        <v>71.349999999999994</v>
      </c>
      <c r="K130" s="7">
        <v>0.1</v>
      </c>
      <c r="L130" s="6">
        <f t="shared" ref="L130:L193" si="4">I130*J130*(1-K130)</f>
        <v>256.86</v>
      </c>
      <c r="M130" s="6">
        <v>44.91</v>
      </c>
      <c r="N130" s="8">
        <f t="shared" ref="N130:N193" si="5">L130-I130*M130</f>
        <v>77.220000000000027</v>
      </c>
      <c r="O130" s="4" t="s">
        <v>25</v>
      </c>
      <c r="P130" s="4" t="s">
        <v>118</v>
      </c>
      <c r="Q130" s="4">
        <v>2</v>
      </c>
      <c r="R130" s="4" t="str">
        <f>TEXT(Table1[[#This Row],[Order Date]],"mmm")</f>
        <v>Feb</v>
      </c>
      <c r="S130" s="4" t="str">
        <f>TEXT(Table1[[#This Row],[Order Date]],"mm")</f>
        <v>02</v>
      </c>
      <c r="T130" s="4" t="str">
        <f>IF(Table1[[#This Row],[Sales]]&lt;0,"loss","profit")</f>
        <v>profit</v>
      </c>
      <c r="U130" s="4" t="str" cm="1">
        <f t="array" ref="U130">_xlfn.IFS(Table1[[#This Row],[Sales]]&gt;2000,"large",Table1[[#This Row],[Sales]]&gt;=500,"medium",Table1[[#This Row],[Sales]]&lt;500,"small")</f>
        <v>small</v>
      </c>
      <c r="V130" s="22">
        <f>Table1[[#This Row],[Profit]]/Table1[[#This Row],[Sales]]*100</f>
        <v>30.063069376313955</v>
      </c>
    </row>
    <row r="131" spans="1:22" x14ac:dyDescent="0.35">
      <c r="A131" s="4" t="s">
        <v>319</v>
      </c>
      <c r="B131" s="5">
        <v>45706</v>
      </c>
      <c r="C131" s="4" t="s">
        <v>320</v>
      </c>
      <c r="D131" s="4" t="s">
        <v>20</v>
      </c>
      <c r="E131" s="4" t="s">
        <v>21</v>
      </c>
      <c r="F131" s="4" t="s">
        <v>22</v>
      </c>
      <c r="G131" s="4" t="s">
        <v>38</v>
      </c>
      <c r="H131" s="4" t="s">
        <v>55</v>
      </c>
      <c r="I131" s="4">
        <v>1</v>
      </c>
      <c r="J131" s="6">
        <v>150.08000000000001</v>
      </c>
      <c r="K131" s="7">
        <v>0.05</v>
      </c>
      <c r="L131" s="6">
        <f t="shared" si="4"/>
        <v>142.57599999999999</v>
      </c>
      <c r="M131" s="6">
        <v>117.93</v>
      </c>
      <c r="N131" s="8">
        <f t="shared" si="5"/>
        <v>24.645999999999987</v>
      </c>
      <c r="O131" s="4" t="s">
        <v>51</v>
      </c>
      <c r="P131" s="4" t="s">
        <v>97</v>
      </c>
      <c r="Q131" s="4">
        <v>2</v>
      </c>
      <c r="R131" s="4" t="str">
        <f>TEXT(Table1[[#This Row],[Order Date]],"mmm")</f>
        <v>Feb</v>
      </c>
      <c r="S131" s="4" t="str">
        <f>TEXT(Table1[[#This Row],[Order Date]],"mm")</f>
        <v>02</v>
      </c>
      <c r="T131" s="4" t="str">
        <f>IF(Table1[[#This Row],[Sales]]&lt;0,"loss","profit")</f>
        <v>profit</v>
      </c>
      <c r="U131" s="4" t="str" cm="1">
        <f t="array" ref="U131">_xlfn.IFS(Table1[[#This Row],[Sales]]&gt;2000,"large",Table1[[#This Row],[Sales]]&gt;=500,"medium",Table1[[#This Row],[Sales]]&lt;500,"small")</f>
        <v>small</v>
      </c>
      <c r="V131" s="22">
        <f>Table1[[#This Row],[Profit]]/Table1[[#This Row],[Sales]]*100</f>
        <v>17.286219279542131</v>
      </c>
    </row>
    <row r="132" spans="1:22" x14ac:dyDescent="0.35">
      <c r="A132" s="4" t="s">
        <v>321</v>
      </c>
      <c r="B132" s="5">
        <v>45707</v>
      </c>
      <c r="C132" s="4" t="s">
        <v>160</v>
      </c>
      <c r="D132" s="4" t="s">
        <v>47</v>
      </c>
      <c r="E132" s="4" t="s">
        <v>36</v>
      </c>
      <c r="F132" s="4" t="s">
        <v>201</v>
      </c>
      <c r="G132" s="4" t="s">
        <v>38</v>
      </c>
      <c r="H132" s="4" t="s">
        <v>39</v>
      </c>
      <c r="I132" s="4">
        <v>1</v>
      </c>
      <c r="J132" s="6">
        <v>114.43</v>
      </c>
      <c r="K132" s="7">
        <v>0.05</v>
      </c>
      <c r="L132" s="6">
        <f t="shared" si="4"/>
        <v>108.7085</v>
      </c>
      <c r="M132" s="6">
        <v>92.72</v>
      </c>
      <c r="N132" s="8">
        <f t="shared" si="5"/>
        <v>15.988500000000002</v>
      </c>
      <c r="O132" s="4" t="s">
        <v>51</v>
      </c>
      <c r="P132" s="4" t="s">
        <v>72</v>
      </c>
      <c r="Q132" s="4">
        <v>4</v>
      </c>
      <c r="R132" s="4" t="str">
        <f>TEXT(Table1[[#This Row],[Order Date]],"mmm")</f>
        <v>Feb</v>
      </c>
      <c r="S132" s="4" t="str">
        <f>TEXT(Table1[[#This Row],[Order Date]],"mm")</f>
        <v>02</v>
      </c>
      <c r="T132" s="4" t="str">
        <f>IF(Table1[[#This Row],[Sales]]&lt;0,"loss","profit")</f>
        <v>profit</v>
      </c>
      <c r="U132" s="4" t="str" cm="1">
        <f t="array" ref="U132">_xlfn.IFS(Table1[[#This Row],[Sales]]&gt;2000,"large",Table1[[#This Row],[Sales]]&gt;=500,"medium",Table1[[#This Row],[Sales]]&lt;500,"small")</f>
        <v>small</v>
      </c>
      <c r="V132" s="22">
        <f>Table1[[#This Row],[Profit]]/Table1[[#This Row],[Sales]]*100</f>
        <v>14.707681552040549</v>
      </c>
    </row>
    <row r="133" spans="1:22" x14ac:dyDescent="0.35">
      <c r="A133" s="4" t="s">
        <v>322</v>
      </c>
      <c r="B133" s="5">
        <v>45707</v>
      </c>
      <c r="C133" s="4" t="s">
        <v>323</v>
      </c>
      <c r="D133" s="4" t="s">
        <v>43</v>
      </c>
      <c r="E133" s="4" t="s">
        <v>36</v>
      </c>
      <c r="F133" s="4" t="s">
        <v>201</v>
      </c>
      <c r="G133" s="4" t="s">
        <v>38</v>
      </c>
      <c r="H133" s="4" t="s">
        <v>96</v>
      </c>
      <c r="I133" s="4">
        <v>1</v>
      </c>
      <c r="J133" s="6">
        <v>243.23</v>
      </c>
      <c r="K133" s="7">
        <v>0</v>
      </c>
      <c r="L133" s="6">
        <f t="shared" si="4"/>
        <v>243.23</v>
      </c>
      <c r="M133" s="6">
        <v>209.1</v>
      </c>
      <c r="N133" s="8">
        <f t="shared" si="5"/>
        <v>34.129999999999995</v>
      </c>
      <c r="O133" s="4" t="s">
        <v>25</v>
      </c>
      <c r="P133" s="4" t="s">
        <v>26</v>
      </c>
      <c r="Q133" s="4">
        <v>5</v>
      </c>
      <c r="R133" s="4" t="str">
        <f>TEXT(Table1[[#This Row],[Order Date]],"mmm")</f>
        <v>Feb</v>
      </c>
      <c r="S133" s="4" t="str">
        <f>TEXT(Table1[[#This Row],[Order Date]],"mm")</f>
        <v>02</v>
      </c>
      <c r="T133" s="4" t="str">
        <f>IF(Table1[[#This Row],[Sales]]&lt;0,"loss","profit")</f>
        <v>profit</v>
      </c>
      <c r="U133" s="4" t="str" cm="1">
        <f t="array" ref="U133">_xlfn.IFS(Table1[[#This Row],[Sales]]&gt;2000,"large",Table1[[#This Row],[Sales]]&gt;=500,"medium",Table1[[#This Row],[Sales]]&lt;500,"small")</f>
        <v>small</v>
      </c>
      <c r="V133" s="22">
        <f>Table1[[#This Row],[Profit]]/Table1[[#This Row],[Sales]]*100</f>
        <v>14.031986185914565</v>
      </c>
    </row>
    <row r="134" spans="1:22" x14ac:dyDescent="0.35">
      <c r="A134" s="4" t="s">
        <v>324</v>
      </c>
      <c r="B134" s="5">
        <v>45708</v>
      </c>
      <c r="C134" s="4" t="s">
        <v>325</v>
      </c>
      <c r="D134" s="4" t="s">
        <v>43</v>
      </c>
      <c r="E134" s="4" t="s">
        <v>87</v>
      </c>
      <c r="F134" s="4" t="s">
        <v>92</v>
      </c>
      <c r="G134" s="4" t="s">
        <v>67</v>
      </c>
      <c r="H134" s="4" t="s">
        <v>93</v>
      </c>
      <c r="I134" s="4">
        <v>1</v>
      </c>
      <c r="J134" s="6">
        <v>466.03</v>
      </c>
      <c r="K134" s="7">
        <v>0</v>
      </c>
      <c r="L134" s="6">
        <f t="shared" si="4"/>
        <v>466.03</v>
      </c>
      <c r="M134" s="6">
        <v>326.61</v>
      </c>
      <c r="N134" s="8">
        <f t="shared" si="5"/>
        <v>139.41999999999996</v>
      </c>
      <c r="O134" s="4" t="s">
        <v>51</v>
      </c>
      <c r="P134" s="4" t="s">
        <v>97</v>
      </c>
      <c r="Q134" s="4">
        <v>5</v>
      </c>
      <c r="R134" s="4" t="str">
        <f>TEXT(Table1[[#This Row],[Order Date]],"mmm")</f>
        <v>Feb</v>
      </c>
      <c r="S134" s="4" t="str">
        <f>TEXT(Table1[[#This Row],[Order Date]],"mm")</f>
        <v>02</v>
      </c>
      <c r="T134" s="4" t="str">
        <f>IF(Table1[[#This Row],[Sales]]&lt;0,"loss","profit")</f>
        <v>profit</v>
      </c>
      <c r="U134" s="4" t="str" cm="1">
        <f t="array" ref="U134">_xlfn.IFS(Table1[[#This Row],[Sales]]&gt;2000,"large",Table1[[#This Row],[Sales]]&gt;=500,"medium",Table1[[#This Row],[Sales]]&lt;500,"small")</f>
        <v>small</v>
      </c>
      <c r="V134" s="22">
        <f>Table1[[#This Row],[Profit]]/Table1[[#This Row],[Sales]]*100</f>
        <v>29.916528978821098</v>
      </c>
    </row>
    <row r="135" spans="1:22" x14ac:dyDescent="0.35">
      <c r="A135" s="4" t="s">
        <v>326</v>
      </c>
      <c r="B135" s="5">
        <v>45708</v>
      </c>
      <c r="C135" s="4" t="s">
        <v>215</v>
      </c>
      <c r="D135" s="4" t="s">
        <v>43</v>
      </c>
      <c r="E135" s="4" t="s">
        <v>87</v>
      </c>
      <c r="F135" s="4" t="s">
        <v>92</v>
      </c>
      <c r="G135" s="4" t="s">
        <v>67</v>
      </c>
      <c r="H135" s="4" t="s">
        <v>140</v>
      </c>
      <c r="I135" s="4">
        <v>2</v>
      </c>
      <c r="J135" s="6">
        <v>141.82</v>
      </c>
      <c r="K135" s="7">
        <v>0.2</v>
      </c>
      <c r="L135" s="6">
        <f t="shared" si="4"/>
        <v>226.91200000000001</v>
      </c>
      <c r="M135" s="6">
        <v>90.1</v>
      </c>
      <c r="N135" s="8">
        <f t="shared" si="5"/>
        <v>46.712000000000018</v>
      </c>
      <c r="O135" s="4" t="s">
        <v>25</v>
      </c>
      <c r="P135" s="4" t="s">
        <v>61</v>
      </c>
      <c r="Q135" s="4">
        <v>5</v>
      </c>
      <c r="R135" s="4" t="str">
        <f>TEXT(Table1[[#This Row],[Order Date]],"mmm")</f>
        <v>Feb</v>
      </c>
      <c r="S135" s="4" t="str">
        <f>TEXT(Table1[[#This Row],[Order Date]],"mm")</f>
        <v>02</v>
      </c>
      <c r="T135" s="4" t="str">
        <f>IF(Table1[[#This Row],[Sales]]&lt;0,"loss","profit")</f>
        <v>profit</v>
      </c>
      <c r="U135" s="4" t="str" cm="1">
        <f t="array" ref="U135">_xlfn.IFS(Table1[[#This Row],[Sales]]&gt;2000,"large",Table1[[#This Row],[Sales]]&gt;=500,"medium",Table1[[#This Row],[Sales]]&lt;500,"small")</f>
        <v>small</v>
      </c>
      <c r="V135" s="22">
        <f>Table1[[#This Row],[Profit]]/Table1[[#This Row],[Sales]]*100</f>
        <v>20.585954026230439</v>
      </c>
    </row>
    <row r="136" spans="1:22" x14ac:dyDescent="0.35">
      <c r="A136" s="4" t="s">
        <v>327</v>
      </c>
      <c r="B136" s="5">
        <v>45708</v>
      </c>
      <c r="C136" s="4" t="s">
        <v>328</v>
      </c>
      <c r="D136" s="4" t="s">
        <v>43</v>
      </c>
      <c r="E136" s="4" t="s">
        <v>87</v>
      </c>
      <c r="F136" s="4" t="s">
        <v>92</v>
      </c>
      <c r="G136" s="4" t="s">
        <v>49</v>
      </c>
      <c r="H136" s="4" t="s">
        <v>78</v>
      </c>
      <c r="I136" s="4">
        <v>2</v>
      </c>
      <c r="J136" s="6">
        <v>627.66999999999996</v>
      </c>
      <c r="K136" s="7">
        <v>0.15</v>
      </c>
      <c r="L136" s="6">
        <f t="shared" si="4"/>
        <v>1067.039</v>
      </c>
      <c r="M136" s="6">
        <v>391.3</v>
      </c>
      <c r="N136" s="8">
        <f t="shared" si="5"/>
        <v>284.43899999999996</v>
      </c>
      <c r="O136" s="4" t="s">
        <v>60</v>
      </c>
      <c r="P136" s="4" t="s">
        <v>72</v>
      </c>
      <c r="Q136" s="4">
        <v>4</v>
      </c>
      <c r="R136" s="4" t="str">
        <f>TEXT(Table1[[#This Row],[Order Date]],"mmm")</f>
        <v>Feb</v>
      </c>
      <c r="S136" s="4" t="str">
        <f>TEXT(Table1[[#This Row],[Order Date]],"mm")</f>
        <v>02</v>
      </c>
      <c r="T136" s="4" t="str">
        <f>IF(Table1[[#This Row],[Sales]]&lt;0,"loss","profit")</f>
        <v>profit</v>
      </c>
      <c r="U136" s="4" t="str" cm="1">
        <f t="array" ref="U136">_xlfn.IFS(Table1[[#This Row],[Sales]]&gt;2000,"large",Table1[[#This Row],[Sales]]&gt;=500,"medium",Table1[[#This Row],[Sales]]&lt;500,"small")</f>
        <v>medium</v>
      </c>
      <c r="V136" s="22">
        <f>Table1[[#This Row],[Profit]]/Table1[[#This Row],[Sales]]*100</f>
        <v>26.656851342828141</v>
      </c>
    </row>
    <row r="137" spans="1:22" x14ac:dyDescent="0.35">
      <c r="A137" s="4" t="s">
        <v>329</v>
      </c>
      <c r="B137" s="5">
        <v>45709</v>
      </c>
      <c r="C137" s="4" t="s">
        <v>276</v>
      </c>
      <c r="D137" s="4" t="s">
        <v>43</v>
      </c>
      <c r="E137" s="4" t="s">
        <v>87</v>
      </c>
      <c r="F137" s="4" t="s">
        <v>92</v>
      </c>
      <c r="G137" s="4" t="s">
        <v>23</v>
      </c>
      <c r="H137" s="4" t="s">
        <v>135</v>
      </c>
      <c r="I137" s="4">
        <v>4</v>
      </c>
      <c r="J137" s="6">
        <v>33.729999999999997</v>
      </c>
      <c r="K137" s="7">
        <v>0.15</v>
      </c>
      <c r="L137" s="6">
        <f t="shared" si="4"/>
        <v>114.68199999999999</v>
      </c>
      <c r="M137" s="6">
        <v>18.03</v>
      </c>
      <c r="N137" s="8">
        <f t="shared" si="5"/>
        <v>42.561999999999983</v>
      </c>
      <c r="O137" s="4" t="s">
        <v>40</v>
      </c>
      <c r="P137" s="4" t="s">
        <v>61</v>
      </c>
      <c r="Q137" s="4">
        <v>4</v>
      </c>
      <c r="R137" s="4" t="str">
        <f>TEXT(Table1[[#This Row],[Order Date]],"mmm")</f>
        <v>Feb</v>
      </c>
      <c r="S137" s="4" t="str">
        <f>TEXT(Table1[[#This Row],[Order Date]],"mm")</f>
        <v>02</v>
      </c>
      <c r="T137" s="4" t="str">
        <f>IF(Table1[[#This Row],[Sales]]&lt;0,"loss","profit")</f>
        <v>profit</v>
      </c>
      <c r="U137" s="4" t="str" cm="1">
        <f t="array" ref="U137">_xlfn.IFS(Table1[[#This Row],[Sales]]&gt;2000,"large",Table1[[#This Row],[Sales]]&gt;=500,"medium",Table1[[#This Row],[Sales]]&lt;500,"small")</f>
        <v>small</v>
      </c>
      <c r="V137" s="22">
        <f>Table1[[#This Row],[Profit]]/Table1[[#This Row],[Sales]]*100</f>
        <v>37.113060462845077</v>
      </c>
    </row>
    <row r="138" spans="1:22" x14ac:dyDescent="0.35">
      <c r="A138" s="4" t="s">
        <v>330</v>
      </c>
      <c r="B138" s="5">
        <v>45709</v>
      </c>
      <c r="C138" s="4" t="s">
        <v>331</v>
      </c>
      <c r="D138" s="4" t="s">
        <v>20</v>
      </c>
      <c r="E138" s="4" t="s">
        <v>21</v>
      </c>
      <c r="F138" s="4" t="s">
        <v>81</v>
      </c>
      <c r="G138" s="4" t="s">
        <v>38</v>
      </c>
      <c r="H138" s="4" t="s">
        <v>109</v>
      </c>
      <c r="I138" s="4">
        <v>10</v>
      </c>
      <c r="J138" s="6">
        <v>872.19</v>
      </c>
      <c r="K138" s="7">
        <v>0.05</v>
      </c>
      <c r="L138" s="6">
        <f t="shared" si="4"/>
        <v>8285.8050000000003</v>
      </c>
      <c r="M138" s="6">
        <v>681.74</v>
      </c>
      <c r="N138" s="8">
        <f t="shared" si="5"/>
        <v>1468.4050000000007</v>
      </c>
      <c r="O138" s="4" t="s">
        <v>51</v>
      </c>
      <c r="P138" s="4" t="s">
        <v>97</v>
      </c>
      <c r="Q138" s="4">
        <v>4</v>
      </c>
      <c r="R138" s="4" t="str">
        <f>TEXT(Table1[[#This Row],[Order Date]],"mmm")</f>
        <v>Feb</v>
      </c>
      <c r="S138" s="4" t="str">
        <f>TEXT(Table1[[#This Row],[Order Date]],"mm")</f>
        <v>02</v>
      </c>
      <c r="T138" s="4" t="str">
        <f>IF(Table1[[#This Row],[Sales]]&lt;0,"loss","profit")</f>
        <v>profit</v>
      </c>
      <c r="U138" s="4" t="str" cm="1">
        <f t="array" ref="U138">_xlfn.IFS(Table1[[#This Row],[Sales]]&gt;2000,"large",Table1[[#This Row],[Sales]]&gt;=500,"medium",Table1[[#This Row],[Sales]]&lt;500,"small")</f>
        <v>large</v>
      </c>
      <c r="V138" s="22">
        <f>Table1[[#This Row],[Profit]]/Table1[[#This Row],[Sales]]*100</f>
        <v>17.721935285708518</v>
      </c>
    </row>
    <row r="139" spans="1:22" x14ac:dyDescent="0.35">
      <c r="A139" s="4" t="s">
        <v>332</v>
      </c>
      <c r="B139" s="5">
        <v>45709</v>
      </c>
      <c r="C139" s="4" t="s">
        <v>333</v>
      </c>
      <c r="D139" s="4" t="s">
        <v>47</v>
      </c>
      <c r="E139" s="4" t="s">
        <v>21</v>
      </c>
      <c r="F139" s="4" t="s">
        <v>22</v>
      </c>
      <c r="G139" s="4" t="s">
        <v>31</v>
      </c>
      <c r="H139" s="4" t="s">
        <v>64</v>
      </c>
      <c r="I139" s="4">
        <v>4</v>
      </c>
      <c r="J139" s="6">
        <v>187.34</v>
      </c>
      <c r="K139" s="7">
        <v>0.1</v>
      </c>
      <c r="L139" s="6">
        <f t="shared" si="4"/>
        <v>674.42399999999998</v>
      </c>
      <c r="M139" s="6">
        <v>110.07</v>
      </c>
      <c r="N139" s="8">
        <f t="shared" si="5"/>
        <v>234.14400000000001</v>
      </c>
      <c r="O139" s="4" t="s">
        <v>51</v>
      </c>
      <c r="P139" s="4" t="s">
        <v>75</v>
      </c>
      <c r="Q139" s="4">
        <v>4</v>
      </c>
      <c r="R139" s="4" t="str">
        <f>TEXT(Table1[[#This Row],[Order Date]],"mmm")</f>
        <v>Feb</v>
      </c>
      <c r="S139" s="4" t="str">
        <f>TEXT(Table1[[#This Row],[Order Date]],"mm")</f>
        <v>02</v>
      </c>
      <c r="T139" s="4" t="str">
        <f>IF(Table1[[#This Row],[Sales]]&lt;0,"loss","profit")</f>
        <v>profit</v>
      </c>
      <c r="U139" s="4" t="str" cm="1">
        <f t="array" ref="U139">_xlfn.IFS(Table1[[#This Row],[Sales]]&gt;2000,"large",Table1[[#This Row],[Sales]]&gt;=500,"medium",Table1[[#This Row],[Sales]]&lt;500,"small")</f>
        <v>medium</v>
      </c>
      <c r="V139" s="22">
        <f>Table1[[#This Row],[Profit]]/Table1[[#This Row],[Sales]]*100</f>
        <v>34.717625707270209</v>
      </c>
    </row>
    <row r="140" spans="1:22" x14ac:dyDescent="0.35">
      <c r="A140" s="4" t="s">
        <v>334</v>
      </c>
      <c r="B140" s="5">
        <v>45710</v>
      </c>
      <c r="C140" s="4" t="s">
        <v>335</v>
      </c>
      <c r="D140" s="4" t="s">
        <v>20</v>
      </c>
      <c r="E140" s="4" t="s">
        <v>29</v>
      </c>
      <c r="F140" s="4" t="s">
        <v>54</v>
      </c>
      <c r="G140" s="4" t="s">
        <v>23</v>
      </c>
      <c r="H140" s="4" t="s">
        <v>44</v>
      </c>
      <c r="I140" s="4">
        <v>1</v>
      </c>
      <c r="J140" s="6">
        <v>156.02000000000001</v>
      </c>
      <c r="K140" s="7">
        <v>0</v>
      </c>
      <c r="L140" s="6">
        <f t="shared" si="4"/>
        <v>156.02000000000001</v>
      </c>
      <c r="M140" s="6">
        <v>88.48</v>
      </c>
      <c r="N140" s="8">
        <f t="shared" si="5"/>
        <v>67.540000000000006</v>
      </c>
      <c r="O140" s="4" t="s">
        <v>51</v>
      </c>
      <c r="P140" s="4" t="s">
        <v>72</v>
      </c>
      <c r="Q140" s="4">
        <v>4</v>
      </c>
      <c r="R140" s="4" t="str">
        <f>TEXT(Table1[[#This Row],[Order Date]],"mmm")</f>
        <v>Feb</v>
      </c>
      <c r="S140" s="4" t="str">
        <f>TEXT(Table1[[#This Row],[Order Date]],"mm")</f>
        <v>02</v>
      </c>
      <c r="T140" s="4" t="str">
        <f>IF(Table1[[#This Row],[Sales]]&lt;0,"loss","profit")</f>
        <v>profit</v>
      </c>
      <c r="U140" s="4" t="str" cm="1">
        <f t="array" ref="U140">_xlfn.IFS(Table1[[#This Row],[Sales]]&gt;2000,"large",Table1[[#This Row],[Sales]]&gt;=500,"medium",Table1[[#This Row],[Sales]]&lt;500,"small")</f>
        <v>small</v>
      </c>
      <c r="V140" s="22">
        <f>Table1[[#This Row],[Profit]]/Table1[[#This Row],[Sales]]*100</f>
        <v>43.289321881810025</v>
      </c>
    </row>
    <row r="141" spans="1:22" x14ac:dyDescent="0.35">
      <c r="A141" s="4" t="s">
        <v>336</v>
      </c>
      <c r="B141" s="5">
        <v>45710</v>
      </c>
      <c r="C141" s="4" t="s">
        <v>337</v>
      </c>
      <c r="D141" s="4" t="s">
        <v>20</v>
      </c>
      <c r="E141" s="4" t="s">
        <v>21</v>
      </c>
      <c r="F141" s="4" t="s">
        <v>81</v>
      </c>
      <c r="G141" s="4" t="s">
        <v>67</v>
      </c>
      <c r="H141" s="4" t="s">
        <v>93</v>
      </c>
      <c r="I141" s="4">
        <v>2</v>
      </c>
      <c r="J141" s="6">
        <v>285.58</v>
      </c>
      <c r="K141" s="7">
        <v>0.2</v>
      </c>
      <c r="L141" s="6">
        <f t="shared" si="4"/>
        <v>456.928</v>
      </c>
      <c r="M141" s="6">
        <v>227.06</v>
      </c>
      <c r="N141" s="8">
        <f t="shared" si="5"/>
        <v>2.8079999999999927</v>
      </c>
      <c r="O141" s="4" t="s">
        <v>84</v>
      </c>
      <c r="P141" s="4" t="s">
        <v>118</v>
      </c>
      <c r="Q141" s="4">
        <v>3</v>
      </c>
      <c r="R141" s="4" t="str">
        <f>TEXT(Table1[[#This Row],[Order Date]],"mmm")</f>
        <v>Feb</v>
      </c>
      <c r="S141" s="4" t="str">
        <f>TEXT(Table1[[#This Row],[Order Date]],"mm")</f>
        <v>02</v>
      </c>
      <c r="T141" s="4" t="str">
        <f>IF(Table1[[#This Row],[Sales]]&lt;0,"loss","profit")</f>
        <v>profit</v>
      </c>
      <c r="U141" s="4" t="str" cm="1">
        <f t="array" ref="U141">_xlfn.IFS(Table1[[#This Row],[Sales]]&gt;2000,"large",Table1[[#This Row],[Sales]]&gt;=500,"medium",Table1[[#This Row],[Sales]]&lt;500,"small")</f>
        <v>small</v>
      </c>
      <c r="V141" s="22">
        <f>Table1[[#This Row],[Profit]]/Table1[[#This Row],[Sales]]*100</f>
        <v>0.61453883325162673</v>
      </c>
    </row>
    <row r="142" spans="1:22" x14ac:dyDescent="0.35">
      <c r="A142" s="4" t="s">
        <v>338</v>
      </c>
      <c r="B142" s="5">
        <v>45710</v>
      </c>
      <c r="C142" s="4" t="s">
        <v>339</v>
      </c>
      <c r="D142" s="4" t="s">
        <v>43</v>
      </c>
      <c r="E142" s="4" t="s">
        <v>21</v>
      </c>
      <c r="F142" s="4" t="s">
        <v>81</v>
      </c>
      <c r="G142" s="4" t="s">
        <v>23</v>
      </c>
      <c r="H142" s="4" t="s">
        <v>24</v>
      </c>
      <c r="I142" s="4">
        <v>4</v>
      </c>
      <c r="J142" s="6">
        <v>58.87</v>
      </c>
      <c r="K142" s="7">
        <v>0.05</v>
      </c>
      <c r="L142" s="6">
        <f t="shared" si="4"/>
        <v>223.70599999999999</v>
      </c>
      <c r="M142" s="6">
        <v>33.14</v>
      </c>
      <c r="N142" s="8">
        <f t="shared" si="5"/>
        <v>91.145999999999987</v>
      </c>
      <c r="O142" s="4" t="s">
        <v>60</v>
      </c>
      <c r="P142" s="4" t="s">
        <v>56</v>
      </c>
      <c r="Q142" s="4">
        <v>1</v>
      </c>
      <c r="R142" s="4" t="str">
        <f>TEXT(Table1[[#This Row],[Order Date]],"mmm")</f>
        <v>Feb</v>
      </c>
      <c r="S142" s="4" t="str">
        <f>TEXT(Table1[[#This Row],[Order Date]],"mm")</f>
        <v>02</v>
      </c>
      <c r="T142" s="4" t="str">
        <f>IF(Table1[[#This Row],[Sales]]&lt;0,"loss","profit")</f>
        <v>profit</v>
      </c>
      <c r="U142" s="4" t="str" cm="1">
        <f t="array" ref="U142">_xlfn.IFS(Table1[[#This Row],[Sales]]&gt;2000,"large",Table1[[#This Row],[Sales]]&gt;=500,"medium",Table1[[#This Row],[Sales]]&lt;500,"small")</f>
        <v>small</v>
      </c>
      <c r="V142" s="22">
        <f>Table1[[#This Row],[Profit]]/Table1[[#This Row],[Sales]]*100</f>
        <v>40.743654618114846</v>
      </c>
    </row>
    <row r="143" spans="1:22" x14ac:dyDescent="0.35">
      <c r="A143" s="4" t="s">
        <v>340</v>
      </c>
      <c r="B143" s="5">
        <v>45710</v>
      </c>
      <c r="C143" s="4" t="s">
        <v>341</v>
      </c>
      <c r="D143" s="4" t="s">
        <v>43</v>
      </c>
      <c r="E143" s="4" t="s">
        <v>87</v>
      </c>
      <c r="F143" s="4" t="s">
        <v>124</v>
      </c>
      <c r="G143" s="4" t="s">
        <v>67</v>
      </c>
      <c r="H143" s="4" t="s">
        <v>121</v>
      </c>
      <c r="I143" s="4">
        <v>1</v>
      </c>
      <c r="J143" s="6">
        <v>330.54</v>
      </c>
      <c r="K143" s="7">
        <v>0</v>
      </c>
      <c r="L143" s="6">
        <f t="shared" si="4"/>
        <v>330.54</v>
      </c>
      <c r="M143" s="6">
        <v>253.57</v>
      </c>
      <c r="N143" s="8">
        <f t="shared" si="5"/>
        <v>76.970000000000027</v>
      </c>
      <c r="O143" s="4" t="s">
        <v>40</v>
      </c>
      <c r="P143" s="4" t="s">
        <v>72</v>
      </c>
      <c r="Q143" s="4">
        <v>5</v>
      </c>
      <c r="R143" s="4" t="str">
        <f>TEXT(Table1[[#This Row],[Order Date]],"mmm")</f>
        <v>Feb</v>
      </c>
      <c r="S143" s="4" t="str">
        <f>TEXT(Table1[[#This Row],[Order Date]],"mm")</f>
        <v>02</v>
      </c>
      <c r="T143" s="4" t="str">
        <f>IF(Table1[[#This Row],[Sales]]&lt;0,"loss","profit")</f>
        <v>profit</v>
      </c>
      <c r="U143" s="4" t="str" cm="1">
        <f t="array" ref="U143">_xlfn.IFS(Table1[[#This Row],[Sales]]&gt;2000,"large",Table1[[#This Row],[Sales]]&gt;=500,"medium",Table1[[#This Row],[Sales]]&lt;500,"small")</f>
        <v>small</v>
      </c>
      <c r="V143" s="22">
        <f>Table1[[#This Row],[Profit]]/Table1[[#This Row],[Sales]]*100</f>
        <v>23.28613783505779</v>
      </c>
    </row>
    <row r="144" spans="1:22" x14ac:dyDescent="0.35">
      <c r="A144" s="4" t="s">
        <v>342</v>
      </c>
      <c r="B144" s="5">
        <v>45710</v>
      </c>
      <c r="C144" s="4" t="s">
        <v>130</v>
      </c>
      <c r="D144" s="4" t="s">
        <v>43</v>
      </c>
      <c r="E144" s="4" t="s">
        <v>21</v>
      </c>
      <c r="F144" s="4" t="s">
        <v>59</v>
      </c>
      <c r="G144" s="4" t="s">
        <v>23</v>
      </c>
      <c r="H144" s="4" t="s">
        <v>24</v>
      </c>
      <c r="I144" s="4">
        <v>3</v>
      </c>
      <c r="J144" s="6">
        <v>66.63</v>
      </c>
      <c r="K144" s="7">
        <v>0</v>
      </c>
      <c r="L144" s="6">
        <f t="shared" si="4"/>
        <v>199.89</v>
      </c>
      <c r="M144" s="6">
        <v>36.11</v>
      </c>
      <c r="N144" s="8">
        <f t="shared" si="5"/>
        <v>91.559999999999988</v>
      </c>
      <c r="O144" s="4" t="s">
        <v>40</v>
      </c>
      <c r="P144" s="4" t="s">
        <v>75</v>
      </c>
      <c r="Q144" s="4">
        <v>5</v>
      </c>
      <c r="R144" s="4" t="str">
        <f>TEXT(Table1[[#This Row],[Order Date]],"mmm")</f>
        <v>Feb</v>
      </c>
      <c r="S144" s="4" t="str">
        <f>TEXT(Table1[[#This Row],[Order Date]],"mm")</f>
        <v>02</v>
      </c>
      <c r="T144" s="4" t="str">
        <f>IF(Table1[[#This Row],[Sales]]&lt;0,"loss","profit")</f>
        <v>profit</v>
      </c>
      <c r="U144" s="4" t="str" cm="1">
        <f t="array" ref="U144">_xlfn.IFS(Table1[[#This Row],[Sales]]&gt;2000,"large",Table1[[#This Row],[Sales]]&gt;=500,"medium",Table1[[#This Row],[Sales]]&lt;500,"small")</f>
        <v>small</v>
      </c>
      <c r="V144" s="22">
        <f>Table1[[#This Row],[Profit]]/Table1[[#This Row],[Sales]]*100</f>
        <v>45.805192856070839</v>
      </c>
    </row>
    <row r="145" spans="1:22" x14ac:dyDescent="0.35">
      <c r="A145" s="4" t="s">
        <v>343</v>
      </c>
      <c r="B145" s="5">
        <v>45711</v>
      </c>
      <c r="C145" s="4" t="s">
        <v>344</v>
      </c>
      <c r="D145" s="4" t="s">
        <v>20</v>
      </c>
      <c r="E145" s="4" t="s">
        <v>87</v>
      </c>
      <c r="F145" s="4" t="s">
        <v>92</v>
      </c>
      <c r="G145" s="4" t="s">
        <v>38</v>
      </c>
      <c r="H145" s="4" t="s">
        <v>89</v>
      </c>
      <c r="I145" s="4">
        <v>2</v>
      </c>
      <c r="J145" s="6">
        <v>1083.01</v>
      </c>
      <c r="K145" s="7">
        <v>0.05</v>
      </c>
      <c r="L145" s="6">
        <f t="shared" si="4"/>
        <v>2057.7190000000001</v>
      </c>
      <c r="M145" s="6">
        <v>844.83</v>
      </c>
      <c r="N145" s="8">
        <f t="shared" si="5"/>
        <v>368.05899999999997</v>
      </c>
      <c r="O145" s="4" t="s">
        <v>40</v>
      </c>
      <c r="P145" s="4" t="s">
        <v>118</v>
      </c>
      <c r="Q145" s="4">
        <v>4</v>
      </c>
      <c r="R145" s="4" t="str">
        <f>TEXT(Table1[[#This Row],[Order Date]],"mmm")</f>
        <v>Feb</v>
      </c>
      <c r="S145" s="4" t="str">
        <f>TEXT(Table1[[#This Row],[Order Date]],"mm")</f>
        <v>02</v>
      </c>
      <c r="T145" s="4" t="str">
        <f>IF(Table1[[#This Row],[Sales]]&lt;0,"loss","profit")</f>
        <v>profit</v>
      </c>
      <c r="U145" s="4" t="str" cm="1">
        <f t="array" ref="U145">_xlfn.IFS(Table1[[#This Row],[Sales]]&gt;2000,"large",Table1[[#This Row],[Sales]]&gt;=500,"medium",Table1[[#This Row],[Sales]]&lt;500,"small")</f>
        <v>large</v>
      </c>
      <c r="V145" s="22">
        <f>Table1[[#This Row],[Profit]]/Table1[[#This Row],[Sales]]*100</f>
        <v>17.886747413033557</v>
      </c>
    </row>
    <row r="146" spans="1:22" x14ac:dyDescent="0.35">
      <c r="A146" s="4" t="s">
        <v>345</v>
      </c>
      <c r="B146" s="5">
        <v>45712</v>
      </c>
      <c r="C146" s="4" t="s">
        <v>346</v>
      </c>
      <c r="D146" s="4" t="s">
        <v>20</v>
      </c>
      <c r="E146" s="4" t="s">
        <v>87</v>
      </c>
      <c r="F146" s="4" t="s">
        <v>124</v>
      </c>
      <c r="G146" s="4" t="s">
        <v>23</v>
      </c>
      <c r="H146" s="4" t="s">
        <v>135</v>
      </c>
      <c r="I146" s="4">
        <v>4</v>
      </c>
      <c r="J146" s="6">
        <v>17.39</v>
      </c>
      <c r="K146" s="7">
        <v>0</v>
      </c>
      <c r="L146" s="6">
        <f t="shared" si="4"/>
        <v>69.56</v>
      </c>
      <c r="M146" s="6">
        <v>7.63</v>
      </c>
      <c r="N146" s="8">
        <f t="shared" si="5"/>
        <v>39.040000000000006</v>
      </c>
      <c r="O146" s="4" t="s">
        <v>60</v>
      </c>
      <c r="P146" s="4" t="s">
        <v>61</v>
      </c>
      <c r="Q146" s="4">
        <v>3</v>
      </c>
      <c r="R146" s="4" t="str">
        <f>TEXT(Table1[[#This Row],[Order Date]],"mmm")</f>
        <v>Feb</v>
      </c>
      <c r="S146" s="4" t="str">
        <f>TEXT(Table1[[#This Row],[Order Date]],"mm")</f>
        <v>02</v>
      </c>
      <c r="T146" s="4" t="str">
        <f>IF(Table1[[#This Row],[Sales]]&lt;0,"loss","profit")</f>
        <v>profit</v>
      </c>
      <c r="U146" s="4" t="str" cm="1">
        <f t="array" ref="U146">_xlfn.IFS(Table1[[#This Row],[Sales]]&gt;2000,"large",Table1[[#This Row],[Sales]]&gt;=500,"medium",Table1[[#This Row],[Sales]]&lt;500,"small")</f>
        <v>small</v>
      </c>
      <c r="V146" s="22">
        <f>Table1[[#This Row],[Profit]]/Table1[[#This Row],[Sales]]*100</f>
        <v>56.124209315698678</v>
      </c>
    </row>
    <row r="147" spans="1:22" x14ac:dyDescent="0.35">
      <c r="A147" s="4" t="s">
        <v>347</v>
      </c>
      <c r="B147" s="5">
        <v>45712</v>
      </c>
      <c r="C147" s="4" t="s">
        <v>348</v>
      </c>
      <c r="D147" s="4" t="s">
        <v>47</v>
      </c>
      <c r="E147" s="4" t="s">
        <v>29</v>
      </c>
      <c r="F147" s="4" t="s">
        <v>30</v>
      </c>
      <c r="G147" s="4" t="s">
        <v>38</v>
      </c>
      <c r="H147" s="4" t="s">
        <v>89</v>
      </c>
      <c r="I147" s="4">
        <v>3</v>
      </c>
      <c r="J147" s="6">
        <v>787.28</v>
      </c>
      <c r="K147" s="7">
        <v>0.05</v>
      </c>
      <c r="L147" s="6">
        <f t="shared" si="4"/>
        <v>2243.748</v>
      </c>
      <c r="M147" s="6">
        <v>626.66</v>
      </c>
      <c r="N147" s="8">
        <f t="shared" si="5"/>
        <v>363.76800000000003</v>
      </c>
      <c r="O147" s="4" t="s">
        <v>40</v>
      </c>
      <c r="P147" s="4" t="s">
        <v>61</v>
      </c>
      <c r="Q147" s="4">
        <v>4</v>
      </c>
      <c r="R147" s="4" t="str">
        <f>TEXT(Table1[[#This Row],[Order Date]],"mmm")</f>
        <v>Feb</v>
      </c>
      <c r="S147" s="4" t="str">
        <f>TEXT(Table1[[#This Row],[Order Date]],"mm")</f>
        <v>02</v>
      </c>
      <c r="T147" s="4" t="str">
        <f>IF(Table1[[#This Row],[Sales]]&lt;0,"loss","profit")</f>
        <v>profit</v>
      </c>
      <c r="U147" s="4" t="str" cm="1">
        <f t="array" ref="U147">_xlfn.IFS(Table1[[#This Row],[Sales]]&gt;2000,"large",Table1[[#This Row],[Sales]]&gt;=500,"medium",Table1[[#This Row],[Sales]]&lt;500,"small")</f>
        <v>large</v>
      </c>
      <c r="V147" s="22">
        <f>Table1[[#This Row],[Profit]]/Table1[[#This Row],[Sales]]*100</f>
        <v>16.212515844025265</v>
      </c>
    </row>
    <row r="148" spans="1:22" x14ac:dyDescent="0.35">
      <c r="A148" s="4" t="s">
        <v>349</v>
      </c>
      <c r="B148" s="5">
        <v>45712</v>
      </c>
      <c r="C148" s="4" t="s">
        <v>350</v>
      </c>
      <c r="D148" s="4" t="s">
        <v>43</v>
      </c>
      <c r="E148" s="4" t="s">
        <v>21</v>
      </c>
      <c r="F148" s="4" t="s">
        <v>81</v>
      </c>
      <c r="G148" s="4" t="s">
        <v>23</v>
      </c>
      <c r="H148" s="4" t="s">
        <v>24</v>
      </c>
      <c r="I148" s="4">
        <v>8</v>
      </c>
      <c r="J148" s="6">
        <v>37.159999999999997</v>
      </c>
      <c r="K148" s="7">
        <v>0.05</v>
      </c>
      <c r="L148" s="6">
        <f t="shared" si="4"/>
        <v>282.41599999999994</v>
      </c>
      <c r="M148" s="6">
        <v>16.329999999999998</v>
      </c>
      <c r="N148" s="8">
        <f t="shared" si="5"/>
        <v>151.77599999999995</v>
      </c>
      <c r="O148" s="4" t="s">
        <v>51</v>
      </c>
      <c r="P148" s="4" t="s">
        <v>26</v>
      </c>
      <c r="Q148" s="4">
        <v>4</v>
      </c>
      <c r="R148" s="4" t="str">
        <f>TEXT(Table1[[#This Row],[Order Date]],"mmm")</f>
        <v>Feb</v>
      </c>
      <c r="S148" s="4" t="str">
        <f>TEXT(Table1[[#This Row],[Order Date]],"mm")</f>
        <v>02</v>
      </c>
      <c r="T148" s="4" t="str">
        <f>IF(Table1[[#This Row],[Sales]]&lt;0,"loss","profit")</f>
        <v>profit</v>
      </c>
      <c r="U148" s="4" t="str" cm="1">
        <f t="array" ref="U148">_xlfn.IFS(Table1[[#This Row],[Sales]]&gt;2000,"large",Table1[[#This Row],[Sales]]&gt;=500,"medium",Table1[[#This Row],[Sales]]&lt;500,"small")</f>
        <v>small</v>
      </c>
      <c r="V148" s="22">
        <f>Table1[[#This Row],[Profit]]/Table1[[#This Row],[Sales]]*100</f>
        <v>53.741997620531414</v>
      </c>
    </row>
    <row r="149" spans="1:22" x14ac:dyDescent="0.35">
      <c r="A149" s="4" t="s">
        <v>351</v>
      </c>
      <c r="B149" s="5">
        <v>45712</v>
      </c>
      <c r="C149" s="4" t="s">
        <v>352</v>
      </c>
      <c r="D149" s="4" t="s">
        <v>43</v>
      </c>
      <c r="E149" s="4" t="s">
        <v>21</v>
      </c>
      <c r="F149" s="4" t="s">
        <v>22</v>
      </c>
      <c r="G149" s="4" t="s">
        <v>23</v>
      </c>
      <c r="H149" s="4" t="s">
        <v>44</v>
      </c>
      <c r="I149" s="4">
        <v>1</v>
      </c>
      <c r="J149" s="6">
        <v>98.64</v>
      </c>
      <c r="K149" s="7">
        <v>0</v>
      </c>
      <c r="L149" s="6">
        <f t="shared" si="4"/>
        <v>98.64</v>
      </c>
      <c r="M149" s="6">
        <v>62.08</v>
      </c>
      <c r="N149" s="8">
        <f t="shared" si="5"/>
        <v>36.56</v>
      </c>
      <c r="O149" s="4" t="s">
        <v>84</v>
      </c>
      <c r="P149" s="4" t="s">
        <v>26</v>
      </c>
      <c r="Q149" s="4">
        <v>4</v>
      </c>
      <c r="R149" s="4" t="str">
        <f>TEXT(Table1[[#This Row],[Order Date]],"mmm")</f>
        <v>Feb</v>
      </c>
      <c r="S149" s="4" t="str">
        <f>TEXT(Table1[[#This Row],[Order Date]],"mm")</f>
        <v>02</v>
      </c>
      <c r="T149" s="4" t="str">
        <f>IF(Table1[[#This Row],[Sales]]&lt;0,"loss","profit")</f>
        <v>profit</v>
      </c>
      <c r="U149" s="4" t="str" cm="1">
        <f t="array" ref="U149">_xlfn.IFS(Table1[[#This Row],[Sales]]&gt;2000,"large",Table1[[#This Row],[Sales]]&gt;=500,"medium",Table1[[#This Row],[Sales]]&lt;500,"small")</f>
        <v>small</v>
      </c>
      <c r="V149" s="22">
        <f>Table1[[#This Row],[Profit]]/Table1[[#This Row],[Sales]]*100</f>
        <v>37.064071370640718</v>
      </c>
    </row>
    <row r="150" spans="1:22" x14ac:dyDescent="0.35">
      <c r="A150" s="4" t="s">
        <v>353</v>
      </c>
      <c r="B150" s="5">
        <v>45713</v>
      </c>
      <c r="C150" s="4" t="s">
        <v>354</v>
      </c>
      <c r="D150" s="4" t="s">
        <v>20</v>
      </c>
      <c r="E150" s="4" t="s">
        <v>21</v>
      </c>
      <c r="F150" s="4" t="s">
        <v>81</v>
      </c>
      <c r="G150" s="4" t="s">
        <v>31</v>
      </c>
      <c r="H150" s="4" t="s">
        <v>32</v>
      </c>
      <c r="I150" s="4">
        <v>4</v>
      </c>
      <c r="J150" s="6">
        <v>251.41</v>
      </c>
      <c r="K150" s="7">
        <v>0.15</v>
      </c>
      <c r="L150" s="6">
        <f t="shared" si="4"/>
        <v>854.79399999999998</v>
      </c>
      <c r="M150" s="6">
        <v>182.87</v>
      </c>
      <c r="N150" s="8">
        <f t="shared" si="5"/>
        <v>123.31399999999996</v>
      </c>
      <c r="O150" s="4" t="s">
        <v>60</v>
      </c>
      <c r="P150" s="4" t="s">
        <v>26</v>
      </c>
      <c r="Q150" s="4">
        <v>4</v>
      </c>
      <c r="R150" s="4" t="str">
        <f>TEXT(Table1[[#This Row],[Order Date]],"mmm")</f>
        <v>Feb</v>
      </c>
      <c r="S150" s="4" t="str">
        <f>TEXT(Table1[[#This Row],[Order Date]],"mm")</f>
        <v>02</v>
      </c>
      <c r="T150" s="4" t="str">
        <f>IF(Table1[[#This Row],[Sales]]&lt;0,"loss","profit")</f>
        <v>profit</v>
      </c>
      <c r="U150" s="4" t="str" cm="1">
        <f t="array" ref="U150">_xlfn.IFS(Table1[[#This Row],[Sales]]&gt;2000,"large",Table1[[#This Row],[Sales]]&gt;=500,"medium",Table1[[#This Row],[Sales]]&lt;500,"small")</f>
        <v>medium</v>
      </c>
      <c r="V150" s="22">
        <f>Table1[[#This Row],[Profit]]/Table1[[#This Row],[Sales]]*100</f>
        <v>14.426165836447142</v>
      </c>
    </row>
    <row r="151" spans="1:22" x14ac:dyDescent="0.35">
      <c r="A151" s="4" t="s">
        <v>355</v>
      </c>
      <c r="B151" s="5">
        <v>45713</v>
      </c>
      <c r="C151" s="4" t="s">
        <v>344</v>
      </c>
      <c r="D151" s="4" t="s">
        <v>43</v>
      </c>
      <c r="E151" s="4" t="s">
        <v>87</v>
      </c>
      <c r="F151" s="4" t="s">
        <v>92</v>
      </c>
      <c r="G151" s="4" t="s">
        <v>49</v>
      </c>
      <c r="H151" s="4" t="s">
        <v>50</v>
      </c>
      <c r="I151" s="4">
        <v>5</v>
      </c>
      <c r="J151" s="6">
        <v>39.97</v>
      </c>
      <c r="K151" s="7">
        <v>0</v>
      </c>
      <c r="L151" s="6">
        <f t="shared" si="4"/>
        <v>199.85</v>
      </c>
      <c r="M151" s="6">
        <v>24.75</v>
      </c>
      <c r="N151" s="8">
        <f t="shared" si="5"/>
        <v>76.099999999999994</v>
      </c>
      <c r="O151" s="4" t="s">
        <v>60</v>
      </c>
      <c r="P151" s="4" t="s">
        <v>26</v>
      </c>
      <c r="Q151" s="4">
        <v>5</v>
      </c>
      <c r="R151" s="4" t="str">
        <f>TEXT(Table1[[#This Row],[Order Date]],"mmm")</f>
        <v>Feb</v>
      </c>
      <c r="S151" s="4" t="str">
        <f>TEXT(Table1[[#This Row],[Order Date]],"mm")</f>
        <v>02</v>
      </c>
      <c r="T151" s="4" t="str">
        <f>IF(Table1[[#This Row],[Sales]]&lt;0,"loss","profit")</f>
        <v>profit</v>
      </c>
      <c r="U151" s="4" t="str" cm="1">
        <f t="array" ref="U151">_xlfn.IFS(Table1[[#This Row],[Sales]]&gt;2000,"large",Table1[[#This Row],[Sales]]&gt;=500,"medium",Table1[[#This Row],[Sales]]&lt;500,"small")</f>
        <v>small</v>
      </c>
      <c r="V151" s="22">
        <f>Table1[[#This Row],[Profit]]/Table1[[#This Row],[Sales]]*100</f>
        <v>38.078558919189391</v>
      </c>
    </row>
    <row r="152" spans="1:22" x14ac:dyDescent="0.35">
      <c r="A152" s="4" t="s">
        <v>356</v>
      </c>
      <c r="B152" s="5">
        <v>45713</v>
      </c>
      <c r="C152" s="4" t="s">
        <v>357</v>
      </c>
      <c r="D152" s="4" t="s">
        <v>47</v>
      </c>
      <c r="E152" s="4" t="s">
        <v>36</v>
      </c>
      <c r="F152" s="4" t="s">
        <v>37</v>
      </c>
      <c r="G152" s="4" t="s">
        <v>38</v>
      </c>
      <c r="H152" s="4" t="s">
        <v>109</v>
      </c>
      <c r="I152" s="4">
        <v>3</v>
      </c>
      <c r="J152" s="6">
        <v>467.9</v>
      </c>
      <c r="K152" s="7">
        <v>0.05</v>
      </c>
      <c r="L152" s="6">
        <f t="shared" si="4"/>
        <v>1333.5149999999999</v>
      </c>
      <c r="M152" s="6">
        <v>369.34</v>
      </c>
      <c r="N152" s="8">
        <f t="shared" si="5"/>
        <v>225.49499999999989</v>
      </c>
      <c r="O152" s="4" t="s">
        <v>84</v>
      </c>
      <c r="P152" s="4" t="s">
        <v>72</v>
      </c>
      <c r="Q152" s="4">
        <v>5</v>
      </c>
      <c r="R152" s="4" t="str">
        <f>TEXT(Table1[[#This Row],[Order Date]],"mmm")</f>
        <v>Feb</v>
      </c>
      <c r="S152" s="4" t="str">
        <f>TEXT(Table1[[#This Row],[Order Date]],"mm")</f>
        <v>02</v>
      </c>
      <c r="T152" s="4" t="str">
        <f>IF(Table1[[#This Row],[Sales]]&lt;0,"loss","profit")</f>
        <v>profit</v>
      </c>
      <c r="U152" s="4" t="str" cm="1">
        <f t="array" ref="U152">_xlfn.IFS(Table1[[#This Row],[Sales]]&gt;2000,"large",Table1[[#This Row],[Sales]]&gt;=500,"medium",Table1[[#This Row],[Sales]]&lt;500,"small")</f>
        <v>medium</v>
      </c>
      <c r="V152" s="22">
        <f>Table1[[#This Row],[Profit]]/Table1[[#This Row],[Sales]]*100</f>
        <v>16.909821036883717</v>
      </c>
    </row>
    <row r="153" spans="1:22" x14ac:dyDescent="0.35">
      <c r="A153" s="4" t="s">
        <v>358</v>
      </c>
      <c r="B153" s="5">
        <v>45713</v>
      </c>
      <c r="C153" s="4" t="s">
        <v>46</v>
      </c>
      <c r="D153" s="4" t="s">
        <v>20</v>
      </c>
      <c r="E153" s="4" t="s">
        <v>36</v>
      </c>
      <c r="F153" s="4" t="s">
        <v>201</v>
      </c>
      <c r="G153" s="4" t="s">
        <v>23</v>
      </c>
      <c r="H153" s="4" t="s">
        <v>71</v>
      </c>
      <c r="I153" s="4">
        <v>3</v>
      </c>
      <c r="J153" s="6">
        <v>149.44999999999999</v>
      </c>
      <c r="K153" s="7">
        <v>0.2</v>
      </c>
      <c r="L153" s="6">
        <f t="shared" si="4"/>
        <v>358.68</v>
      </c>
      <c r="M153" s="6">
        <v>90.85</v>
      </c>
      <c r="N153" s="8">
        <f t="shared" si="5"/>
        <v>86.130000000000052</v>
      </c>
      <c r="O153" s="4" t="s">
        <v>60</v>
      </c>
      <c r="P153" s="4" t="s">
        <v>61</v>
      </c>
      <c r="Q153" s="4">
        <v>5</v>
      </c>
      <c r="R153" s="4" t="str">
        <f>TEXT(Table1[[#This Row],[Order Date]],"mmm")</f>
        <v>Feb</v>
      </c>
      <c r="S153" s="4" t="str">
        <f>TEXT(Table1[[#This Row],[Order Date]],"mm")</f>
        <v>02</v>
      </c>
      <c r="T153" s="4" t="str">
        <f>IF(Table1[[#This Row],[Sales]]&lt;0,"loss","profit")</f>
        <v>profit</v>
      </c>
      <c r="U153" s="4" t="str" cm="1">
        <f t="array" ref="U153">_xlfn.IFS(Table1[[#This Row],[Sales]]&gt;2000,"large",Table1[[#This Row],[Sales]]&gt;=500,"medium",Table1[[#This Row],[Sales]]&lt;500,"small")</f>
        <v>small</v>
      </c>
      <c r="V153" s="22">
        <f>Table1[[#This Row],[Profit]]/Table1[[#This Row],[Sales]]*100</f>
        <v>24.013047842087669</v>
      </c>
    </row>
    <row r="154" spans="1:22" x14ac:dyDescent="0.35">
      <c r="A154" s="4" t="s">
        <v>359</v>
      </c>
      <c r="B154" s="5">
        <v>45714</v>
      </c>
      <c r="C154" s="4" t="s">
        <v>134</v>
      </c>
      <c r="D154" s="4" t="s">
        <v>43</v>
      </c>
      <c r="E154" s="4" t="s">
        <v>87</v>
      </c>
      <c r="F154" s="4" t="s">
        <v>124</v>
      </c>
      <c r="G154" s="4" t="s">
        <v>31</v>
      </c>
      <c r="H154" s="4" t="s">
        <v>147</v>
      </c>
      <c r="I154" s="4">
        <v>5</v>
      </c>
      <c r="J154" s="6">
        <v>119.29</v>
      </c>
      <c r="K154" s="7">
        <v>0</v>
      </c>
      <c r="L154" s="6">
        <f t="shared" si="4"/>
        <v>596.45000000000005</v>
      </c>
      <c r="M154" s="6">
        <v>68.78</v>
      </c>
      <c r="N154" s="8">
        <f t="shared" si="5"/>
        <v>252.55000000000007</v>
      </c>
      <c r="O154" s="4" t="s">
        <v>84</v>
      </c>
      <c r="P154" s="4" t="s">
        <v>97</v>
      </c>
      <c r="Q154" s="4">
        <v>4</v>
      </c>
      <c r="R154" s="4" t="str">
        <f>TEXT(Table1[[#This Row],[Order Date]],"mmm")</f>
        <v>Feb</v>
      </c>
      <c r="S154" s="4" t="str">
        <f>TEXT(Table1[[#This Row],[Order Date]],"mm")</f>
        <v>02</v>
      </c>
      <c r="T154" s="4" t="str">
        <f>IF(Table1[[#This Row],[Sales]]&lt;0,"loss","profit")</f>
        <v>profit</v>
      </c>
      <c r="U154" s="4" t="str" cm="1">
        <f t="array" ref="U154">_xlfn.IFS(Table1[[#This Row],[Sales]]&gt;2000,"large",Table1[[#This Row],[Sales]]&gt;=500,"medium",Table1[[#This Row],[Sales]]&lt;500,"small")</f>
        <v>medium</v>
      </c>
      <c r="V154" s="22">
        <f>Table1[[#This Row],[Profit]]/Table1[[#This Row],[Sales]]*100</f>
        <v>42.342191298516227</v>
      </c>
    </row>
    <row r="155" spans="1:22" x14ac:dyDescent="0.35">
      <c r="A155" s="4" t="s">
        <v>360</v>
      </c>
      <c r="B155" s="5">
        <v>45715</v>
      </c>
      <c r="C155" s="4" t="s">
        <v>361</v>
      </c>
      <c r="D155" s="4" t="s">
        <v>20</v>
      </c>
      <c r="E155" s="4" t="s">
        <v>21</v>
      </c>
      <c r="F155" s="4" t="s">
        <v>59</v>
      </c>
      <c r="G155" s="4" t="s">
        <v>23</v>
      </c>
      <c r="H155" s="4" t="s">
        <v>71</v>
      </c>
      <c r="I155" s="4">
        <v>4</v>
      </c>
      <c r="J155" s="6">
        <v>154.87</v>
      </c>
      <c r="K155" s="7">
        <v>0.1</v>
      </c>
      <c r="L155" s="6">
        <f t="shared" si="4"/>
        <v>557.53200000000004</v>
      </c>
      <c r="M155" s="6">
        <v>86.14</v>
      </c>
      <c r="N155" s="8">
        <f t="shared" si="5"/>
        <v>212.97200000000004</v>
      </c>
      <c r="O155" s="4" t="s">
        <v>25</v>
      </c>
      <c r="P155" s="4" t="s">
        <v>118</v>
      </c>
      <c r="Q155" s="4">
        <v>4</v>
      </c>
      <c r="R155" s="4" t="str">
        <f>TEXT(Table1[[#This Row],[Order Date]],"mmm")</f>
        <v>Feb</v>
      </c>
      <c r="S155" s="4" t="str">
        <f>TEXT(Table1[[#This Row],[Order Date]],"mm")</f>
        <v>02</v>
      </c>
      <c r="T155" s="4" t="str">
        <f>IF(Table1[[#This Row],[Sales]]&lt;0,"loss","profit")</f>
        <v>profit</v>
      </c>
      <c r="U155" s="4" t="str" cm="1">
        <f t="array" ref="U155">_xlfn.IFS(Table1[[#This Row],[Sales]]&gt;2000,"large",Table1[[#This Row],[Sales]]&gt;=500,"medium",Table1[[#This Row],[Sales]]&lt;500,"small")</f>
        <v>medium</v>
      </c>
      <c r="V155" s="22">
        <f>Table1[[#This Row],[Profit]]/Table1[[#This Row],[Sales]]*100</f>
        <v>38.199063013423448</v>
      </c>
    </row>
    <row r="156" spans="1:22" x14ac:dyDescent="0.35">
      <c r="A156" s="4" t="s">
        <v>362</v>
      </c>
      <c r="B156" s="5">
        <v>45715</v>
      </c>
      <c r="C156" s="4" t="s">
        <v>363</v>
      </c>
      <c r="D156" s="4" t="s">
        <v>43</v>
      </c>
      <c r="E156" s="4" t="s">
        <v>21</v>
      </c>
      <c r="F156" s="4" t="s">
        <v>59</v>
      </c>
      <c r="G156" s="4" t="s">
        <v>23</v>
      </c>
      <c r="H156" s="4" t="s">
        <v>135</v>
      </c>
      <c r="I156" s="4">
        <v>10</v>
      </c>
      <c r="J156" s="6">
        <v>31.46</v>
      </c>
      <c r="K156" s="7">
        <v>0.1</v>
      </c>
      <c r="L156" s="6">
        <f t="shared" si="4"/>
        <v>283.14000000000004</v>
      </c>
      <c r="M156" s="6">
        <v>13.79</v>
      </c>
      <c r="N156" s="8">
        <f t="shared" si="5"/>
        <v>145.24000000000007</v>
      </c>
      <c r="O156" s="4" t="s">
        <v>60</v>
      </c>
      <c r="P156" s="4" t="s">
        <v>97</v>
      </c>
      <c r="Q156" s="4">
        <v>3</v>
      </c>
      <c r="R156" s="4" t="str">
        <f>TEXT(Table1[[#This Row],[Order Date]],"mmm")</f>
        <v>Feb</v>
      </c>
      <c r="S156" s="4" t="str">
        <f>TEXT(Table1[[#This Row],[Order Date]],"mm")</f>
        <v>02</v>
      </c>
      <c r="T156" s="4" t="str">
        <f>IF(Table1[[#This Row],[Sales]]&lt;0,"loss","profit")</f>
        <v>profit</v>
      </c>
      <c r="U156" s="4" t="str" cm="1">
        <f t="array" ref="U156">_xlfn.IFS(Table1[[#This Row],[Sales]]&gt;2000,"large",Table1[[#This Row],[Sales]]&gt;=500,"medium",Table1[[#This Row],[Sales]]&lt;500,"small")</f>
        <v>small</v>
      </c>
      <c r="V156" s="22">
        <f>Table1[[#This Row],[Profit]]/Table1[[#This Row],[Sales]]*100</f>
        <v>51.296178568905859</v>
      </c>
    </row>
    <row r="157" spans="1:22" x14ac:dyDescent="0.35">
      <c r="A157" s="4" t="s">
        <v>364</v>
      </c>
      <c r="B157" s="5">
        <v>45715</v>
      </c>
      <c r="C157" s="4" t="s">
        <v>365</v>
      </c>
      <c r="D157" s="4" t="s">
        <v>43</v>
      </c>
      <c r="E157" s="4" t="s">
        <v>36</v>
      </c>
      <c r="F157" s="4" t="s">
        <v>201</v>
      </c>
      <c r="G157" s="4" t="s">
        <v>23</v>
      </c>
      <c r="H157" s="4" t="s">
        <v>24</v>
      </c>
      <c r="I157" s="4">
        <v>2</v>
      </c>
      <c r="J157" s="6">
        <v>57.16</v>
      </c>
      <c r="K157" s="7">
        <v>0</v>
      </c>
      <c r="L157" s="6">
        <f t="shared" si="4"/>
        <v>114.32</v>
      </c>
      <c r="M157" s="6">
        <v>32.54</v>
      </c>
      <c r="N157" s="8">
        <f t="shared" si="5"/>
        <v>49.239999999999995</v>
      </c>
      <c r="O157" s="4" t="s">
        <v>60</v>
      </c>
      <c r="P157" s="4" t="s">
        <v>75</v>
      </c>
      <c r="Q157" s="4">
        <v>2</v>
      </c>
      <c r="R157" s="4" t="str">
        <f>TEXT(Table1[[#This Row],[Order Date]],"mmm")</f>
        <v>Feb</v>
      </c>
      <c r="S157" s="4" t="str">
        <f>TEXT(Table1[[#This Row],[Order Date]],"mm")</f>
        <v>02</v>
      </c>
      <c r="T157" s="4" t="str">
        <f>IF(Table1[[#This Row],[Sales]]&lt;0,"loss","profit")</f>
        <v>profit</v>
      </c>
      <c r="U157" s="4" t="str" cm="1">
        <f t="array" ref="U157">_xlfn.IFS(Table1[[#This Row],[Sales]]&gt;2000,"large",Table1[[#This Row],[Sales]]&gt;=500,"medium",Table1[[#This Row],[Sales]]&lt;500,"small")</f>
        <v>small</v>
      </c>
      <c r="V157" s="22">
        <f>Table1[[#This Row],[Profit]]/Table1[[#This Row],[Sales]]*100</f>
        <v>43.072078376487049</v>
      </c>
    </row>
    <row r="158" spans="1:22" x14ac:dyDescent="0.35">
      <c r="A158" s="4" t="s">
        <v>366</v>
      </c>
      <c r="B158" s="5">
        <v>45715</v>
      </c>
      <c r="C158" s="4" t="s">
        <v>367</v>
      </c>
      <c r="D158" s="4" t="s">
        <v>47</v>
      </c>
      <c r="E158" s="4" t="s">
        <v>87</v>
      </c>
      <c r="F158" s="4" t="s">
        <v>92</v>
      </c>
      <c r="G158" s="4" t="s">
        <v>31</v>
      </c>
      <c r="H158" s="4" t="s">
        <v>32</v>
      </c>
      <c r="I158" s="4">
        <v>2</v>
      </c>
      <c r="J158" s="6">
        <v>75.37</v>
      </c>
      <c r="K158" s="7">
        <v>0.2</v>
      </c>
      <c r="L158" s="6">
        <f t="shared" si="4"/>
        <v>120.59200000000001</v>
      </c>
      <c r="M158" s="6">
        <v>42.52</v>
      </c>
      <c r="N158" s="8">
        <f t="shared" si="5"/>
        <v>35.552000000000007</v>
      </c>
      <c r="O158" s="4" t="s">
        <v>84</v>
      </c>
      <c r="P158" s="4" t="s">
        <v>33</v>
      </c>
      <c r="Q158" s="4">
        <v>3</v>
      </c>
      <c r="R158" s="4" t="str">
        <f>TEXT(Table1[[#This Row],[Order Date]],"mmm")</f>
        <v>Feb</v>
      </c>
      <c r="S158" s="4" t="str">
        <f>TEXT(Table1[[#This Row],[Order Date]],"mm")</f>
        <v>02</v>
      </c>
      <c r="T158" s="4" t="str">
        <f>IF(Table1[[#This Row],[Sales]]&lt;0,"loss","profit")</f>
        <v>profit</v>
      </c>
      <c r="U158" s="4" t="str" cm="1">
        <f t="array" ref="U158">_xlfn.IFS(Table1[[#This Row],[Sales]]&gt;2000,"large",Table1[[#This Row],[Sales]]&gt;=500,"medium",Table1[[#This Row],[Sales]]&lt;500,"small")</f>
        <v>small</v>
      </c>
      <c r="V158" s="22">
        <f>Table1[[#This Row],[Profit]]/Table1[[#This Row],[Sales]]*100</f>
        <v>29.481225951970281</v>
      </c>
    </row>
    <row r="159" spans="1:22" x14ac:dyDescent="0.35">
      <c r="A159" s="4" t="s">
        <v>368</v>
      </c>
      <c r="B159" s="5">
        <v>45716</v>
      </c>
      <c r="C159" s="4" t="s">
        <v>369</v>
      </c>
      <c r="D159" s="4" t="s">
        <v>43</v>
      </c>
      <c r="E159" s="4" t="s">
        <v>21</v>
      </c>
      <c r="F159" s="4" t="s">
        <v>81</v>
      </c>
      <c r="G159" s="4" t="s">
        <v>49</v>
      </c>
      <c r="H159" s="4" t="s">
        <v>78</v>
      </c>
      <c r="I159" s="4">
        <v>3</v>
      </c>
      <c r="J159" s="6">
        <v>210.67</v>
      </c>
      <c r="K159" s="7">
        <v>0.1</v>
      </c>
      <c r="L159" s="6">
        <f t="shared" si="4"/>
        <v>568.80899999999997</v>
      </c>
      <c r="M159" s="6">
        <v>142.82</v>
      </c>
      <c r="N159" s="8">
        <f t="shared" si="5"/>
        <v>140.34899999999999</v>
      </c>
      <c r="O159" s="4" t="s">
        <v>25</v>
      </c>
      <c r="P159" s="4" t="s">
        <v>72</v>
      </c>
      <c r="Q159" s="4">
        <v>4</v>
      </c>
      <c r="R159" s="4" t="str">
        <f>TEXT(Table1[[#This Row],[Order Date]],"mmm")</f>
        <v>Feb</v>
      </c>
      <c r="S159" s="4" t="str">
        <f>TEXT(Table1[[#This Row],[Order Date]],"mm")</f>
        <v>02</v>
      </c>
      <c r="T159" s="4" t="str">
        <f>IF(Table1[[#This Row],[Sales]]&lt;0,"loss","profit")</f>
        <v>profit</v>
      </c>
      <c r="U159" s="4" t="str" cm="1">
        <f t="array" ref="U159">_xlfn.IFS(Table1[[#This Row],[Sales]]&gt;2000,"large",Table1[[#This Row],[Sales]]&gt;=500,"medium",Table1[[#This Row],[Sales]]&lt;500,"small")</f>
        <v>medium</v>
      </c>
      <c r="V159" s="22">
        <f>Table1[[#This Row],[Profit]]/Table1[[#This Row],[Sales]]*100</f>
        <v>24.674187644710262</v>
      </c>
    </row>
    <row r="160" spans="1:22" x14ac:dyDescent="0.35">
      <c r="A160" s="4" t="s">
        <v>370</v>
      </c>
      <c r="B160" s="5">
        <v>45716</v>
      </c>
      <c r="C160" s="4" t="s">
        <v>371</v>
      </c>
      <c r="D160" s="4" t="s">
        <v>47</v>
      </c>
      <c r="E160" s="4" t="s">
        <v>87</v>
      </c>
      <c r="F160" s="4" t="s">
        <v>124</v>
      </c>
      <c r="G160" s="4" t="s">
        <v>38</v>
      </c>
      <c r="H160" s="4" t="s">
        <v>89</v>
      </c>
      <c r="I160" s="4">
        <v>1</v>
      </c>
      <c r="J160" s="6">
        <v>650.80999999999995</v>
      </c>
      <c r="K160" s="7">
        <v>0.1</v>
      </c>
      <c r="L160" s="6">
        <f t="shared" si="4"/>
        <v>585.72899999999993</v>
      </c>
      <c r="M160" s="6">
        <v>539.17999999999995</v>
      </c>
      <c r="N160" s="8">
        <f t="shared" si="5"/>
        <v>46.548999999999978</v>
      </c>
      <c r="O160" s="4" t="s">
        <v>25</v>
      </c>
      <c r="P160" s="4" t="s">
        <v>56</v>
      </c>
      <c r="Q160" s="4">
        <v>5</v>
      </c>
      <c r="R160" s="4" t="str">
        <f>TEXT(Table1[[#This Row],[Order Date]],"mmm")</f>
        <v>Feb</v>
      </c>
      <c r="S160" s="4" t="str">
        <f>TEXT(Table1[[#This Row],[Order Date]],"mm")</f>
        <v>02</v>
      </c>
      <c r="T160" s="4" t="str">
        <f>IF(Table1[[#This Row],[Sales]]&lt;0,"loss","profit")</f>
        <v>profit</v>
      </c>
      <c r="U160" s="4" t="str" cm="1">
        <f t="array" ref="U160">_xlfn.IFS(Table1[[#This Row],[Sales]]&gt;2000,"large",Table1[[#This Row],[Sales]]&gt;=500,"medium",Table1[[#This Row],[Sales]]&lt;500,"small")</f>
        <v>medium</v>
      </c>
      <c r="V160" s="22">
        <f>Table1[[#This Row],[Profit]]/Table1[[#This Row],[Sales]]*100</f>
        <v>7.9471905949679771</v>
      </c>
    </row>
    <row r="161" spans="1:22" x14ac:dyDescent="0.35">
      <c r="A161" s="4" t="s">
        <v>372</v>
      </c>
      <c r="B161" s="5">
        <v>45716</v>
      </c>
      <c r="C161" s="4" t="s">
        <v>373</v>
      </c>
      <c r="D161" s="4" t="s">
        <v>43</v>
      </c>
      <c r="E161" s="4" t="s">
        <v>21</v>
      </c>
      <c r="F161" s="4" t="s">
        <v>59</v>
      </c>
      <c r="G161" s="4" t="s">
        <v>23</v>
      </c>
      <c r="H161" s="4" t="s">
        <v>24</v>
      </c>
      <c r="I161" s="4">
        <v>5</v>
      </c>
      <c r="J161" s="6">
        <v>56.05</v>
      </c>
      <c r="K161" s="7">
        <v>0</v>
      </c>
      <c r="L161" s="6">
        <f t="shared" si="4"/>
        <v>280.25</v>
      </c>
      <c r="M161" s="6">
        <v>33.22</v>
      </c>
      <c r="N161" s="8">
        <f t="shared" si="5"/>
        <v>114.15</v>
      </c>
      <c r="O161" s="4" t="s">
        <v>84</v>
      </c>
      <c r="P161" s="4" t="s">
        <v>97</v>
      </c>
      <c r="Q161" s="4">
        <v>5</v>
      </c>
      <c r="R161" s="4" t="str">
        <f>TEXT(Table1[[#This Row],[Order Date]],"mmm")</f>
        <v>Feb</v>
      </c>
      <c r="S161" s="4" t="str">
        <f>TEXT(Table1[[#This Row],[Order Date]],"mm")</f>
        <v>02</v>
      </c>
      <c r="T161" s="4" t="str">
        <f>IF(Table1[[#This Row],[Sales]]&lt;0,"loss","profit")</f>
        <v>profit</v>
      </c>
      <c r="U161" s="4" t="str" cm="1">
        <f t="array" ref="U161">_xlfn.IFS(Table1[[#This Row],[Sales]]&gt;2000,"large",Table1[[#This Row],[Sales]]&gt;=500,"medium",Table1[[#This Row],[Sales]]&lt;500,"small")</f>
        <v>small</v>
      </c>
      <c r="V161" s="22">
        <f>Table1[[#This Row],[Profit]]/Table1[[#This Row],[Sales]]*100</f>
        <v>40.731489741302411</v>
      </c>
    </row>
    <row r="162" spans="1:22" x14ac:dyDescent="0.35">
      <c r="A162" s="4" t="s">
        <v>374</v>
      </c>
      <c r="B162" s="5">
        <v>45716</v>
      </c>
      <c r="C162" s="4" t="s">
        <v>375</v>
      </c>
      <c r="D162" s="4" t="s">
        <v>43</v>
      </c>
      <c r="E162" s="4" t="s">
        <v>21</v>
      </c>
      <c r="F162" s="4" t="s">
        <v>59</v>
      </c>
      <c r="G162" s="4" t="s">
        <v>31</v>
      </c>
      <c r="H162" s="4" t="s">
        <v>125</v>
      </c>
      <c r="I162" s="4">
        <v>3</v>
      </c>
      <c r="J162" s="6">
        <v>139.07</v>
      </c>
      <c r="K162" s="7">
        <v>0.1</v>
      </c>
      <c r="L162" s="6">
        <f t="shared" si="4"/>
        <v>375.48899999999998</v>
      </c>
      <c r="M162" s="6">
        <v>85.47</v>
      </c>
      <c r="N162" s="8">
        <f t="shared" si="5"/>
        <v>119.07900000000001</v>
      </c>
      <c r="O162" s="4" t="s">
        <v>25</v>
      </c>
      <c r="P162" s="4" t="s">
        <v>72</v>
      </c>
      <c r="Q162" s="4">
        <v>4</v>
      </c>
      <c r="R162" s="4" t="str">
        <f>TEXT(Table1[[#This Row],[Order Date]],"mmm")</f>
        <v>Feb</v>
      </c>
      <c r="S162" s="4" t="str">
        <f>TEXT(Table1[[#This Row],[Order Date]],"mm")</f>
        <v>02</v>
      </c>
      <c r="T162" s="4" t="str">
        <f>IF(Table1[[#This Row],[Sales]]&lt;0,"loss","profit")</f>
        <v>profit</v>
      </c>
      <c r="U162" s="4" t="str" cm="1">
        <f t="array" ref="U162">_xlfn.IFS(Table1[[#This Row],[Sales]]&gt;2000,"large",Table1[[#This Row],[Sales]]&gt;=500,"medium",Table1[[#This Row],[Sales]]&lt;500,"small")</f>
        <v>small</v>
      </c>
      <c r="V162" s="22">
        <f>Table1[[#This Row],[Profit]]/Table1[[#This Row],[Sales]]*100</f>
        <v>31.713046187771148</v>
      </c>
    </row>
    <row r="163" spans="1:22" x14ac:dyDescent="0.35">
      <c r="A163" s="4" t="s">
        <v>376</v>
      </c>
      <c r="B163" s="5">
        <v>45716</v>
      </c>
      <c r="C163" s="4" t="s">
        <v>377</v>
      </c>
      <c r="D163" s="4" t="s">
        <v>20</v>
      </c>
      <c r="E163" s="4" t="s">
        <v>87</v>
      </c>
      <c r="F163" s="4" t="s">
        <v>88</v>
      </c>
      <c r="G163" s="4" t="s">
        <v>38</v>
      </c>
      <c r="H163" s="4" t="s">
        <v>96</v>
      </c>
      <c r="I163" s="4">
        <v>6</v>
      </c>
      <c r="J163" s="6">
        <v>488.84</v>
      </c>
      <c r="K163" s="7">
        <v>0</v>
      </c>
      <c r="L163" s="6">
        <f t="shared" si="4"/>
        <v>2933.04</v>
      </c>
      <c r="M163" s="6">
        <v>407.52</v>
      </c>
      <c r="N163" s="8">
        <f t="shared" si="5"/>
        <v>487.92000000000007</v>
      </c>
      <c r="O163" s="4" t="s">
        <v>40</v>
      </c>
      <c r="P163" s="4" t="s">
        <v>118</v>
      </c>
      <c r="Q163" s="4">
        <v>5</v>
      </c>
      <c r="R163" s="4" t="str">
        <f>TEXT(Table1[[#This Row],[Order Date]],"mmm")</f>
        <v>Feb</v>
      </c>
      <c r="S163" s="4" t="str">
        <f>TEXT(Table1[[#This Row],[Order Date]],"mm")</f>
        <v>02</v>
      </c>
      <c r="T163" s="4" t="str">
        <f>IF(Table1[[#This Row],[Sales]]&lt;0,"loss","profit")</f>
        <v>profit</v>
      </c>
      <c r="U163" s="4" t="str" cm="1">
        <f t="array" ref="U163">_xlfn.IFS(Table1[[#This Row],[Sales]]&gt;2000,"large",Table1[[#This Row],[Sales]]&gt;=500,"medium",Table1[[#This Row],[Sales]]&lt;500,"small")</f>
        <v>large</v>
      </c>
      <c r="V163" s="22">
        <f>Table1[[#This Row],[Profit]]/Table1[[#This Row],[Sales]]*100</f>
        <v>16.635299893625728</v>
      </c>
    </row>
    <row r="164" spans="1:22" x14ac:dyDescent="0.35">
      <c r="A164" s="4" t="s">
        <v>378</v>
      </c>
      <c r="B164" s="5">
        <v>45717</v>
      </c>
      <c r="C164" s="4" t="s">
        <v>379</v>
      </c>
      <c r="D164" s="4" t="s">
        <v>20</v>
      </c>
      <c r="E164" s="4" t="s">
        <v>87</v>
      </c>
      <c r="F164" s="4" t="s">
        <v>124</v>
      </c>
      <c r="G164" s="4" t="s">
        <v>67</v>
      </c>
      <c r="H164" s="4" t="s">
        <v>93</v>
      </c>
      <c r="I164" s="4">
        <v>3</v>
      </c>
      <c r="J164" s="6">
        <v>238.94</v>
      </c>
      <c r="K164" s="7">
        <v>0.1</v>
      </c>
      <c r="L164" s="6">
        <f t="shared" si="4"/>
        <v>645.13799999999992</v>
      </c>
      <c r="M164" s="6">
        <v>160.35</v>
      </c>
      <c r="N164" s="8">
        <f t="shared" si="5"/>
        <v>164.08799999999997</v>
      </c>
      <c r="O164" s="4" t="s">
        <v>60</v>
      </c>
      <c r="P164" s="4" t="s">
        <v>33</v>
      </c>
      <c r="Q164" s="4">
        <v>3</v>
      </c>
      <c r="R164" s="4" t="str">
        <f>TEXT(Table1[[#This Row],[Order Date]],"mmm")</f>
        <v>Mar</v>
      </c>
      <c r="S164" s="4" t="str">
        <f>TEXT(Table1[[#This Row],[Order Date]],"mm")</f>
        <v>03</v>
      </c>
      <c r="T164" s="4" t="str">
        <f>IF(Table1[[#This Row],[Sales]]&lt;0,"loss","profit")</f>
        <v>profit</v>
      </c>
      <c r="U164" s="4" t="str" cm="1">
        <f t="array" ref="U164">_xlfn.IFS(Table1[[#This Row],[Sales]]&gt;2000,"large",Table1[[#This Row],[Sales]]&gt;=500,"medium",Table1[[#This Row],[Sales]]&lt;500,"small")</f>
        <v>medium</v>
      </c>
      <c r="V164" s="22">
        <f>Table1[[#This Row],[Profit]]/Table1[[#This Row],[Sales]]*100</f>
        <v>25.434558187550572</v>
      </c>
    </row>
    <row r="165" spans="1:22" x14ac:dyDescent="0.35">
      <c r="A165" s="4" t="s">
        <v>380</v>
      </c>
      <c r="B165" s="5">
        <v>45717</v>
      </c>
      <c r="C165" s="4" t="s">
        <v>233</v>
      </c>
      <c r="D165" s="4" t="s">
        <v>20</v>
      </c>
      <c r="E165" s="4" t="s">
        <v>21</v>
      </c>
      <c r="F165" s="4" t="s">
        <v>22</v>
      </c>
      <c r="G165" s="4" t="s">
        <v>23</v>
      </c>
      <c r="H165" s="4" t="s">
        <v>24</v>
      </c>
      <c r="I165" s="4">
        <v>2</v>
      </c>
      <c r="J165" s="6">
        <v>73.61</v>
      </c>
      <c r="K165" s="7">
        <v>0</v>
      </c>
      <c r="L165" s="6">
        <f t="shared" si="4"/>
        <v>147.22</v>
      </c>
      <c r="M165" s="6">
        <v>42.41</v>
      </c>
      <c r="N165" s="8">
        <f t="shared" si="5"/>
        <v>62.400000000000006</v>
      </c>
      <c r="O165" s="4" t="s">
        <v>51</v>
      </c>
      <c r="P165" s="4" t="s">
        <v>56</v>
      </c>
      <c r="Q165" s="4">
        <v>4</v>
      </c>
      <c r="R165" s="4" t="str">
        <f>TEXT(Table1[[#This Row],[Order Date]],"mmm")</f>
        <v>Mar</v>
      </c>
      <c r="S165" s="4" t="str">
        <f>TEXT(Table1[[#This Row],[Order Date]],"mm")</f>
        <v>03</v>
      </c>
      <c r="T165" s="4" t="str">
        <f>IF(Table1[[#This Row],[Sales]]&lt;0,"loss","profit")</f>
        <v>profit</v>
      </c>
      <c r="U165" s="4" t="str" cm="1">
        <f t="array" ref="U165">_xlfn.IFS(Table1[[#This Row],[Sales]]&gt;2000,"large",Table1[[#This Row],[Sales]]&gt;=500,"medium",Table1[[#This Row],[Sales]]&lt;500,"small")</f>
        <v>small</v>
      </c>
      <c r="V165" s="22">
        <f>Table1[[#This Row],[Profit]]/Table1[[#This Row],[Sales]]*100</f>
        <v>42.385545442195358</v>
      </c>
    </row>
    <row r="166" spans="1:22" x14ac:dyDescent="0.35">
      <c r="A166" s="4" t="s">
        <v>381</v>
      </c>
      <c r="B166" s="5">
        <v>45717</v>
      </c>
      <c r="C166" s="4" t="s">
        <v>382</v>
      </c>
      <c r="D166" s="4" t="s">
        <v>47</v>
      </c>
      <c r="E166" s="4" t="s">
        <v>29</v>
      </c>
      <c r="F166" s="4" t="s">
        <v>30</v>
      </c>
      <c r="G166" s="4" t="s">
        <v>49</v>
      </c>
      <c r="H166" s="4" t="s">
        <v>78</v>
      </c>
      <c r="I166" s="4">
        <v>2</v>
      </c>
      <c r="J166" s="6">
        <v>757.05</v>
      </c>
      <c r="K166" s="7">
        <v>0</v>
      </c>
      <c r="L166" s="6">
        <f t="shared" si="4"/>
        <v>1514.1</v>
      </c>
      <c r="M166" s="6">
        <v>547.79999999999995</v>
      </c>
      <c r="N166" s="8">
        <f t="shared" si="5"/>
        <v>418.5</v>
      </c>
      <c r="O166" s="4" t="s">
        <v>60</v>
      </c>
      <c r="P166" s="4" t="s">
        <v>56</v>
      </c>
      <c r="Q166" s="4">
        <v>1</v>
      </c>
      <c r="R166" s="4" t="str">
        <f>TEXT(Table1[[#This Row],[Order Date]],"mmm")</f>
        <v>Mar</v>
      </c>
      <c r="S166" s="4" t="str">
        <f>TEXT(Table1[[#This Row],[Order Date]],"mm")</f>
        <v>03</v>
      </c>
      <c r="T166" s="4" t="str">
        <f>IF(Table1[[#This Row],[Sales]]&lt;0,"loss","profit")</f>
        <v>profit</v>
      </c>
      <c r="U166" s="4" t="str" cm="1">
        <f t="array" ref="U166">_xlfn.IFS(Table1[[#This Row],[Sales]]&gt;2000,"large",Table1[[#This Row],[Sales]]&gt;=500,"medium",Table1[[#This Row],[Sales]]&lt;500,"small")</f>
        <v>medium</v>
      </c>
      <c r="V166" s="22">
        <f>Table1[[#This Row],[Profit]]/Table1[[#This Row],[Sales]]*100</f>
        <v>27.640182286506835</v>
      </c>
    </row>
    <row r="167" spans="1:22" x14ac:dyDescent="0.35">
      <c r="A167" s="4" t="s">
        <v>383</v>
      </c>
      <c r="B167" s="5">
        <v>45718</v>
      </c>
      <c r="C167" s="4" t="s">
        <v>348</v>
      </c>
      <c r="D167" s="4" t="s">
        <v>20</v>
      </c>
      <c r="E167" s="4" t="s">
        <v>36</v>
      </c>
      <c r="F167" s="4" t="s">
        <v>37</v>
      </c>
      <c r="G167" s="4" t="s">
        <v>38</v>
      </c>
      <c r="H167" s="4" t="s">
        <v>89</v>
      </c>
      <c r="I167" s="4">
        <v>4</v>
      </c>
      <c r="J167" s="6">
        <v>1361.51</v>
      </c>
      <c r="K167" s="7">
        <v>0.1</v>
      </c>
      <c r="L167" s="6">
        <f t="shared" si="4"/>
        <v>4901.4359999999997</v>
      </c>
      <c r="M167" s="6">
        <v>1144.08</v>
      </c>
      <c r="N167" s="8">
        <f t="shared" si="5"/>
        <v>325.11599999999999</v>
      </c>
      <c r="O167" s="4" t="s">
        <v>40</v>
      </c>
      <c r="P167" s="4" t="s">
        <v>56</v>
      </c>
      <c r="Q167" s="4">
        <v>4</v>
      </c>
      <c r="R167" s="4" t="str">
        <f>TEXT(Table1[[#This Row],[Order Date]],"mmm")</f>
        <v>Mar</v>
      </c>
      <c r="S167" s="4" t="str">
        <f>TEXT(Table1[[#This Row],[Order Date]],"mm")</f>
        <v>03</v>
      </c>
      <c r="T167" s="4" t="str">
        <f>IF(Table1[[#This Row],[Sales]]&lt;0,"loss","profit")</f>
        <v>profit</v>
      </c>
      <c r="U167" s="4" t="str" cm="1">
        <f t="array" ref="U167">_xlfn.IFS(Table1[[#This Row],[Sales]]&gt;2000,"large",Table1[[#This Row],[Sales]]&gt;=500,"medium",Table1[[#This Row],[Sales]]&lt;500,"small")</f>
        <v>large</v>
      </c>
      <c r="V167" s="22">
        <f>Table1[[#This Row],[Profit]]/Table1[[#This Row],[Sales]]*100</f>
        <v>6.6330765106389231</v>
      </c>
    </row>
    <row r="168" spans="1:22" x14ac:dyDescent="0.35">
      <c r="A168" s="4" t="s">
        <v>384</v>
      </c>
      <c r="B168" s="5">
        <v>45719</v>
      </c>
      <c r="C168" s="4" t="s">
        <v>385</v>
      </c>
      <c r="D168" s="4" t="s">
        <v>20</v>
      </c>
      <c r="E168" s="4" t="s">
        <v>87</v>
      </c>
      <c r="F168" s="4" t="s">
        <v>88</v>
      </c>
      <c r="G168" s="4" t="s">
        <v>23</v>
      </c>
      <c r="H168" s="4" t="s">
        <v>24</v>
      </c>
      <c r="I168" s="4">
        <v>2</v>
      </c>
      <c r="J168" s="6">
        <v>43.04</v>
      </c>
      <c r="K168" s="7">
        <v>0</v>
      </c>
      <c r="L168" s="6">
        <f t="shared" si="4"/>
        <v>86.08</v>
      </c>
      <c r="M168" s="6">
        <v>24.64</v>
      </c>
      <c r="N168" s="8">
        <f t="shared" si="5"/>
        <v>36.799999999999997</v>
      </c>
      <c r="O168" s="4" t="s">
        <v>60</v>
      </c>
      <c r="P168" s="4" t="s">
        <v>33</v>
      </c>
      <c r="Q168" s="4">
        <v>4</v>
      </c>
      <c r="R168" s="4" t="str">
        <f>TEXT(Table1[[#This Row],[Order Date]],"mmm")</f>
        <v>Mar</v>
      </c>
      <c r="S168" s="4" t="str">
        <f>TEXT(Table1[[#This Row],[Order Date]],"mm")</f>
        <v>03</v>
      </c>
      <c r="T168" s="4" t="str">
        <f>IF(Table1[[#This Row],[Sales]]&lt;0,"loss","profit")</f>
        <v>profit</v>
      </c>
      <c r="U168" s="4" t="str" cm="1">
        <f t="array" ref="U168">_xlfn.IFS(Table1[[#This Row],[Sales]]&gt;2000,"large",Table1[[#This Row],[Sales]]&gt;=500,"medium",Table1[[#This Row],[Sales]]&lt;500,"small")</f>
        <v>small</v>
      </c>
      <c r="V168" s="22">
        <f>Table1[[#This Row],[Profit]]/Table1[[#This Row],[Sales]]*100</f>
        <v>42.750929368029738</v>
      </c>
    </row>
    <row r="169" spans="1:22" x14ac:dyDescent="0.35">
      <c r="A169" s="4" t="s">
        <v>386</v>
      </c>
      <c r="B169" s="5">
        <v>45719</v>
      </c>
      <c r="C169" s="4" t="s">
        <v>146</v>
      </c>
      <c r="D169" s="4" t="s">
        <v>20</v>
      </c>
      <c r="E169" s="4" t="s">
        <v>29</v>
      </c>
      <c r="F169" s="4" t="s">
        <v>54</v>
      </c>
      <c r="G169" s="4" t="s">
        <v>31</v>
      </c>
      <c r="H169" s="4" t="s">
        <v>125</v>
      </c>
      <c r="I169" s="4">
        <v>2</v>
      </c>
      <c r="J169" s="6">
        <v>39.840000000000003</v>
      </c>
      <c r="K169" s="7">
        <v>0.1</v>
      </c>
      <c r="L169" s="6">
        <f t="shared" si="4"/>
        <v>71.712000000000003</v>
      </c>
      <c r="M169" s="6">
        <v>29.19</v>
      </c>
      <c r="N169" s="8">
        <f t="shared" si="5"/>
        <v>13.332000000000001</v>
      </c>
      <c r="O169" s="4" t="s">
        <v>84</v>
      </c>
      <c r="P169" s="4" t="s">
        <v>56</v>
      </c>
      <c r="Q169" s="4">
        <v>1</v>
      </c>
      <c r="R169" s="4" t="str">
        <f>TEXT(Table1[[#This Row],[Order Date]],"mmm")</f>
        <v>Mar</v>
      </c>
      <c r="S169" s="4" t="str">
        <f>TEXT(Table1[[#This Row],[Order Date]],"mm")</f>
        <v>03</v>
      </c>
      <c r="T169" s="4" t="str">
        <f>IF(Table1[[#This Row],[Sales]]&lt;0,"loss","profit")</f>
        <v>profit</v>
      </c>
      <c r="U169" s="4" t="str" cm="1">
        <f t="array" ref="U169">_xlfn.IFS(Table1[[#This Row],[Sales]]&gt;2000,"large",Table1[[#This Row],[Sales]]&gt;=500,"medium",Table1[[#This Row],[Sales]]&lt;500,"small")</f>
        <v>small</v>
      </c>
      <c r="V169" s="22">
        <f>Table1[[#This Row],[Profit]]/Table1[[#This Row],[Sales]]*100</f>
        <v>18.591030789825972</v>
      </c>
    </row>
    <row r="170" spans="1:22" x14ac:dyDescent="0.35">
      <c r="A170" s="4" t="s">
        <v>387</v>
      </c>
      <c r="B170" s="5">
        <v>45719</v>
      </c>
      <c r="C170" s="4" t="s">
        <v>388</v>
      </c>
      <c r="D170" s="4" t="s">
        <v>20</v>
      </c>
      <c r="E170" s="4" t="s">
        <v>36</v>
      </c>
      <c r="F170" s="4" t="s">
        <v>48</v>
      </c>
      <c r="G170" s="4" t="s">
        <v>38</v>
      </c>
      <c r="H170" s="4" t="s">
        <v>89</v>
      </c>
      <c r="I170" s="4">
        <v>2</v>
      </c>
      <c r="J170" s="6">
        <v>772.87</v>
      </c>
      <c r="K170" s="7">
        <v>0.1</v>
      </c>
      <c r="L170" s="6">
        <f t="shared" si="4"/>
        <v>1391.1659999999999</v>
      </c>
      <c r="M170" s="6">
        <v>585.1</v>
      </c>
      <c r="N170" s="8">
        <f t="shared" si="5"/>
        <v>220.96599999999989</v>
      </c>
      <c r="O170" s="4" t="s">
        <v>60</v>
      </c>
      <c r="P170" s="4" t="s">
        <v>75</v>
      </c>
      <c r="Q170" s="4">
        <v>4</v>
      </c>
      <c r="R170" s="4" t="str">
        <f>TEXT(Table1[[#This Row],[Order Date]],"mmm")</f>
        <v>Mar</v>
      </c>
      <c r="S170" s="4" t="str">
        <f>TEXT(Table1[[#This Row],[Order Date]],"mm")</f>
        <v>03</v>
      </c>
      <c r="T170" s="4" t="str">
        <f>IF(Table1[[#This Row],[Sales]]&lt;0,"loss","profit")</f>
        <v>profit</v>
      </c>
      <c r="U170" s="4" t="str" cm="1">
        <f t="array" ref="U170">_xlfn.IFS(Table1[[#This Row],[Sales]]&gt;2000,"large",Table1[[#This Row],[Sales]]&gt;=500,"medium",Table1[[#This Row],[Sales]]&lt;500,"small")</f>
        <v>medium</v>
      </c>
      <c r="V170" s="22">
        <f>Table1[[#This Row],[Profit]]/Table1[[#This Row],[Sales]]*100</f>
        <v>15.883510666591901</v>
      </c>
    </row>
    <row r="171" spans="1:22" x14ac:dyDescent="0.35">
      <c r="A171" s="4" t="s">
        <v>389</v>
      </c>
      <c r="B171" s="5">
        <v>45719</v>
      </c>
      <c r="C171" s="4" t="s">
        <v>233</v>
      </c>
      <c r="D171" s="4" t="s">
        <v>20</v>
      </c>
      <c r="E171" s="4" t="s">
        <v>21</v>
      </c>
      <c r="F171" s="4" t="s">
        <v>81</v>
      </c>
      <c r="G171" s="4" t="s">
        <v>23</v>
      </c>
      <c r="H171" s="4" t="s">
        <v>135</v>
      </c>
      <c r="I171" s="4">
        <v>2</v>
      </c>
      <c r="J171" s="6">
        <v>15.1</v>
      </c>
      <c r="K171" s="7">
        <v>0</v>
      </c>
      <c r="L171" s="6">
        <f t="shared" si="4"/>
        <v>30.2</v>
      </c>
      <c r="M171" s="6">
        <v>6.13</v>
      </c>
      <c r="N171" s="8">
        <f t="shared" si="5"/>
        <v>17.939999999999998</v>
      </c>
      <c r="O171" s="4" t="s">
        <v>84</v>
      </c>
      <c r="P171" s="4" t="s">
        <v>118</v>
      </c>
      <c r="Q171" s="4">
        <v>3</v>
      </c>
      <c r="R171" s="4" t="str">
        <f>TEXT(Table1[[#This Row],[Order Date]],"mmm")</f>
        <v>Mar</v>
      </c>
      <c r="S171" s="4" t="str">
        <f>TEXT(Table1[[#This Row],[Order Date]],"mm")</f>
        <v>03</v>
      </c>
      <c r="T171" s="4" t="str">
        <f>IF(Table1[[#This Row],[Sales]]&lt;0,"loss","profit")</f>
        <v>profit</v>
      </c>
      <c r="U171" s="4" t="str" cm="1">
        <f t="array" ref="U171">_xlfn.IFS(Table1[[#This Row],[Sales]]&gt;2000,"large",Table1[[#This Row],[Sales]]&gt;=500,"medium",Table1[[#This Row],[Sales]]&lt;500,"small")</f>
        <v>small</v>
      </c>
      <c r="V171" s="22">
        <f>Table1[[#This Row],[Profit]]/Table1[[#This Row],[Sales]]*100</f>
        <v>59.40397350993377</v>
      </c>
    </row>
    <row r="172" spans="1:22" x14ac:dyDescent="0.35">
      <c r="A172" s="4" t="s">
        <v>390</v>
      </c>
      <c r="B172" s="5">
        <v>45719</v>
      </c>
      <c r="C172" s="4" t="s">
        <v>231</v>
      </c>
      <c r="D172" s="4" t="s">
        <v>47</v>
      </c>
      <c r="E172" s="4" t="s">
        <v>21</v>
      </c>
      <c r="F172" s="4" t="s">
        <v>22</v>
      </c>
      <c r="G172" s="4" t="s">
        <v>31</v>
      </c>
      <c r="H172" s="4" t="s">
        <v>147</v>
      </c>
      <c r="I172" s="4">
        <v>1</v>
      </c>
      <c r="J172" s="6">
        <v>46.7</v>
      </c>
      <c r="K172" s="7">
        <v>0.05</v>
      </c>
      <c r="L172" s="6">
        <f t="shared" si="4"/>
        <v>44.365000000000002</v>
      </c>
      <c r="M172" s="6">
        <v>30.27</v>
      </c>
      <c r="N172" s="8">
        <f t="shared" si="5"/>
        <v>14.095000000000002</v>
      </c>
      <c r="O172" s="4" t="s">
        <v>84</v>
      </c>
      <c r="P172" s="4" t="s">
        <v>75</v>
      </c>
      <c r="Q172" s="4">
        <v>4</v>
      </c>
      <c r="R172" s="4" t="str">
        <f>TEXT(Table1[[#This Row],[Order Date]],"mmm")</f>
        <v>Mar</v>
      </c>
      <c r="S172" s="4" t="str">
        <f>TEXT(Table1[[#This Row],[Order Date]],"mm")</f>
        <v>03</v>
      </c>
      <c r="T172" s="4" t="str">
        <f>IF(Table1[[#This Row],[Sales]]&lt;0,"loss","profit")</f>
        <v>profit</v>
      </c>
      <c r="U172" s="4" t="str" cm="1">
        <f t="array" ref="U172">_xlfn.IFS(Table1[[#This Row],[Sales]]&gt;2000,"large",Table1[[#This Row],[Sales]]&gt;=500,"medium",Table1[[#This Row],[Sales]]&lt;500,"small")</f>
        <v>small</v>
      </c>
      <c r="V172" s="22">
        <f>Table1[[#This Row],[Profit]]/Table1[[#This Row],[Sales]]*100</f>
        <v>31.770539839963941</v>
      </c>
    </row>
    <row r="173" spans="1:22" x14ac:dyDescent="0.35">
      <c r="A173" s="4" t="s">
        <v>391</v>
      </c>
      <c r="B173" s="5">
        <v>45720</v>
      </c>
      <c r="C173" s="4" t="s">
        <v>392</v>
      </c>
      <c r="D173" s="4" t="s">
        <v>20</v>
      </c>
      <c r="E173" s="4" t="s">
        <v>36</v>
      </c>
      <c r="F173" s="4" t="s">
        <v>201</v>
      </c>
      <c r="G173" s="4" t="s">
        <v>49</v>
      </c>
      <c r="H173" s="4" t="s">
        <v>187</v>
      </c>
      <c r="I173" s="4">
        <v>5</v>
      </c>
      <c r="J173" s="6">
        <v>63.68</v>
      </c>
      <c r="K173" s="7">
        <v>0.05</v>
      </c>
      <c r="L173" s="6">
        <f t="shared" si="4"/>
        <v>302.47999999999996</v>
      </c>
      <c r="M173" s="6">
        <v>44.6</v>
      </c>
      <c r="N173" s="8">
        <f t="shared" si="5"/>
        <v>79.479999999999961</v>
      </c>
      <c r="O173" s="4" t="s">
        <v>60</v>
      </c>
      <c r="P173" s="4" t="s">
        <v>61</v>
      </c>
      <c r="Q173" s="4">
        <v>3</v>
      </c>
      <c r="R173" s="4" t="str">
        <f>TEXT(Table1[[#This Row],[Order Date]],"mmm")</f>
        <v>Mar</v>
      </c>
      <c r="S173" s="4" t="str">
        <f>TEXT(Table1[[#This Row],[Order Date]],"mm")</f>
        <v>03</v>
      </c>
      <c r="T173" s="4" t="str">
        <f>IF(Table1[[#This Row],[Sales]]&lt;0,"loss","profit")</f>
        <v>profit</v>
      </c>
      <c r="U173" s="4" t="str" cm="1">
        <f t="array" ref="U173">_xlfn.IFS(Table1[[#This Row],[Sales]]&gt;2000,"large",Table1[[#This Row],[Sales]]&gt;=500,"medium",Table1[[#This Row],[Sales]]&lt;500,"small")</f>
        <v>small</v>
      </c>
      <c r="V173" s="22">
        <f>Table1[[#This Row],[Profit]]/Table1[[#This Row],[Sales]]*100</f>
        <v>26.27611742925151</v>
      </c>
    </row>
    <row r="174" spans="1:22" x14ac:dyDescent="0.35">
      <c r="A174" s="4" t="s">
        <v>393</v>
      </c>
      <c r="B174" s="5">
        <v>45721</v>
      </c>
      <c r="C174" s="4" t="s">
        <v>213</v>
      </c>
      <c r="D174" s="4" t="s">
        <v>20</v>
      </c>
      <c r="E174" s="4" t="s">
        <v>29</v>
      </c>
      <c r="F174" s="4" t="s">
        <v>30</v>
      </c>
      <c r="G174" s="4" t="s">
        <v>23</v>
      </c>
      <c r="H174" s="4" t="s">
        <v>135</v>
      </c>
      <c r="I174" s="4">
        <v>4</v>
      </c>
      <c r="J174" s="6">
        <v>33.76</v>
      </c>
      <c r="K174" s="7">
        <v>0</v>
      </c>
      <c r="L174" s="6">
        <f t="shared" si="4"/>
        <v>135.04</v>
      </c>
      <c r="M174" s="6">
        <v>21.36</v>
      </c>
      <c r="N174" s="8">
        <f t="shared" si="5"/>
        <v>49.599999999999994</v>
      </c>
      <c r="O174" s="4" t="s">
        <v>40</v>
      </c>
      <c r="P174" s="4" t="s">
        <v>75</v>
      </c>
      <c r="Q174" s="4">
        <v>4</v>
      </c>
      <c r="R174" s="4" t="str">
        <f>TEXT(Table1[[#This Row],[Order Date]],"mmm")</f>
        <v>Mar</v>
      </c>
      <c r="S174" s="4" t="str">
        <f>TEXT(Table1[[#This Row],[Order Date]],"mm")</f>
        <v>03</v>
      </c>
      <c r="T174" s="4" t="str">
        <f>IF(Table1[[#This Row],[Sales]]&lt;0,"loss","profit")</f>
        <v>profit</v>
      </c>
      <c r="U174" s="4" t="str" cm="1">
        <f t="array" ref="U174">_xlfn.IFS(Table1[[#This Row],[Sales]]&gt;2000,"large",Table1[[#This Row],[Sales]]&gt;=500,"medium",Table1[[#This Row],[Sales]]&lt;500,"small")</f>
        <v>small</v>
      </c>
      <c r="V174" s="22">
        <f>Table1[[#This Row],[Profit]]/Table1[[#This Row],[Sales]]*100</f>
        <v>36.729857819905206</v>
      </c>
    </row>
    <row r="175" spans="1:22" x14ac:dyDescent="0.35">
      <c r="A175" s="4" t="s">
        <v>394</v>
      </c>
      <c r="B175" s="5">
        <v>45721</v>
      </c>
      <c r="C175" s="4" t="s">
        <v>294</v>
      </c>
      <c r="D175" s="4" t="s">
        <v>47</v>
      </c>
      <c r="E175" s="4" t="s">
        <v>36</v>
      </c>
      <c r="F175" s="4" t="s">
        <v>37</v>
      </c>
      <c r="G175" s="4" t="s">
        <v>67</v>
      </c>
      <c r="H175" s="4" t="s">
        <v>140</v>
      </c>
      <c r="I175" s="4">
        <v>10</v>
      </c>
      <c r="J175" s="6">
        <v>200.52</v>
      </c>
      <c r="K175" s="7">
        <v>0.2</v>
      </c>
      <c r="L175" s="6">
        <f t="shared" si="4"/>
        <v>1604.16</v>
      </c>
      <c r="M175" s="6">
        <v>150.69</v>
      </c>
      <c r="N175" s="8">
        <f t="shared" si="5"/>
        <v>97.259999999999991</v>
      </c>
      <c r="O175" s="4" t="s">
        <v>51</v>
      </c>
      <c r="P175" s="4" t="s">
        <v>72</v>
      </c>
      <c r="Q175" s="4">
        <v>3</v>
      </c>
      <c r="R175" s="4" t="str">
        <f>TEXT(Table1[[#This Row],[Order Date]],"mmm")</f>
        <v>Mar</v>
      </c>
      <c r="S175" s="4" t="str">
        <f>TEXT(Table1[[#This Row],[Order Date]],"mm")</f>
        <v>03</v>
      </c>
      <c r="T175" s="4" t="str">
        <f>IF(Table1[[#This Row],[Sales]]&lt;0,"loss","profit")</f>
        <v>profit</v>
      </c>
      <c r="U175" s="4" t="str" cm="1">
        <f t="array" ref="U175">_xlfn.IFS(Table1[[#This Row],[Sales]]&gt;2000,"large",Table1[[#This Row],[Sales]]&gt;=500,"medium",Table1[[#This Row],[Sales]]&lt;500,"small")</f>
        <v>medium</v>
      </c>
      <c r="V175" s="22">
        <f>Table1[[#This Row],[Profit]]/Table1[[#This Row],[Sales]]*100</f>
        <v>6.0629862357869531</v>
      </c>
    </row>
    <row r="176" spans="1:22" x14ac:dyDescent="0.35">
      <c r="A176" s="4" t="s">
        <v>395</v>
      </c>
      <c r="B176" s="5">
        <v>45722</v>
      </c>
      <c r="C176" s="4" t="s">
        <v>396</v>
      </c>
      <c r="D176" s="4" t="s">
        <v>20</v>
      </c>
      <c r="E176" s="4" t="s">
        <v>21</v>
      </c>
      <c r="F176" s="4" t="s">
        <v>81</v>
      </c>
      <c r="G176" s="4" t="s">
        <v>49</v>
      </c>
      <c r="H176" s="4" t="s">
        <v>50</v>
      </c>
      <c r="I176" s="4">
        <v>1</v>
      </c>
      <c r="J176" s="6">
        <v>20.85</v>
      </c>
      <c r="K176" s="7">
        <v>0.1</v>
      </c>
      <c r="L176" s="6">
        <f t="shared" si="4"/>
        <v>18.765000000000001</v>
      </c>
      <c r="M176" s="6">
        <v>14.19</v>
      </c>
      <c r="N176" s="8">
        <f t="shared" si="5"/>
        <v>4.5750000000000011</v>
      </c>
      <c r="O176" s="4" t="s">
        <v>25</v>
      </c>
      <c r="P176" s="4" t="s">
        <v>56</v>
      </c>
      <c r="Q176" s="4">
        <v>3</v>
      </c>
      <c r="R176" s="4" t="str">
        <f>TEXT(Table1[[#This Row],[Order Date]],"mmm")</f>
        <v>Mar</v>
      </c>
      <c r="S176" s="4" t="str">
        <f>TEXT(Table1[[#This Row],[Order Date]],"mm")</f>
        <v>03</v>
      </c>
      <c r="T176" s="4" t="str">
        <f>IF(Table1[[#This Row],[Sales]]&lt;0,"loss","profit")</f>
        <v>profit</v>
      </c>
      <c r="U176" s="4" t="str" cm="1">
        <f t="array" ref="U176">_xlfn.IFS(Table1[[#This Row],[Sales]]&gt;2000,"large",Table1[[#This Row],[Sales]]&gt;=500,"medium",Table1[[#This Row],[Sales]]&lt;500,"small")</f>
        <v>small</v>
      </c>
      <c r="V176" s="22">
        <f>Table1[[#This Row],[Profit]]/Table1[[#This Row],[Sales]]*100</f>
        <v>24.38049560351719</v>
      </c>
    </row>
    <row r="177" spans="1:22" x14ac:dyDescent="0.35">
      <c r="A177" s="4" t="s">
        <v>397</v>
      </c>
      <c r="B177" s="5">
        <v>45722</v>
      </c>
      <c r="C177" s="4" t="s">
        <v>398</v>
      </c>
      <c r="D177" s="4" t="s">
        <v>20</v>
      </c>
      <c r="E177" s="4" t="s">
        <v>87</v>
      </c>
      <c r="F177" s="4" t="s">
        <v>124</v>
      </c>
      <c r="G177" s="4" t="s">
        <v>49</v>
      </c>
      <c r="H177" s="4" t="s">
        <v>187</v>
      </c>
      <c r="I177" s="4">
        <v>1</v>
      </c>
      <c r="J177" s="6">
        <v>103.8</v>
      </c>
      <c r="K177" s="7">
        <v>0</v>
      </c>
      <c r="L177" s="6">
        <f t="shared" si="4"/>
        <v>103.8</v>
      </c>
      <c r="M177" s="6">
        <v>76.61</v>
      </c>
      <c r="N177" s="8">
        <f t="shared" si="5"/>
        <v>27.189999999999998</v>
      </c>
      <c r="O177" s="4" t="s">
        <v>40</v>
      </c>
      <c r="P177" s="4" t="s">
        <v>118</v>
      </c>
      <c r="Q177" s="4">
        <v>4</v>
      </c>
      <c r="R177" s="4" t="str">
        <f>TEXT(Table1[[#This Row],[Order Date]],"mmm")</f>
        <v>Mar</v>
      </c>
      <c r="S177" s="4" t="str">
        <f>TEXT(Table1[[#This Row],[Order Date]],"mm")</f>
        <v>03</v>
      </c>
      <c r="T177" s="4" t="str">
        <f>IF(Table1[[#This Row],[Sales]]&lt;0,"loss","profit")</f>
        <v>profit</v>
      </c>
      <c r="U177" s="4" t="str" cm="1">
        <f t="array" ref="U177">_xlfn.IFS(Table1[[#This Row],[Sales]]&gt;2000,"large",Table1[[#This Row],[Sales]]&gt;=500,"medium",Table1[[#This Row],[Sales]]&lt;500,"small")</f>
        <v>small</v>
      </c>
      <c r="V177" s="22">
        <f>Table1[[#This Row],[Profit]]/Table1[[#This Row],[Sales]]*100</f>
        <v>26.194605009633911</v>
      </c>
    </row>
    <row r="178" spans="1:22" x14ac:dyDescent="0.35">
      <c r="A178" s="4" t="s">
        <v>399</v>
      </c>
      <c r="B178" s="5">
        <v>45722</v>
      </c>
      <c r="C178" s="4" t="s">
        <v>400</v>
      </c>
      <c r="D178" s="4" t="s">
        <v>47</v>
      </c>
      <c r="E178" s="4" t="s">
        <v>29</v>
      </c>
      <c r="F178" s="4" t="s">
        <v>54</v>
      </c>
      <c r="G178" s="4" t="s">
        <v>31</v>
      </c>
      <c r="H178" s="4" t="s">
        <v>147</v>
      </c>
      <c r="I178" s="4">
        <v>3</v>
      </c>
      <c r="J178" s="6">
        <v>73.02</v>
      </c>
      <c r="K178" s="7">
        <v>0</v>
      </c>
      <c r="L178" s="6">
        <f t="shared" si="4"/>
        <v>219.06</v>
      </c>
      <c r="M178" s="6">
        <v>45.46</v>
      </c>
      <c r="N178" s="8">
        <f t="shared" si="5"/>
        <v>82.68</v>
      </c>
      <c r="O178" s="4" t="s">
        <v>84</v>
      </c>
      <c r="P178" s="4" t="s">
        <v>33</v>
      </c>
      <c r="Q178" s="4">
        <v>3</v>
      </c>
      <c r="R178" s="4" t="str">
        <f>TEXT(Table1[[#This Row],[Order Date]],"mmm")</f>
        <v>Mar</v>
      </c>
      <c r="S178" s="4" t="str">
        <f>TEXT(Table1[[#This Row],[Order Date]],"mm")</f>
        <v>03</v>
      </c>
      <c r="T178" s="4" t="str">
        <f>IF(Table1[[#This Row],[Sales]]&lt;0,"loss","profit")</f>
        <v>profit</v>
      </c>
      <c r="U178" s="4" t="str" cm="1">
        <f t="array" ref="U178">_xlfn.IFS(Table1[[#This Row],[Sales]]&gt;2000,"large",Table1[[#This Row],[Sales]]&gt;=500,"medium",Table1[[#This Row],[Sales]]&lt;500,"small")</f>
        <v>small</v>
      </c>
      <c r="V178" s="22">
        <f>Table1[[#This Row],[Profit]]/Table1[[#This Row],[Sales]]*100</f>
        <v>37.743084086551633</v>
      </c>
    </row>
    <row r="179" spans="1:22" x14ac:dyDescent="0.35">
      <c r="A179" s="4" t="s">
        <v>401</v>
      </c>
      <c r="B179" s="5">
        <v>45722</v>
      </c>
      <c r="C179" s="4" t="s">
        <v>402</v>
      </c>
      <c r="D179" s="4" t="s">
        <v>47</v>
      </c>
      <c r="E179" s="4" t="s">
        <v>36</v>
      </c>
      <c r="F179" s="4" t="s">
        <v>201</v>
      </c>
      <c r="G179" s="4" t="s">
        <v>67</v>
      </c>
      <c r="H179" s="4" t="s">
        <v>68</v>
      </c>
      <c r="I179" s="4">
        <v>1</v>
      </c>
      <c r="J179" s="6">
        <v>930.65</v>
      </c>
      <c r="K179" s="7">
        <v>0</v>
      </c>
      <c r="L179" s="6">
        <f t="shared" si="4"/>
        <v>930.65</v>
      </c>
      <c r="M179" s="6">
        <v>607.65</v>
      </c>
      <c r="N179" s="8">
        <f t="shared" si="5"/>
        <v>323</v>
      </c>
      <c r="O179" s="4" t="s">
        <v>51</v>
      </c>
      <c r="P179" s="4" t="s">
        <v>56</v>
      </c>
      <c r="Q179" s="4">
        <v>3</v>
      </c>
      <c r="R179" s="4" t="str">
        <f>TEXT(Table1[[#This Row],[Order Date]],"mmm")</f>
        <v>Mar</v>
      </c>
      <c r="S179" s="4" t="str">
        <f>TEXT(Table1[[#This Row],[Order Date]],"mm")</f>
        <v>03</v>
      </c>
      <c r="T179" s="4" t="str">
        <f>IF(Table1[[#This Row],[Sales]]&lt;0,"loss","profit")</f>
        <v>profit</v>
      </c>
      <c r="U179" s="4" t="str" cm="1">
        <f t="array" ref="U179">_xlfn.IFS(Table1[[#This Row],[Sales]]&gt;2000,"large",Table1[[#This Row],[Sales]]&gt;=500,"medium",Table1[[#This Row],[Sales]]&lt;500,"small")</f>
        <v>medium</v>
      </c>
      <c r="V179" s="22">
        <f>Table1[[#This Row],[Profit]]/Table1[[#This Row],[Sales]]*100</f>
        <v>34.706925267286302</v>
      </c>
    </row>
    <row r="180" spans="1:22" x14ac:dyDescent="0.35">
      <c r="A180" s="4" t="s">
        <v>403</v>
      </c>
      <c r="B180" s="5">
        <v>45723</v>
      </c>
      <c r="C180" s="4" t="s">
        <v>392</v>
      </c>
      <c r="D180" s="4" t="s">
        <v>47</v>
      </c>
      <c r="E180" s="4" t="s">
        <v>36</v>
      </c>
      <c r="F180" s="4" t="s">
        <v>48</v>
      </c>
      <c r="G180" s="4" t="s">
        <v>38</v>
      </c>
      <c r="H180" s="4" t="s">
        <v>96</v>
      </c>
      <c r="I180" s="4">
        <v>2</v>
      </c>
      <c r="J180" s="6">
        <v>322.72000000000003</v>
      </c>
      <c r="K180" s="7">
        <v>0.05</v>
      </c>
      <c r="L180" s="6">
        <f t="shared" si="4"/>
        <v>613.16800000000001</v>
      </c>
      <c r="M180" s="6">
        <v>284.60000000000002</v>
      </c>
      <c r="N180" s="8">
        <f t="shared" si="5"/>
        <v>43.967999999999961</v>
      </c>
      <c r="O180" s="4" t="s">
        <v>84</v>
      </c>
      <c r="P180" s="4" t="s">
        <v>33</v>
      </c>
      <c r="Q180" s="4">
        <v>5</v>
      </c>
      <c r="R180" s="4" t="str">
        <f>TEXT(Table1[[#This Row],[Order Date]],"mmm")</f>
        <v>Mar</v>
      </c>
      <c r="S180" s="4" t="str">
        <f>TEXT(Table1[[#This Row],[Order Date]],"mm")</f>
        <v>03</v>
      </c>
      <c r="T180" s="4" t="str">
        <f>IF(Table1[[#This Row],[Sales]]&lt;0,"loss","profit")</f>
        <v>profit</v>
      </c>
      <c r="U180" s="4" t="str" cm="1">
        <f t="array" ref="U180">_xlfn.IFS(Table1[[#This Row],[Sales]]&gt;2000,"large",Table1[[#This Row],[Sales]]&gt;=500,"medium",Table1[[#This Row],[Sales]]&lt;500,"small")</f>
        <v>medium</v>
      </c>
      <c r="V180" s="22">
        <f>Table1[[#This Row],[Profit]]/Table1[[#This Row],[Sales]]*100</f>
        <v>7.170628604232439</v>
      </c>
    </row>
    <row r="181" spans="1:22" x14ac:dyDescent="0.35">
      <c r="A181" s="4" t="s">
        <v>404</v>
      </c>
      <c r="B181" s="5">
        <v>45723</v>
      </c>
      <c r="C181" s="4" t="s">
        <v>325</v>
      </c>
      <c r="D181" s="4" t="s">
        <v>20</v>
      </c>
      <c r="E181" s="4" t="s">
        <v>87</v>
      </c>
      <c r="F181" s="4" t="s">
        <v>88</v>
      </c>
      <c r="G181" s="4" t="s">
        <v>31</v>
      </c>
      <c r="H181" s="4" t="s">
        <v>147</v>
      </c>
      <c r="I181" s="4">
        <v>4</v>
      </c>
      <c r="J181" s="6">
        <v>45.43</v>
      </c>
      <c r="K181" s="7">
        <v>0.2</v>
      </c>
      <c r="L181" s="6">
        <f t="shared" si="4"/>
        <v>145.376</v>
      </c>
      <c r="M181" s="6">
        <v>26.29</v>
      </c>
      <c r="N181" s="8">
        <f t="shared" si="5"/>
        <v>40.216000000000008</v>
      </c>
      <c r="O181" s="4" t="s">
        <v>60</v>
      </c>
      <c r="P181" s="4" t="s">
        <v>33</v>
      </c>
      <c r="Q181" s="4">
        <v>3</v>
      </c>
      <c r="R181" s="4" t="str">
        <f>TEXT(Table1[[#This Row],[Order Date]],"mmm")</f>
        <v>Mar</v>
      </c>
      <c r="S181" s="4" t="str">
        <f>TEXT(Table1[[#This Row],[Order Date]],"mm")</f>
        <v>03</v>
      </c>
      <c r="T181" s="4" t="str">
        <f>IF(Table1[[#This Row],[Sales]]&lt;0,"loss","profit")</f>
        <v>profit</v>
      </c>
      <c r="U181" s="4" t="str" cm="1">
        <f t="array" ref="U181">_xlfn.IFS(Table1[[#This Row],[Sales]]&gt;2000,"large",Table1[[#This Row],[Sales]]&gt;=500,"medium",Table1[[#This Row],[Sales]]&lt;500,"small")</f>
        <v>small</v>
      </c>
      <c r="V181" s="22">
        <f>Table1[[#This Row],[Profit]]/Table1[[#This Row],[Sales]]*100</f>
        <v>27.663438256658601</v>
      </c>
    </row>
    <row r="182" spans="1:22" x14ac:dyDescent="0.35">
      <c r="A182" s="4" t="s">
        <v>405</v>
      </c>
      <c r="B182" s="5">
        <v>45723</v>
      </c>
      <c r="C182" s="4" t="s">
        <v>406</v>
      </c>
      <c r="D182" s="4" t="s">
        <v>47</v>
      </c>
      <c r="E182" s="4" t="s">
        <v>87</v>
      </c>
      <c r="F182" s="4" t="s">
        <v>88</v>
      </c>
      <c r="G182" s="4" t="s">
        <v>49</v>
      </c>
      <c r="H182" s="4" t="s">
        <v>50</v>
      </c>
      <c r="I182" s="4">
        <v>2</v>
      </c>
      <c r="J182" s="6">
        <v>48.18</v>
      </c>
      <c r="K182" s="7">
        <v>0.15</v>
      </c>
      <c r="L182" s="6">
        <f t="shared" si="4"/>
        <v>81.905999999999992</v>
      </c>
      <c r="M182" s="6">
        <v>27.9</v>
      </c>
      <c r="N182" s="8">
        <f t="shared" si="5"/>
        <v>26.105999999999995</v>
      </c>
      <c r="O182" s="4" t="s">
        <v>60</v>
      </c>
      <c r="P182" s="4" t="s">
        <v>75</v>
      </c>
      <c r="Q182" s="4">
        <v>5</v>
      </c>
      <c r="R182" s="4" t="str">
        <f>TEXT(Table1[[#This Row],[Order Date]],"mmm")</f>
        <v>Mar</v>
      </c>
      <c r="S182" s="4" t="str">
        <f>TEXT(Table1[[#This Row],[Order Date]],"mm")</f>
        <v>03</v>
      </c>
      <c r="T182" s="4" t="str">
        <f>IF(Table1[[#This Row],[Sales]]&lt;0,"loss","profit")</f>
        <v>profit</v>
      </c>
      <c r="U182" s="4" t="str" cm="1">
        <f t="array" ref="U182">_xlfn.IFS(Table1[[#This Row],[Sales]]&gt;2000,"large",Table1[[#This Row],[Sales]]&gt;=500,"medium",Table1[[#This Row],[Sales]]&lt;500,"small")</f>
        <v>small</v>
      </c>
      <c r="V182" s="22">
        <f>Table1[[#This Row],[Profit]]/Table1[[#This Row],[Sales]]*100</f>
        <v>31.873122848142987</v>
      </c>
    </row>
    <row r="183" spans="1:22" x14ac:dyDescent="0.35">
      <c r="A183" s="4" t="s">
        <v>407</v>
      </c>
      <c r="B183" s="5">
        <v>45723</v>
      </c>
      <c r="C183" s="4" t="s">
        <v>408</v>
      </c>
      <c r="D183" s="4" t="s">
        <v>47</v>
      </c>
      <c r="E183" s="4" t="s">
        <v>21</v>
      </c>
      <c r="F183" s="4" t="s">
        <v>59</v>
      </c>
      <c r="G183" s="4" t="s">
        <v>49</v>
      </c>
      <c r="H183" s="4" t="s">
        <v>128</v>
      </c>
      <c r="I183" s="4">
        <v>3</v>
      </c>
      <c r="J183" s="6">
        <v>49.77</v>
      </c>
      <c r="K183" s="7">
        <v>0.15</v>
      </c>
      <c r="L183" s="6">
        <f t="shared" si="4"/>
        <v>126.9135</v>
      </c>
      <c r="M183" s="6">
        <v>33.340000000000003</v>
      </c>
      <c r="N183" s="8">
        <f t="shared" si="5"/>
        <v>26.893499999999989</v>
      </c>
      <c r="O183" s="4" t="s">
        <v>60</v>
      </c>
      <c r="P183" s="4" t="s">
        <v>72</v>
      </c>
      <c r="Q183" s="4">
        <v>5</v>
      </c>
      <c r="R183" s="4" t="str">
        <f>TEXT(Table1[[#This Row],[Order Date]],"mmm")</f>
        <v>Mar</v>
      </c>
      <c r="S183" s="4" t="str">
        <f>TEXT(Table1[[#This Row],[Order Date]],"mm")</f>
        <v>03</v>
      </c>
      <c r="T183" s="4" t="str">
        <f>IF(Table1[[#This Row],[Sales]]&lt;0,"loss","profit")</f>
        <v>profit</v>
      </c>
      <c r="U183" s="4" t="str" cm="1">
        <f t="array" ref="U183">_xlfn.IFS(Table1[[#This Row],[Sales]]&gt;2000,"large",Table1[[#This Row],[Sales]]&gt;=500,"medium",Table1[[#This Row],[Sales]]&lt;500,"small")</f>
        <v>small</v>
      </c>
      <c r="V183" s="22">
        <f>Table1[[#This Row],[Profit]]/Table1[[#This Row],[Sales]]*100</f>
        <v>21.190417095108078</v>
      </c>
    </row>
    <row r="184" spans="1:22" x14ac:dyDescent="0.35">
      <c r="A184" s="4" t="s">
        <v>409</v>
      </c>
      <c r="B184" s="5">
        <v>45724</v>
      </c>
      <c r="C184" s="4" t="s">
        <v>299</v>
      </c>
      <c r="D184" s="4" t="s">
        <v>20</v>
      </c>
      <c r="E184" s="4" t="s">
        <v>36</v>
      </c>
      <c r="F184" s="4" t="s">
        <v>48</v>
      </c>
      <c r="G184" s="4" t="s">
        <v>23</v>
      </c>
      <c r="H184" s="4" t="s">
        <v>24</v>
      </c>
      <c r="I184" s="4">
        <v>1</v>
      </c>
      <c r="J184" s="6">
        <v>30.98</v>
      </c>
      <c r="K184" s="7">
        <v>0.05</v>
      </c>
      <c r="L184" s="6">
        <f t="shared" si="4"/>
        <v>29.430999999999997</v>
      </c>
      <c r="M184" s="6">
        <v>13.57</v>
      </c>
      <c r="N184" s="8">
        <f t="shared" si="5"/>
        <v>15.860999999999997</v>
      </c>
      <c r="O184" s="4" t="s">
        <v>40</v>
      </c>
      <c r="P184" s="4" t="s">
        <v>97</v>
      </c>
      <c r="Q184" s="4">
        <v>4</v>
      </c>
      <c r="R184" s="4" t="str">
        <f>TEXT(Table1[[#This Row],[Order Date]],"mmm")</f>
        <v>Mar</v>
      </c>
      <c r="S184" s="4" t="str">
        <f>TEXT(Table1[[#This Row],[Order Date]],"mm")</f>
        <v>03</v>
      </c>
      <c r="T184" s="4" t="str">
        <f>IF(Table1[[#This Row],[Sales]]&lt;0,"loss","profit")</f>
        <v>profit</v>
      </c>
      <c r="U184" s="4" t="str" cm="1">
        <f t="array" ref="U184">_xlfn.IFS(Table1[[#This Row],[Sales]]&gt;2000,"large",Table1[[#This Row],[Sales]]&gt;=500,"medium",Table1[[#This Row],[Sales]]&lt;500,"small")</f>
        <v>small</v>
      </c>
      <c r="V184" s="22">
        <f>Table1[[#This Row],[Profit]]/Table1[[#This Row],[Sales]]*100</f>
        <v>53.892154530936764</v>
      </c>
    </row>
    <row r="185" spans="1:22" x14ac:dyDescent="0.35">
      <c r="A185" s="4" t="s">
        <v>410</v>
      </c>
      <c r="B185" s="5">
        <v>45725</v>
      </c>
      <c r="C185" s="4" t="s">
        <v>411</v>
      </c>
      <c r="D185" s="4" t="s">
        <v>20</v>
      </c>
      <c r="E185" s="4" t="s">
        <v>87</v>
      </c>
      <c r="F185" s="4" t="s">
        <v>92</v>
      </c>
      <c r="G185" s="4" t="s">
        <v>67</v>
      </c>
      <c r="H185" s="4" t="s">
        <v>68</v>
      </c>
      <c r="I185" s="4">
        <v>1</v>
      </c>
      <c r="J185" s="6">
        <v>455.53</v>
      </c>
      <c r="K185" s="7">
        <v>0.15</v>
      </c>
      <c r="L185" s="6">
        <f t="shared" si="4"/>
        <v>387.20049999999998</v>
      </c>
      <c r="M185" s="6">
        <v>344.86</v>
      </c>
      <c r="N185" s="8">
        <f t="shared" si="5"/>
        <v>42.340499999999963</v>
      </c>
      <c r="O185" s="4" t="s">
        <v>51</v>
      </c>
      <c r="P185" s="4" t="s">
        <v>72</v>
      </c>
      <c r="Q185" s="4">
        <v>4</v>
      </c>
      <c r="R185" s="4" t="str">
        <f>TEXT(Table1[[#This Row],[Order Date]],"mmm")</f>
        <v>Mar</v>
      </c>
      <c r="S185" s="4" t="str">
        <f>TEXT(Table1[[#This Row],[Order Date]],"mm")</f>
        <v>03</v>
      </c>
      <c r="T185" s="4" t="str">
        <f>IF(Table1[[#This Row],[Sales]]&lt;0,"loss","profit")</f>
        <v>profit</v>
      </c>
      <c r="U185" s="4" t="str" cm="1">
        <f t="array" ref="U185">_xlfn.IFS(Table1[[#This Row],[Sales]]&gt;2000,"large",Table1[[#This Row],[Sales]]&gt;=500,"medium",Table1[[#This Row],[Sales]]&lt;500,"small")</f>
        <v>small</v>
      </c>
      <c r="V185" s="22">
        <f>Table1[[#This Row],[Profit]]/Table1[[#This Row],[Sales]]*100</f>
        <v>10.935032366951997</v>
      </c>
    </row>
    <row r="186" spans="1:22" x14ac:dyDescent="0.35">
      <c r="A186" s="4" t="s">
        <v>412</v>
      </c>
      <c r="B186" s="5">
        <v>45725</v>
      </c>
      <c r="C186" s="4" t="s">
        <v>413</v>
      </c>
      <c r="D186" s="4" t="s">
        <v>47</v>
      </c>
      <c r="E186" s="4" t="s">
        <v>87</v>
      </c>
      <c r="F186" s="4" t="s">
        <v>92</v>
      </c>
      <c r="G186" s="4" t="s">
        <v>23</v>
      </c>
      <c r="H186" s="4" t="s">
        <v>44</v>
      </c>
      <c r="I186" s="4">
        <v>1</v>
      </c>
      <c r="J186" s="6">
        <v>47.32</v>
      </c>
      <c r="K186" s="7">
        <v>0.15</v>
      </c>
      <c r="L186" s="6">
        <f t="shared" si="4"/>
        <v>40.222000000000001</v>
      </c>
      <c r="M186" s="6">
        <v>27.45</v>
      </c>
      <c r="N186" s="8">
        <f t="shared" si="5"/>
        <v>12.772000000000002</v>
      </c>
      <c r="O186" s="4" t="s">
        <v>51</v>
      </c>
      <c r="P186" s="4" t="s">
        <v>75</v>
      </c>
      <c r="Q186" s="4">
        <v>5</v>
      </c>
      <c r="R186" s="4" t="str">
        <f>TEXT(Table1[[#This Row],[Order Date]],"mmm")</f>
        <v>Mar</v>
      </c>
      <c r="S186" s="4" t="str">
        <f>TEXT(Table1[[#This Row],[Order Date]],"mm")</f>
        <v>03</v>
      </c>
      <c r="T186" s="4" t="str">
        <f>IF(Table1[[#This Row],[Sales]]&lt;0,"loss","profit")</f>
        <v>profit</v>
      </c>
      <c r="U186" s="4" t="str" cm="1">
        <f t="array" ref="U186">_xlfn.IFS(Table1[[#This Row],[Sales]]&gt;2000,"large",Table1[[#This Row],[Sales]]&gt;=500,"medium",Table1[[#This Row],[Sales]]&lt;500,"small")</f>
        <v>small</v>
      </c>
      <c r="V186" s="22">
        <f>Table1[[#This Row],[Profit]]/Table1[[#This Row],[Sales]]*100</f>
        <v>31.753766595395561</v>
      </c>
    </row>
    <row r="187" spans="1:22" x14ac:dyDescent="0.35">
      <c r="A187" s="4" t="s">
        <v>414</v>
      </c>
      <c r="B187" s="5">
        <v>45725</v>
      </c>
      <c r="C187" s="4" t="s">
        <v>86</v>
      </c>
      <c r="D187" s="4" t="s">
        <v>47</v>
      </c>
      <c r="E187" s="4" t="s">
        <v>36</v>
      </c>
      <c r="F187" s="4" t="s">
        <v>37</v>
      </c>
      <c r="G187" s="4" t="s">
        <v>31</v>
      </c>
      <c r="H187" s="4" t="s">
        <v>64</v>
      </c>
      <c r="I187" s="4">
        <v>2</v>
      </c>
      <c r="J187" s="6">
        <v>140.72999999999999</v>
      </c>
      <c r="K187" s="7">
        <v>0</v>
      </c>
      <c r="L187" s="6">
        <f t="shared" si="4"/>
        <v>281.45999999999998</v>
      </c>
      <c r="M187" s="6">
        <v>83.55</v>
      </c>
      <c r="N187" s="8">
        <f t="shared" si="5"/>
        <v>114.35999999999999</v>
      </c>
      <c r="O187" s="4" t="s">
        <v>25</v>
      </c>
      <c r="P187" s="4" t="s">
        <v>72</v>
      </c>
      <c r="Q187" s="4">
        <v>1</v>
      </c>
      <c r="R187" s="4" t="str">
        <f>TEXT(Table1[[#This Row],[Order Date]],"mmm")</f>
        <v>Mar</v>
      </c>
      <c r="S187" s="4" t="str">
        <f>TEXT(Table1[[#This Row],[Order Date]],"mm")</f>
        <v>03</v>
      </c>
      <c r="T187" s="4" t="str">
        <f>IF(Table1[[#This Row],[Sales]]&lt;0,"loss","profit")</f>
        <v>profit</v>
      </c>
      <c r="U187" s="4" t="str" cm="1">
        <f t="array" ref="U187">_xlfn.IFS(Table1[[#This Row],[Sales]]&gt;2000,"large",Table1[[#This Row],[Sales]]&gt;=500,"medium",Table1[[#This Row],[Sales]]&lt;500,"small")</f>
        <v>small</v>
      </c>
      <c r="V187" s="22">
        <f>Table1[[#This Row],[Profit]]/Table1[[#This Row],[Sales]]*100</f>
        <v>40.63099552334257</v>
      </c>
    </row>
    <row r="188" spans="1:22" x14ac:dyDescent="0.35">
      <c r="A188" s="4" t="s">
        <v>415</v>
      </c>
      <c r="B188" s="5">
        <v>45726</v>
      </c>
      <c r="C188" s="4" t="s">
        <v>83</v>
      </c>
      <c r="D188" s="4" t="s">
        <v>47</v>
      </c>
      <c r="E188" s="4" t="s">
        <v>36</v>
      </c>
      <c r="F188" s="4" t="s">
        <v>37</v>
      </c>
      <c r="G188" s="4" t="s">
        <v>31</v>
      </c>
      <c r="H188" s="4" t="s">
        <v>64</v>
      </c>
      <c r="I188" s="4">
        <v>10</v>
      </c>
      <c r="J188" s="6">
        <v>52.3</v>
      </c>
      <c r="K188" s="7">
        <v>0.2</v>
      </c>
      <c r="L188" s="6">
        <f t="shared" si="4"/>
        <v>418.40000000000003</v>
      </c>
      <c r="M188" s="6">
        <v>28.85</v>
      </c>
      <c r="N188" s="8">
        <f t="shared" si="5"/>
        <v>129.90000000000003</v>
      </c>
      <c r="O188" s="4" t="s">
        <v>84</v>
      </c>
      <c r="P188" s="4" t="s">
        <v>33</v>
      </c>
      <c r="Q188" s="4">
        <v>4</v>
      </c>
      <c r="R188" s="4" t="str">
        <f>TEXT(Table1[[#This Row],[Order Date]],"mmm")</f>
        <v>Mar</v>
      </c>
      <c r="S188" s="4" t="str">
        <f>TEXT(Table1[[#This Row],[Order Date]],"mm")</f>
        <v>03</v>
      </c>
      <c r="T188" s="4" t="str">
        <f>IF(Table1[[#This Row],[Sales]]&lt;0,"loss","profit")</f>
        <v>profit</v>
      </c>
      <c r="U188" s="4" t="str" cm="1">
        <f t="array" ref="U188">_xlfn.IFS(Table1[[#This Row],[Sales]]&gt;2000,"large",Table1[[#This Row],[Sales]]&gt;=500,"medium",Table1[[#This Row],[Sales]]&lt;500,"small")</f>
        <v>small</v>
      </c>
      <c r="V188" s="22">
        <f>Table1[[#This Row],[Profit]]/Table1[[#This Row],[Sales]]*100</f>
        <v>31.046845124282989</v>
      </c>
    </row>
    <row r="189" spans="1:22" x14ac:dyDescent="0.35">
      <c r="A189" s="4" t="s">
        <v>416</v>
      </c>
      <c r="B189" s="5">
        <v>45726</v>
      </c>
      <c r="C189" s="4" t="s">
        <v>162</v>
      </c>
      <c r="D189" s="4" t="s">
        <v>47</v>
      </c>
      <c r="E189" s="4" t="s">
        <v>29</v>
      </c>
      <c r="F189" s="4" t="s">
        <v>30</v>
      </c>
      <c r="G189" s="4" t="s">
        <v>31</v>
      </c>
      <c r="H189" s="4" t="s">
        <v>147</v>
      </c>
      <c r="I189" s="4">
        <v>8</v>
      </c>
      <c r="J189" s="6">
        <v>97.58</v>
      </c>
      <c r="K189" s="7">
        <v>0.2</v>
      </c>
      <c r="L189" s="6">
        <f t="shared" si="4"/>
        <v>624.51200000000006</v>
      </c>
      <c r="M189" s="6">
        <v>54.69</v>
      </c>
      <c r="N189" s="8">
        <f t="shared" si="5"/>
        <v>186.99200000000008</v>
      </c>
      <c r="O189" s="4" t="s">
        <v>84</v>
      </c>
      <c r="P189" s="4" t="s">
        <v>118</v>
      </c>
      <c r="Q189" s="4">
        <v>5</v>
      </c>
      <c r="R189" s="4" t="str">
        <f>TEXT(Table1[[#This Row],[Order Date]],"mmm")</f>
        <v>Mar</v>
      </c>
      <c r="S189" s="4" t="str">
        <f>TEXT(Table1[[#This Row],[Order Date]],"mm")</f>
        <v>03</v>
      </c>
      <c r="T189" s="4" t="str">
        <f>IF(Table1[[#This Row],[Sales]]&lt;0,"loss","profit")</f>
        <v>profit</v>
      </c>
      <c r="U189" s="4" t="str" cm="1">
        <f t="array" ref="U189">_xlfn.IFS(Table1[[#This Row],[Sales]]&gt;2000,"large",Table1[[#This Row],[Sales]]&gt;=500,"medium",Table1[[#This Row],[Sales]]&lt;500,"small")</f>
        <v>medium</v>
      </c>
      <c r="V189" s="22">
        <f>Table1[[#This Row],[Profit]]/Table1[[#This Row],[Sales]]*100</f>
        <v>29.942098790735816</v>
      </c>
    </row>
    <row r="190" spans="1:22" x14ac:dyDescent="0.35">
      <c r="A190" s="4" t="s">
        <v>417</v>
      </c>
      <c r="B190" s="5">
        <v>45727</v>
      </c>
      <c r="C190" s="4" t="s">
        <v>418</v>
      </c>
      <c r="D190" s="4" t="s">
        <v>20</v>
      </c>
      <c r="E190" s="4" t="s">
        <v>87</v>
      </c>
      <c r="F190" s="4" t="s">
        <v>124</v>
      </c>
      <c r="G190" s="4" t="s">
        <v>31</v>
      </c>
      <c r="H190" s="4" t="s">
        <v>147</v>
      </c>
      <c r="I190" s="4">
        <v>8</v>
      </c>
      <c r="J190" s="6">
        <v>91.83</v>
      </c>
      <c r="K190" s="7">
        <v>0.15</v>
      </c>
      <c r="L190" s="6">
        <f t="shared" si="4"/>
        <v>624.44399999999996</v>
      </c>
      <c r="M190" s="6">
        <v>62.41</v>
      </c>
      <c r="N190" s="8">
        <f t="shared" si="5"/>
        <v>125.16399999999999</v>
      </c>
      <c r="O190" s="4" t="s">
        <v>25</v>
      </c>
      <c r="P190" s="4" t="s">
        <v>61</v>
      </c>
      <c r="Q190" s="4">
        <v>4</v>
      </c>
      <c r="R190" s="4" t="str">
        <f>TEXT(Table1[[#This Row],[Order Date]],"mmm")</f>
        <v>Mar</v>
      </c>
      <c r="S190" s="4" t="str">
        <f>TEXT(Table1[[#This Row],[Order Date]],"mm")</f>
        <v>03</v>
      </c>
      <c r="T190" s="4" t="str">
        <f>IF(Table1[[#This Row],[Sales]]&lt;0,"loss","profit")</f>
        <v>profit</v>
      </c>
      <c r="U190" s="4" t="str" cm="1">
        <f t="array" ref="U190">_xlfn.IFS(Table1[[#This Row],[Sales]]&gt;2000,"large",Table1[[#This Row],[Sales]]&gt;=500,"medium",Table1[[#This Row],[Sales]]&lt;500,"small")</f>
        <v>medium</v>
      </c>
      <c r="V190" s="22">
        <f>Table1[[#This Row],[Profit]]/Table1[[#This Row],[Sales]]*100</f>
        <v>20.044071205744629</v>
      </c>
    </row>
    <row r="191" spans="1:22" x14ac:dyDescent="0.35">
      <c r="A191" s="4" t="s">
        <v>419</v>
      </c>
      <c r="B191" s="5">
        <v>45728</v>
      </c>
      <c r="C191" s="4" t="s">
        <v>420</v>
      </c>
      <c r="D191" s="4" t="s">
        <v>43</v>
      </c>
      <c r="E191" s="4" t="s">
        <v>29</v>
      </c>
      <c r="F191" s="4" t="s">
        <v>54</v>
      </c>
      <c r="G191" s="4" t="s">
        <v>38</v>
      </c>
      <c r="H191" s="4" t="s">
        <v>109</v>
      </c>
      <c r="I191" s="4">
        <v>2</v>
      </c>
      <c r="J191" s="6">
        <v>781.33</v>
      </c>
      <c r="K191" s="7">
        <v>0.1</v>
      </c>
      <c r="L191" s="6">
        <f t="shared" si="4"/>
        <v>1406.394</v>
      </c>
      <c r="M191" s="6">
        <v>700.86</v>
      </c>
      <c r="N191" s="8">
        <f t="shared" si="5"/>
        <v>4.6739999999999782</v>
      </c>
      <c r="O191" s="4" t="s">
        <v>84</v>
      </c>
      <c r="P191" s="4" t="s">
        <v>118</v>
      </c>
      <c r="Q191" s="4">
        <v>2</v>
      </c>
      <c r="R191" s="4" t="str">
        <f>TEXT(Table1[[#This Row],[Order Date]],"mmm")</f>
        <v>Mar</v>
      </c>
      <c r="S191" s="4" t="str">
        <f>TEXT(Table1[[#This Row],[Order Date]],"mm")</f>
        <v>03</v>
      </c>
      <c r="T191" s="4" t="str">
        <f>IF(Table1[[#This Row],[Sales]]&lt;0,"loss","profit")</f>
        <v>profit</v>
      </c>
      <c r="U191" s="4" t="str" cm="1">
        <f t="array" ref="U191">_xlfn.IFS(Table1[[#This Row],[Sales]]&gt;2000,"large",Table1[[#This Row],[Sales]]&gt;=500,"medium",Table1[[#This Row],[Sales]]&lt;500,"small")</f>
        <v>medium</v>
      </c>
      <c r="V191" s="22">
        <f>Table1[[#This Row],[Profit]]/Table1[[#This Row],[Sales]]*100</f>
        <v>0.33233930178882859</v>
      </c>
    </row>
    <row r="192" spans="1:22" x14ac:dyDescent="0.35">
      <c r="A192" s="4" t="s">
        <v>421</v>
      </c>
      <c r="B192" s="5">
        <v>45728</v>
      </c>
      <c r="C192" s="4" t="s">
        <v>325</v>
      </c>
      <c r="D192" s="4" t="s">
        <v>20</v>
      </c>
      <c r="E192" s="4" t="s">
        <v>36</v>
      </c>
      <c r="F192" s="4" t="s">
        <v>48</v>
      </c>
      <c r="G192" s="4" t="s">
        <v>38</v>
      </c>
      <c r="H192" s="4" t="s">
        <v>109</v>
      </c>
      <c r="I192" s="4">
        <v>2</v>
      </c>
      <c r="J192" s="6">
        <v>919.49</v>
      </c>
      <c r="K192" s="7">
        <v>0.2</v>
      </c>
      <c r="L192" s="6">
        <f t="shared" si="4"/>
        <v>1471.1840000000002</v>
      </c>
      <c r="M192" s="6">
        <v>710.79</v>
      </c>
      <c r="N192" s="8">
        <f t="shared" si="5"/>
        <v>49.604000000000269</v>
      </c>
      <c r="O192" s="4" t="s">
        <v>60</v>
      </c>
      <c r="P192" s="4" t="s">
        <v>118</v>
      </c>
      <c r="Q192" s="4">
        <v>3</v>
      </c>
      <c r="R192" s="4" t="str">
        <f>TEXT(Table1[[#This Row],[Order Date]],"mmm")</f>
        <v>Mar</v>
      </c>
      <c r="S192" s="4" t="str">
        <f>TEXT(Table1[[#This Row],[Order Date]],"mm")</f>
        <v>03</v>
      </c>
      <c r="T192" s="4" t="str">
        <f>IF(Table1[[#This Row],[Sales]]&lt;0,"loss","profit")</f>
        <v>profit</v>
      </c>
      <c r="U192" s="4" t="str" cm="1">
        <f t="array" ref="U192">_xlfn.IFS(Table1[[#This Row],[Sales]]&gt;2000,"large",Table1[[#This Row],[Sales]]&gt;=500,"medium",Table1[[#This Row],[Sales]]&lt;500,"small")</f>
        <v>medium</v>
      </c>
      <c r="V192" s="22">
        <f>Table1[[#This Row],[Profit]]/Table1[[#This Row],[Sales]]*100</f>
        <v>3.3717060544432416</v>
      </c>
    </row>
    <row r="193" spans="1:22" x14ac:dyDescent="0.35">
      <c r="A193" s="4" t="s">
        <v>422</v>
      </c>
      <c r="B193" s="5">
        <v>45729</v>
      </c>
      <c r="C193" s="4" t="s">
        <v>423</v>
      </c>
      <c r="D193" s="4" t="s">
        <v>20</v>
      </c>
      <c r="E193" s="4" t="s">
        <v>29</v>
      </c>
      <c r="F193" s="4" t="s">
        <v>108</v>
      </c>
      <c r="G193" s="4" t="s">
        <v>38</v>
      </c>
      <c r="H193" s="4" t="s">
        <v>109</v>
      </c>
      <c r="I193" s="4">
        <v>2</v>
      </c>
      <c r="J193" s="6">
        <v>885.88</v>
      </c>
      <c r="K193" s="7">
        <v>0.1</v>
      </c>
      <c r="L193" s="6">
        <f t="shared" si="4"/>
        <v>1594.5840000000001</v>
      </c>
      <c r="M193" s="6">
        <v>739.24</v>
      </c>
      <c r="N193" s="8">
        <f t="shared" si="5"/>
        <v>116.10400000000004</v>
      </c>
      <c r="O193" s="4" t="s">
        <v>51</v>
      </c>
      <c r="P193" s="4" t="s">
        <v>118</v>
      </c>
      <c r="Q193" s="4">
        <v>3</v>
      </c>
      <c r="R193" s="4" t="str">
        <f>TEXT(Table1[[#This Row],[Order Date]],"mmm")</f>
        <v>Mar</v>
      </c>
      <c r="S193" s="4" t="str">
        <f>TEXT(Table1[[#This Row],[Order Date]],"mm")</f>
        <v>03</v>
      </c>
      <c r="T193" s="4" t="str">
        <f>IF(Table1[[#This Row],[Sales]]&lt;0,"loss","profit")</f>
        <v>profit</v>
      </c>
      <c r="U193" s="4" t="str" cm="1">
        <f t="array" ref="U193">_xlfn.IFS(Table1[[#This Row],[Sales]]&gt;2000,"large",Table1[[#This Row],[Sales]]&gt;=500,"medium",Table1[[#This Row],[Sales]]&lt;500,"small")</f>
        <v>medium</v>
      </c>
      <c r="V193" s="22">
        <f>Table1[[#This Row],[Profit]]/Table1[[#This Row],[Sales]]*100</f>
        <v>7.2811466815169368</v>
      </c>
    </row>
    <row r="194" spans="1:22" x14ac:dyDescent="0.35">
      <c r="A194" s="4" t="s">
        <v>424</v>
      </c>
      <c r="B194" s="5">
        <v>45729</v>
      </c>
      <c r="C194" s="4" t="s">
        <v>425</v>
      </c>
      <c r="D194" s="4" t="s">
        <v>20</v>
      </c>
      <c r="E194" s="4" t="s">
        <v>36</v>
      </c>
      <c r="F194" s="4" t="s">
        <v>48</v>
      </c>
      <c r="G194" s="4" t="s">
        <v>23</v>
      </c>
      <c r="H194" s="4" t="s">
        <v>24</v>
      </c>
      <c r="I194" s="4">
        <v>1</v>
      </c>
      <c r="J194" s="6">
        <v>49.59</v>
      </c>
      <c r="K194" s="7">
        <v>0</v>
      </c>
      <c r="L194" s="6">
        <f t="shared" ref="L194:L257" si="6">I194*J194*(1-K194)</f>
        <v>49.59</v>
      </c>
      <c r="M194" s="6">
        <v>23.13</v>
      </c>
      <c r="N194" s="8">
        <f t="shared" ref="N194:N257" si="7">L194-I194*M194</f>
        <v>26.460000000000004</v>
      </c>
      <c r="O194" s="4" t="s">
        <v>40</v>
      </c>
      <c r="P194" s="4" t="s">
        <v>75</v>
      </c>
      <c r="Q194" s="4">
        <v>3</v>
      </c>
      <c r="R194" s="4" t="str">
        <f>TEXT(Table1[[#This Row],[Order Date]],"mmm")</f>
        <v>Mar</v>
      </c>
      <c r="S194" s="4" t="str">
        <f>TEXT(Table1[[#This Row],[Order Date]],"mm")</f>
        <v>03</v>
      </c>
      <c r="T194" s="4" t="str">
        <f>IF(Table1[[#This Row],[Sales]]&lt;0,"loss","profit")</f>
        <v>profit</v>
      </c>
      <c r="U194" s="4" t="str" cm="1">
        <f t="array" ref="U194">_xlfn.IFS(Table1[[#This Row],[Sales]]&gt;2000,"large",Table1[[#This Row],[Sales]]&gt;=500,"medium",Table1[[#This Row],[Sales]]&lt;500,"small")</f>
        <v>small</v>
      </c>
      <c r="V194" s="22">
        <f>Table1[[#This Row],[Profit]]/Table1[[#This Row],[Sales]]*100</f>
        <v>53.35753176043557</v>
      </c>
    </row>
    <row r="195" spans="1:22" x14ac:dyDescent="0.35">
      <c r="A195" s="4" t="s">
        <v>426</v>
      </c>
      <c r="B195" s="5">
        <v>45729</v>
      </c>
      <c r="C195" s="4" t="s">
        <v>427</v>
      </c>
      <c r="D195" s="4" t="s">
        <v>43</v>
      </c>
      <c r="E195" s="4" t="s">
        <v>29</v>
      </c>
      <c r="F195" s="4" t="s">
        <v>54</v>
      </c>
      <c r="G195" s="4" t="s">
        <v>67</v>
      </c>
      <c r="H195" s="4" t="s">
        <v>93</v>
      </c>
      <c r="I195" s="4">
        <v>2</v>
      </c>
      <c r="J195" s="6">
        <v>427.03</v>
      </c>
      <c r="K195" s="7">
        <v>0</v>
      </c>
      <c r="L195" s="6">
        <f t="shared" si="6"/>
        <v>854.06</v>
      </c>
      <c r="M195" s="6">
        <v>332.73</v>
      </c>
      <c r="N195" s="8">
        <f t="shared" si="7"/>
        <v>188.59999999999991</v>
      </c>
      <c r="O195" s="4" t="s">
        <v>84</v>
      </c>
      <c r="P195" s="4" t="s">
        <v>56</v>
      </c>
      <c r="Q195" s="4">
        <v>5</v>
      </c>
      <c r="R195" s="4" t="str">
        <f>TEXT(Table1[[#This Row],[Order Date]],"mmm")</f>
        <v>Mar</v>
      </c>
      <c r="S195" s="4" t="str">
        <f>TEXT(Table1[[#This Row],[Order Date]],"mm")</f>
        <v>03</v>
      </c>
      <c r="T195" s="4" t="str">
        <f>IF(Table1[[#This Row],[Sales]]&lt;0,"loss","profit")</f>
        <v>profit</v>
      </c>
      <c r="U195" s="4" t="str" cm="1">
        <f t="array" ref="U195">_xlfn.IFS(Table1[[#This Row],[Sales]]&gt;2000,"large",Table1[[#This Row],[Sales]]&gt;=500,"medium",Table1[[#This Row],[Sales]]&lt;500,"small")</f>
        <v>medium</v>
      </c>
      <c r="V195" s="22">
        <f>Table1[[#This Row],[Profit]]/Table1[[#This Row],[Sales]]*100</f>
        <v>22.082757651687228</v>
      </c>
    </row>
    <row r="196" spans="1:22" x14ac:dyDescent="0.35">
      <c r="A196" s="4" t="s">
        <v>428</v>
      </c>
      <c r="B196" s="5">
        <v>45731</v>
      </c>
      <c r="C196" s="4" t="s">
        <v>429</v>
      </c>
      <c r="D196" s="4" t="s">
        <v>20</v>
      </c>
      <c r="E196" s="4" t="s">
        <v>87</v>
      </c>
      <c r="F196" s="4" t="s">
        <v>124</v>
      </c>
      <c r="G196" s="4" t="s">
        <v>31</v>
      </c>
      <c r="H196" s="4" t="s">
        <v>64</v>
      </c>
      <c r="I196" s="4">
        <v>1</v>
      </c>
      <c r="J196" s="6">
        <v>133.79</v>
      </c>
      <c r="K196" s="7">
        <v>0</v>
      </c>
      <c r="L196" s="6">
        <f t="shared" si="6"/>
        <v>133.79</v>
      </c>
      <c r="M196" s="6">
        <v>93.25</v>
      </c>
      <c r="N196" s="8">
        <f t="shared" si="7"/>
        <v>40.539999999999992</v>
      </c>
      <c r="O196" s="4" t="s">
        <v>60</v>
      </c>
      <c r="P196" s="4" t="s">
        <v>75</v>
      </c>
      <c r="Q196" s="4">
        <v>4</v>
      </c>
      <c r="R196" s="4" t="str">
        <f>TEXT(Table1[[#This Row],[Order Date]],"mmm")</f>
        <v>Mar</v>
      </c>
      <c r="S196" s="4" t="str">
        <f>TEXT(Table1[[#This Row],[Order Date]],"mm")</f>
        <v>03</v>
      </c>
      <c r="T196" s="4" t="str">
        <f>IF(Table1[[#This Row],[Sales]]&lt;0,"loss","profit")</f>
        <v>profit</v>
      </c>
      <c r="U196" s="4" t="str" cm="1">
        <f t="array" ref="U196">_xlfn.IFS(Table1[[#This Row],[Sales]]&gt;2000,"large",Table1[[#This Row],[Sales]]&gt;=500,"medium",Table1[[#This Row],[Sales]]&lt;500,"small")</f>
        <v>small</v>
      </c>
      <c r="V196" s="22">
        <f>Table1[[#This Row],[Profit]]/Table1[[#This Row],[Sales]]*100</f>
        <v>30.301218327229236</v>
      </c>
    </row>
    <row r="197" spans="1:22" x14ac:dyDescent="0.35">
      <c r="A197" s="4" t="s">
        <v>430</v>
      </c>
      <c r="B197" s="5">
        <v>45733</v>
      </c>
      <c r="C197" s="4" t="s">
        <v>431</v>
      </c>
      <c r="D197" s="4" t="s">
        <v>20</v>
      </c>
      <c r="E197" s="4" t="s">
        <v>29</v>
      </c>
      <c r="F197" s="4" t="s">
        <v>30</v>
      </c>
      <c r="G197" s="4" t="s">
        <v>31</v>
      </c>
      <c r="H197" s="4" t="s">
        <v>125</v>
      </c>
      <c r="I197" s="4">
        <v>2</v>
      </c>
      <c r="J197" s="6">
        <v>180.37</v>
      </c>
      <c r="K197" s="7">
        <v>0</v>
      </c>
      <c r="L197" s="6">
        <f t="shared" si="6"/>
        <v>360.74</v>
      </c>
      <c r="M197" s="6">
        <v>117.49</v>
      </c>
      <c r="N197" s="8">
        <f t="shared" si="7"/>
        <v>125.76000000000002</v>
      </c>
      <c r="O197" s="4" t="s">
        <v>84</v>
      </c>
      <c r="P197" s="4" t="s">
        <v>61</v>
      </c>
      <c r="Q197" s="4">
        <v>4</v>
      </c>
      <c r="R197" s="4" t="str">
        <f>TEXT(Table1[[#This Row],[Order Date]],"mmm")</f>
        <v>Mar</v>
      </c>
      <c r="S197" s="4" t="str">
        <f>TEXT(Table1[[#This Row],[Order Date]],"mm")</f>
        <v>03</v>
      </c>
      <c r="T197" s="4" t="str">
        <f>IF(Table1[[#This Row],[Sales]]&lt;0,"loss","profit")</f>
        <v>profit</v>
      </c>
      <c r="U197" s="4" t="str" cm="1">
        <f t="array" ref="U197">_xlfn.IFS(Table1[[#This Row],[Sales]]&gt;2000,"large",Table1[[#This Row],[Sales]]&gt;=500,"medium",Table1[[#This Row],[Sales]]&lt;500,"small")</f>
        <v>small</v>
      </c>
      <c r="V197" s="22">
        <f>Table1[[#This Row],[Profit]]/Table1[[#This Row],[Sales]]*100</f>
        <v>34.861673227255089</v>
      </c>
    </row>
    <row r="198" spans="1:22" x14ac:dyDescent="0.35">
      <c r="A198" s="4" t="s">
        <v>432</v>
      </c>
      <c r="B198" s="5">
        <v>45733</v>
      </c>
      <c r="C198" s="4" t="s">
        <v>42</v>
      </c>
      <c r="D198" s="4" t="s">
        <v>20</v>
      </c>
      <c r="E198" s="4" t="s">
        <v>21</v>
      </c>
      <c r="F198" s="4" t="s">
        <v>22</v>
      </c>
      <c r="G198" s="4" t="s">
        <v>31</v>
      </c>
      <c r="H198" s="4" t="s">
        <v>147</v>
      </c>
      <c r="I198" s="4">
        <v>2</v>
      </c>
      <c r="J198" s="6">
        <v>53.02</v>
      </c>
      <c r="K198" s="7">
        <v>0.15</v>
      </c>
      <c r="L198" s="6">
        <f t="shared" si="6"/>
        <v>90.134</v>
      </c>
      <c r="M198" s="6">
        <v>36.39</v>
      </c>
      <c r="N198" s="8">
        <f t="shared" si="7"/>
        <v>17.353999999999999</v>
      </c>
      <c r="O198" s="4" t="s">
        <v>60</v>
      </c>
      <c r="P198" s="4" t="s">
        <v>56</v>
      </c>
      <c r="Q198" s="4">
        <v>4</v>
      </c>
      <c r="R198" s="4" t="str">
        <f>TEXT(Table1[[#This Row],[Order Date]],"mmm")</f>
        <v>Mar</v>
      </c>
      <c r="S198" s="4" t="str">
        <f>TEXT(Table1[[#This Row],[Order Date]],"mm")</f>
        <v>03</v>
      </c>
      <c r="T198" s="4" t="str">
        <f>IF(Table1[[#This Row],[Sales]]&lt;0,"loss","profit")</f>
        <v>profit</v>
      </c>
      <c r="U198" s="4" t="str" cm="1">
        <f t="array" ref="U198">_xlfn.IFS(Table1[[#This Row],[Sales]]&gt;2000,"large",Table1[[#This Row],[Sales]]&gt;=500,"medium",Table1[[#This Row],[Sales]]&lt;500,"small")</f>
        <v>small</v>
      </c>
      <c r="V198" s="22">
        <f>Table1[[#This Row],[Profit]]/Table1[[#This Row],[Sales]]*100</f>
        <v>19.253555816894842</v>
      </c>
    </row>
    <row r="199" spans="1:22" x14ac:dyDescent="0.35">
      <c r="A199" s="4" t="s">
        <v>433</v>
      </c>
      <c r="B199" s="5">
        <v>45733</v>
      </c>
      <c r="C199" s="4" t="s">
        <v>83</v>
      </c>
      <c r="D199" s="4" t="s">
        <v>43</v>
      </c>
      <c r="E199" s="4" t="s">
        <v>87</v>
      </c>
      <c r="F199" s="4" t="s">
        <v>124</v>
      </c>
      <c r="G199" s="4" t="s">
        <v>49</v>
      </c>
      <c r="H199" s="4" t="s">
        <v>187</v>
      </c>
      <c r="I199" s="4">
        <v>6</v>
      </c>
      <c r="J199" s="6">
        <v>135.68</v>
      </c>
      <c r="K199" s="7">
        <v>0</v>
      </c>
      <c r="L199" s="6">
        <f t="shared" si="6"/>
        <v>814.08</v>
      </c>
      <c r="M199" s="6">
        <v>90.06</v>
      </c>
      <c r="N199" s="8">
        <f t="shared" si="7"/>
        <v>273.72000000000003</v>
      </c>
      <c r="O199" s="4" t="s">
        <v>84</v>
      </c>
      <c r="P199" s="4" t="s">
        <v>72</v>
      </c>
      <c r="Q199" s="4">
        <v>4</v>
      </c>
      <c r="R199" s="4" t="str">
        <f>TEXT(Table1[[#This Row],[Order Date]],"mmm")</f>
        <v>Mar</v>
      </c>
      <c r="S199" s="4" t="str">
        <f>TEXT(Table1[[#This Row],[Order Date]],"mm")</f>
        <v>03</v>
      </c>
      <c r="T199" s="4" t="str">
        <f>IF(Table1[[#This Row],[Sales]]&lt;0,"loss","profit")</f>
        <v>profit</v>
      </c>
      <c r="U199" s="4" t="str" cm="1">
        <f t="array" ref="U199">_xlfn.IFS(Table1[[#This Row],[Sales]]&gt;2000,"large",Table1[[#This Row],[Sales]]&gt;=500,"medium",Table1[[#This Row],[Sales]]&lt;500,"small")</f>
        <v>medium</v>
      </c>
      <c r="V199" s="22">
        <f>Table1[[#This Row],[Profit]]/Table1[[#This Row],[Sales]]*100</f>
        <v>33.623231132075468</v>
      </c>
    </row>
    <row r="200" spans="1:22" x14ac:dyDescent="0.35">
      <c r="A200" s="4" t="s">
        <v>434</v>
      </c>
      <c r="B200" s="5">
        <v>45734</v>
      </c>
      <c r="C200" s="4" t="s">
        <v>435</v>
      </c>
      <c r="D200" s="4" t="s">
        <v>47</v>
      </c>
      <c r="E200" s="4" t="s">
        <v>21</v>
      </c>
      <c r="F200" s="4" t="s">
        <v>22</v>
      </c>
      <c r="G200" s="4" t="s">
        <v>23</v>
      </c>
      <c r="H200" s="4" t="s">
        <v>71</v>
      </c>
      <c r="I200" s="4">
        <v>2</v>
      </c>
      <c r="J200" s="6">
        <v>160.6</v>
      </c>
      <c r="K200" s="7">
        <v>0.05</v>
      </c>
      <c r="L200" s="6">
        <f t="shared" si="6"/>
        <v>305.14</v>
      </c>
      <c r="M200" s="6">
        <v>92.45</v>
      </c>
      <c r="N200" s="8">
        <f t="shared" si="7"/>
        <v>120.23999999999998</v>
      </c>
      <c r="O200" s="4" t="s">
        <v>60</v>
      </c>
      <c r="P200" s="4" t="s">
        <v>118</v>
      </c>
      <c r="Q200" s="4">
        <v>1</v>
      </c>
      <c r="R200" s="4" t="str">
        <f>TEXT(Table1[[#This Row],[Order Date]],"mmm")</f>
        <v>Mar</v>
      </c>
      <c r="S200" s="4" t="str">
        <f>TEXT(Table1[[#This Row],[Order Date]],"mm")</f>
        <v>03</v>
      </c>
      <c r="T200" s="4" t="str">
        <f>IF(Table1[[#This Row],[Sales]]&lt;0,"loss","profit")</f>
        <v>profit</v>
      </c>
      <c r="U200" s="4" t="str" cm="1">
        <f t="array" ref="U200">_xlfn.IFS(Table1[[#This Row],[Sales]]&gt;2000,"large",Table1[[#This Row],[Sales]]&gt;=500,"medium",Table1[[#This Row],[Sales]]&lt;500,"small")</f>
        <v>small</v>
      </c>
      <c r="V200" s="22">
        <f>Table1[[#This Row],[Profit]]/Table1[[#This Row],[Sales]]*100</f>
        <v>39.404863341417048</v>
      </c>
    </row>
    <row r="201" spans="1:22" x14ac:dyDescent="0.35">
      <c r="A201" s="4" t="s">
        <v>436</v>
      </c>
      <c r="B201" s="5">
        <v>45734</v>
      </c>
      <c r="C201" s="4" t="s">
        <v>437</v>
      </c>
      <c r="D201" s="4" t="s">
        <v>47</v>
      </c>
      <c r="E201" s="4" t="s">
        <v>87</v>
      </c>
      <c r="F201" s="4" t="s">
        <v>88</v>
      </c>
      <c r="G201" s="4" t="s">
        <v>38</v>
      </c>
      <c r="H201" s="4" t="s">
        <v>39</v>
      </c>
      <c r="I201" s="4">
        <v>3</v>
      </c>
      <c r="J201" s="6">
        <v>257.72000000000003</v>
      </c>
      <c r="K201" s="7">
        <v>0.2</v>
      </c>
      <c r="L201" s="6">
        <f t="shared" si="6"/>
        <v>618.52800000000013</v>
      </c>
      <c r="M201" s="6">
        <v>228.2</v>
      </c>
      <c r="N201" s="8">
        <f t="shared" si="7"/>
        <v>-66.071999999999775</v>
      </c>
      <c r="O201" s="4" t="s">
        <v>25</v>
      </c>
      <c r="P201" s="4" t="s">
        <v>97</v>
      </c>
      <c r="Q201" s="4">
        <v>4</v>
      </c>
      <c r="R201" s="4" t="str">
        <f>TEXT(Table1[[#This Row],[Order Date]],"mmm")</f>
        <v>Mar</v>
      </c>
      <c r="S201" s="4" t="str">
        <f>TEXT(Table1[[#This Row],[Order Date]],"mm")</f>
        <v>03</v>
      </c>
      <c r="T201" s="4" t="str">
        <f>IF(Table1[[#This Row],[Sales]]&lt;0,"loss","profit")</f>
        <v>profit</v>
      </c>
      <c r="U201" s="4" t="str" cm="1">
        <f t="array" ref="U201">_xlfn.IFS(Table1[[#This Row],[Sales]]&gt;2000,"large",Table1[[#This Row],[Sales]]&gt;=500,"medium",Table1[[#This Row],[Sales]]&lt;500,"small")</f>
        <v>medium</v>
      </c>
      <c r="V201" s="22">
        <f>Table1[[#This Row],[Profit]]/Table1[[#This Row],[Sales]]*100</f>
        <v>-10.682135651094173</v>
      </c>
    </row>
    <row r="202" spans="1:22" x14ac:dyDescent="0.35">
      <c r="A202" s="4" t="s">
        <v>438</v>
      </c>
      <c r="B202" s="5">
        <v>45735</v>
      </c>
      <c r="C202" s="4" t="s">
        <v>264</v>
      </c>
      <c r="D202" s="4" t="s">
        <v>47</v>
      </c>
      <c r="E202" s="4" t="s">
        <v>87</v>
      </c>
      <c r="F202" s="4" t="s">
        <v>92</v>
      </c>
      <c r="G202" s="4" t="s">
        <v>49</v>
      </c>
      <c r="H202" s="4" t="s">
        <v>78</v>
      </c>
      <c r="I202" s="4">
        <v>6</v>
      </c>
      <c r="J202" s="6">
        <v>209.24</v>
      </c>
      <c r="K202" s="7">
        <v>0</v>
      </c>
      <c r="L202" s="6">
        <f t="shared" si="6"/>
        <v>1255.44</v>
      </c>
      <c r="M202" s="6">
        <v>134.16</v>
      </c>
      <c r="N202" s="8">
        <f t="shared" si="7"/>
        <v>450.48</v>
      </c>
      <c r="O202" s="4" t="s">
        <v>25</v>
      </c>
      <c r="P202" s="4" t="s">
        <v>26</v>
      </c>
      <c r="Q202" s="4">
        <v>4</v>
      </c>
      <c r="R202" s="4" t="str">
        <f>TEXT(Table1[[#This Row],[Order Date]],"mmm")</f>
        <v>Mar</v>
      </c>
      <c r="S202" s="4" t="str">
        <f>TEXT(Table1[[#This Row],[Order Date]],"mm")</f>
        <v>03</v>
      </c>
      <c r="T202" s="4" t="str">
        <f>IF(Table1[[#This Row],[Sales]]&lt;0,"loss","profit")</f>
        <v>profit</v>
      </c>
      <c r="U202" s="4" t="str" cm="1">
        <f t="array" ref="U202">_xlfn.IFS(Table1[[#This Row],[Sales]]&gt;2000,"large",Table1[[#This Row],[Sales]]&gt;=500,"medium",Table1[[#This Row],[Sales]]&lt;500,"small")</f>
        <v>medium</v>
      </c>
      <c r="V202" s="22">
        <f>Table1[[#This Row],[Profit]]/Table1[[#This Row],[Sales]]*100</f>
        <v>35.882240489390171</v>
      </c>
    </row>
    <row r="203" spans="1:22" x14ac:dyDescent="0.35">
      <c r="A203" s="4" t="s">
        <v>439</v>
      </c>
      <c r="B203" s="5">
        <v>45735</v>
      </c>
      <c r="C203" s="4" t="s">
        <v>245</v>
      </c>
      <c r="D203" s="4" t="s">
        <v>20</v>
      </c>
      <c r="E203" s="4" t="s">
        <v>21</v>
      </c>
      <c r="F203" s="4" t="s">
        <v>22</v>
      </c>
      <c r="G203" s="4" t="s">
        <v>38</v>
      </c>
      <c r="H203" s="4" t="s">
        <v>55</v>
      </c>
      <c r="I203" s="4">
        <v>3</v>
      </c>
      <c r="J203" s="6">
        <v>182.35</v>
      </c>
      <c r="K203" s="7">
        <v>0.15</v>
      </c>
      <c r="L203" s="6">
        <f t="shared" si="6"/>
        <v>464.99249999999995</v>
      </c>
      <c r="M203" s="6">
        <v>159.97999999999999</v>
      </c>
      <c r="N203" s="8">
        <f t="shared" si="7"/>
        <v>-14.947499999999991</v>
      </c>
      <c r="O203" s="4" t="s">
        <v>84</v>
      </c>
      <c r="P203" s="4" t="s">
        <v>75</v>
      </c>
      <c r="Q203" s="4">
        <v>5</v>
      </c>
      <c r="R203" s="4" t="str">
        <f>TEXT(Table1[[#This Row],[Order Date]],"mmm")</f>
        <v>Mar</v>
      </c>
      <c r="S203" s="4" t="str">
        <f>TEXT(Table1[[#This Row],[Order Date]],"mm")</f>
        <v>03</v>
      </c>
      <c r="T203" s="4" t="str">
        <f>IF(Table1[[#This Row],[Sales]]&lt;0,"loss","profit")</f>
        <v>profit</v>
      </c>
      <c r="U203" s="4" t="str" cm="1">
        <f t="array" ref="U203">_xlfn.IFS(Table1[[#This Row],[Sales]]&gt;2000,"large",Table1[[#This Row],[Sales]]&gt;=500,"medium",Table1[[#This Row],[Sales]]&lt;500,"small")</f>
        <v>small</v>
      </c>
      <c r="V203" s="22">
        <f>Table1[[#This Row],[Profit]]/Table1[[#This Row],[Sales]]*100</f>
        <v>-3.2145679769028517</v>
      </c>
    </row>
    <row r="204" spans="1:22" x14ac:dyDescent="0.35">
      <c r="A204" s="4" t="s">
        <v>440</v>
      </c>
      <c r="B204" s="5">
        <v>45736</v>
      </c>
      <c r="C204" s="4" t="s">
        <v>189</v>
      </c>
      <c r="D204" s="4" t="s">
        <v>43</v>
      </c>
      <c r="E204" s="4" t="s">
        <v>29</v>
      </c>
      <c r="F204" s="4" t="s">
        <v>108</v>
      </c>
      <c r="G204" s="4" t="s">
        <v>31</v>
      </c>
      <c r="H204" s="4" t="s">
        <v>32</v>
      </c>
      <c r="I204" s="4">
        <v>6</v>
      </c>
      <c r="J204" s="6">
        <v>388.66</v>
      </c>
      <c r="K204" s="7">
        <v>0.05</v>
      </c>
      <c r="L204" s="6">
        <f t="shared" si="6"/>
        <v>2215.3620000000001</v>
      </c>
      <c r="M204" s="6">
        <v>238.09</v>
      </c>
      <c r="N204" s="8">
        <f t="shared" si="7"/>
        <v>786.82200000000012</v>
      </c>
      <c r="O204" s="4" t="s">
        <v>60</v>
      </c>
      <c r="P204" s="4" t="s">
        <v>61</v>
      </c>
      <c r="Q204" s="4">
        <v>3</v>
      </c>
      <c r="R204" s="4" t="str">
        <f>TEXT(Table1[[#This Row],[Order Date]],"mmm")</f>
        <v>Mar</v>
      </c>
      <c r="S204" s="4" t="str">
        <f>TEXT(Table1[[#This Row],[Order Date]],"mm")</f>
        <v>03</v>
      </c>
      <c r="T204" s="4" t="str">
        <f>IF(Table1[[#This Row],[Sales]]&lt;0,"loss","profit")</f>
        <v>profit</v>
      </c>
      <c r="U204" s="4" t="str" cm="1">
        <f t="array" ref="U204">_xlfn.IFS(Table1[[#This Row],[Sales]]&gt;2000,"large",Table1[[#This Row],[Sales]]&gt;=500,"medium",Table1[[#This Row],[Sales]]&lt;500,"small")</f>
        <v>large</v>
      </c>
      <c r="V204" s="22">
        <f>Table1[[#This Row],[Profit]]/Table1[[#This Row],[Sales]]*100</f>
        <v>35.516633398965951</v>
      </c>
    </row>
    <row r="205" spans="1:22" x14ac:dyDescent="0.35">
      <c r="A205" s="4" t="s">
        <v>441</v>
      </c>
      <c r="B205" s="5">
        <v>45736</v>
      </c>
      <c r="C205" s="4" t="s">
        <v>442</v>
      </c>
      <c r="D205" s="4" t="s">
        <v>43</v>
      </c>
      <c r="E205" s="4" t="s">
        <v>87</v>
      </c>
      <c r="F205" s="4" t="s">
        <v>88</v>
      </c>
      <c r="G205" s="4" t="s">
        <v>31</v>
      </c>
      <c r="H205" s="4" t="s">
        <v>125</v>
      </c>
      <c r="I205" s="4">
        <v>1</v>
      </c>
      <c r="J205" s="6">
        <v>191.34</v>
      </c>
      <c r="K205" s="7">
        <v>0.05</v>
      </c>
      <c r="L205" s="6">
        <f t="shared" si="6"/>
        <v>181.773</v>
      </c>
      <c r="M205" s="6">
        <v>137.11000000000001</v>
      </c>
      <c r="N205" s="8">
        <f t="shared" si="7"/>
        <v>44.662999999999982</v>
      </c>
      <c r="O205" s="4" t="s">
        <v>84</v>
      </c>
      <c r="P205" s="4" t="s">
        <v>61</v>
      </c>
      <c r="Q205" s="4">
        <v>5</v>
      </c>
      <c r="R205" s="4" t="str">
        <f>TEXT(Table1[[#This Row],[Order Date]],"mmm")</f>
        <v>Mar</v>
      </c>
      <c r="S205" s="4" t="str">
        <f>TEXT(Table1[[#This Row],[Order Date]],"mm")</f>
        <v>03</v>
      </c>
      <c r="T205" s="4" t="str">
        <f>IF(Table1[[#This Row],[Sales]]&lt;0,"loss","profit")</f>
        <v>profit</v>
      </c>
      <c r="U205" s="4" t="str" cm="1">
        <f t="array" ref="U205">_xlfn.IFS(Table1[[#This Row],[Sales]]&gt;2000,"large",Table1[[#This Row],[Sales]]&gt;=500,"medium",Table1[[#This Row],[Sales]]&lt;500,"small")</f>
        <v>small</v>
      </c>
      <c r="V205" s="22">
        <f>Table1[[#This Row],[Profit]]/Table1[[#This Row],[Sales]]*100</f>
        <v>24.57075583282445</v>
      </c>
    </row>
    <row r="206" spans="1:22" x14ac:dyDescent="0.35">
      <c r="A206" s="4" t="s">
        <v>443</v>
      </c>
      <c r="B206" s="5">
        <v>45736</v>
      </c>
      <c r="C206" s="4" t="s">
        <v>444</v>
      </c>
      <c r="D206" s="4" t="s">
        <v>20</v>
      </c>
      <c r="E206" s="4" t="s">
        <v>36</v>
      </c>
      <c r="F206" s="4" t="s">
        <v>201</v>
      </c>
      <c r="G206" s="4" t="s">
        <v>67</v>
      </c>
      <c r="H206" s="4" t="s">
        <v>121</v>
      </c>
      <c r="I206" s="4">
        <v>2</v>
      </c>
      <c r="J206" s="6">
        <v>112.2</v>
      </c>
      <c r="K206" s="7">
        <v>0.15</v>
      </c>
      <c r="L206" s="6">
        <f t="shared" si="6"/>
        <v>190.74</v>
      </c>
      <c r="M206" s="6">
        <v>77.28</v>
      </c>
      <c r="N206" s="8">
        <f t="shared" si="7"/>
        <v>36.180000000000007</v>
      </c>
      <c r="O206" s="4" t="s">
        <v>51</v>
      </c>
      <c r="P206" s="4" t="s">
        <v>97</v>
      </c>
      <c r="Q206" s="4">
        <v>2</v>
      </c>
      <c r="R206" s="4" t="str">
        <f>TEXT(Table1[[#This Row],[Order Date]],"mmm")</f>
        <v>Mar</v>
      </c>
      <c r="S206" s="4" t="str">
        <f>TEXT(Table1[[#This Row],[Order Date]],"mm")</f>
        <v>03</v>
      </c>
      <c r="T206" s="4" t="str">
        <f>IF(Table1[[#This Row],[Sales]]&lt;0,"loss","profit")</f>
        <v>profit</v>
      </c>
      <c r="U206" s="4" t="str" cm="1">
        <f t="array" ref="U206">_xlfn.IFS(Table1[[#This Row],[Sales]]&gt;2000,"large",Table1[[#This Row],[Sales]]&gt;=500,"medium",Table1[[#This Row],[Sales]]&lt;500,"small")</f>
        <v>small</v>
      </c>
      <c r="V206" s="22">
        <f>Table1[[#This Row],[Profit]]/Table1[[#This Row],[Sales]]*100</f>
        <v>18.968229002831084</v>
      </c>
    </row>
    <row r="207" spans="1:22" x14ac:dyDescent="0.35">
      <c r="A207" s="4" t="s">
        <v>445</v>
      </c>
      <c r="B207" s="5">
        <v>45736</v>
      </c>
      <c r="C207" s="4" t="s">
        <v>446</v>
      </c>
      <c r="D207" s="4" t="s">
        <v>20</v>
      </c>
      <c r="E207" s="4" t="s">
        <v>21</v>
      </c>
      <c r="F207" s="4" t="s">
        <v>22</v>
      </c>
      <c r="G207" s="4" t="s">
        <v>38</v>
      </c>
      <c r="H207" s="4" t="s">
        <v>39</v>
      </c>
      <c r="I207" s="4">
        <v>3</v>
      </c>
      <c r="J207" s="6">
        <v>297.54000000000002</v>
      </c>
      <c r="K207" s="7">
        <v>0</v>
      </c>
      <c r="L207" s="6">
        <f t="shared" si="6"/>
        <v>892.62000000000012</v>
      </c>
      <c r="M207" s="6">
        <v>233.94</v>
      </c>
      <c r="N207" s="8">
        <f t="shared" si="7"/>
        <v>190.80000000000018</v>
      </c>
      <c r="O207" s="4" t="s">
        <v>25</v>
      </c>
      <c r="P207" s="4" t="s">
        <v>97</v>
      </c>
      <c r="Q207" s="4">
        <v>3</v>
      </c>
      <c r="R207" s="4" t="str">
        <f>TEXT(Table1[[#This Row],[Order Date]],"mmm")</f>
        <v>Mar</v>
      </c>
      <c r="S207" s="4" t="str">
        <f>TEXT(Table1[[#This Row],[Order Date]],"mm")</f>
        <v>03</v>
      </c>
      <c r="T207" s="4" t="str">
        <f>IF(Table1[[#This Row],[Sales]]&lt;0,"loss","profit")</f>
        <v>profit</v>
      </c>
      <c r="U207" s="4" t="str" cm="1">
        <f t="array" ref="U207">_xlfn.IFS(Table1[[#This Row],[Sales]]&gt;2000,"large",Table1[[#This Row],[Sales]]&gt;=500,"medium",Table1[[#This Row],[Sales]]&lt;500,"small")</f>
        <v>medium</v>
      </c>
      <c r="V207" s="22">
        <f>Table1[[#This Row],[Profit]]/Table1[[#This Row],[Sales]]*100</f>
        <v>21.375277273643896</v>
      </c>
    </row>
    <row r="208" spans="1:22" x14ac:dyDescent="0.35">
      <c r="A208" s="4" t="s">
        <v>447</v>
      </c>
      <c r="B208" s="5">
        <v>45736</v>
      </c>
      <c r="C208" s="4" t="s">
        <v>448</v>
      </c>
      <c r="D208" s="4" t="s">
        <v>43</v>
      </c>
      <c r="E208" s="4" t="s">
        <v>87</v>
      </c>
      <c r="F208" s="4" t="s">
        <v>124</v>
      </c>
      <c r="G208" s="4" t="s">
        <v>31</v>
      </c>
      <c r="H208" s="4" t="s">
        <v>32</v>
      </c>
      <c r="I208" s="4">
        <v>3</v>
      </c>
      <c r="J208" s="6">
        <v>82.36</v>
      </c>
      <c r="K208" s="7">
        <v>0.1</v>
      </c>
      <c r="L208" s="6">
        <f t="shared" si="6"/>
        <v>222.37199999999999</v>
      </c>
      <c r="M208" s="6">
        <v>57.23</v>
      </c>
      <c r="N208" s="8">
        <f t="shared" si="7"/>
        <v>50.681999999999988</v>
      </c>
      <c r="O208" s="4" t="s">
        <v>25</v>
      </c>
      <c r="P208" s="4" t="s">
        <v>72</v>
      </c>
      <c r="Q208" s="4">
        <v>2</v>
      </c>
      <c r="R208" s="4" t="str">
        <f>TEXT(Table1[[#This Row],[Order Date]],"mmm")</f>
        <v>Mar</v>
      </c>
      <c r="S208" s="4" t="str">
        <f>TEXT(Table1[[#This Row],[Order Date]],"mm")</f>
        <v>03</v>
      </c>
      <c r="T208" s="4" t="str">
        <f>IF(Table1[[#This Row],[Sales]]&lt;0,"loss","profit")</f>
        <v>profit</v>
      </c>
      <c r="U208" s="4" t="str" cm="1">
        <f t="array" ref="U208">_xlfn.IFS(Table1[[#This Row],[Sales]]&gt;2000,"large",Table1[[#This Row],[Sales]]&gt;=500,"medium",Table1[[#This Row],[Sales]]&lt;500,"small")</f>
        <v>small</v>
      </c>
      <c r="V208" s="22">
        <f>Table1[[#This Row],[Profit]]/Table1[[#This Row],[Sales]]*100</f>
        <v>22.79153850304894</v>
      </c>
    </row>
    <row r="209" spans="1:22" x14ac:dyDescent="0.35">
      <c r="A209" s="4" t="s">
        <v>449</v>
      </c>
      <c r="B209" s="5">
        <v>45737</v>
      </c>
      <c r="C209" s="4" t="s">
        <v>450</v>
      </c>
      <c r="D209" s="4" t="s">
        <v>20</v>
      </c>
      <c r="E209" s="4" t="s">
        <v>36</v>
      </c>
      <c r="F209" s="4" t="s">
        <v>201</v>
      </c>
      <c r="G209" s="4" t="s">
        <v>23</v>
      </c>
      <c r="H209" s="4" t="s">
        <v>71</v>
      </c>
      <c r="I209" s="4">
        <v>1</v>
      </c>
      <c r="J209" s="6">
        <v>201.98</v>
      </c>
      <c r="K209" s="7">
        <v>0.05</v>
      </c>
      <c r="L209" s="6">
        <f t="shared" si="6"/>
        <v>191.88099999999997</v>
      </c>
      <c r="M209" s="6">
        <v>130.27000000000001</v>
      </c>
      <c r="N209" s="8">
        <f t="shared" si="7"/>
        <v>61.610999999999962</v>
      </c>
      <c r="O209" s="4" t="s">
        <v>60</v>
      </c>
      <c r="P209" s="4" t="s">
        <v>72</v>
      </c>
      <c r="Q209" s="4">
        <v>3</v>
      </c>
      <c r="R209" s="4" t="str">
        <f>TEXT(Table1[[#This Row],[Order Date]],"mmm")</f>
        <v>Mar</v>
      </c>
      <c r="S209" s="4" t="str">
        <f>TEXT(Table1[[#This Row],[Order Date]],"mm")</f>
        <v>03</v>
      </c>
      <c r="T209" s="4" t="str">
        <f>IF(Table1[[#This Row],[Sales]]&lt;0,"loss","profit")</f>
        <v>profit</v>
      </c>
      <c r="U209" s="4" t="str" cm="1">
        <f t="array" ref="U209">_xlfn.IFS(Table1[[#This Row],[Sales]]&gt;2000,"large",Table1[[#This Row],[Sales]]&gt;=500,"medium",Table1[[#This Row],[Sales]]&lt;500,"small")</f>
        <v>small</v>
      </c>
      <c r="V209" s="22">
        <f>Table1[[#This Row],[Profit]]/Table1[[#This Row],[Sales]]*100</f>
        <v>32.10896336792073</v>
      </c>
    </row>
    <row r="210" spans="1:22" x14ac:dyDescent="0.35">
      <c r="A210" s="4" t="s">
        <v>451</v>
      </c>
      <c r="B210" s="5">
        <v>45737</v>
      </c>
      <c r="C210" s="4" t="s">
        <v>452</v>
      </c>
      <c r="D210" s="4" t="s">
        <v>43</v>
      </c>
      <c r="E210" s="4" t="s">
        <v>29</v>
      </c>
      <c r="F210" s="4" t="s">
        <v>108</v>
      </c>
      <c r="G210" s="4" t="s">
        <v>49</v>
      </c>
      <c r="H210" s="4" t="s">
        <v>187</v>
      </c>
      <c r="I210" s="4">
        <v>3</v>
      </c>
      <c r="J210" s="6">
        <v>146.1</v>
      </c>
      <c r="K210" s="7">
        <v>0</v>
      </c>
      <c r="L210" s="6">
        <f t="shared" si="6"/>
        <v>438.29999999999995</v>
      </c>
      <c r="M210" s="6">
        <v>100.2</v>
      </c>
      <c r="N210" s="8">
        <f t="shared" si="7"/>
        <v>137.69999999999993</v>
      </c>
      <c r="O210" s="4" t="s">
        <v>40</v>
      </c>
      <c r="P210" s="4" t="s">
        <v>118</v>
      </c>
      <c r="Q210" s="4">
        <v>5</v>
      </c>
      <c r="R210" s="4" t="str">
        <f>TEXT(Table1[[#This Row],[Order Date]],"mmm")</f>
        <v>Mar</v>
      </c>
      <c r="S210" s="4" t="str">
        <f>TEXT(Table1[[#This Row],[Order Date]],"mm")</f>
        <v>03</v>
      </c>
      <c r="T210" s="4" t="str">
        <f>IF(Table1[[#This Row],[Sales]]&lt;0,"loss","profit")</f>
        <v>profit</v>
      </c>
      <c r="U210" s="4" t="str" cm="1">
        <f t="array" ref="U210">_xlfn.IFS(Table1[[#This Row],[Sales]]&gt;2000,"large",Table1[[#This Row],[Sales]]&gt;=500,"medium",Table1[[#This Row],[Sales]]&lt;500,"small")</f>
        <v>small</v>
      </c>
      <c r="V210" s="22">
        <f>Table1[[#This Row],[Profit]]/Table1[[#This Row],[Sales]]*100</f>
        <v>31.416837782340849</v>
      </c>
    </row>
    <row r="211" spans="1:22" x14ac:dyDescent="0.35">
      <c r="A211" s="4" t="s">
        <v>453</v>
      </c>
      <c r="B211" s="5">
        <v>45737</v>
      </c>
      <c r="C211" s="4" t="s">
        <v>237</v>
      </c>
      <c r="D211" s="4" t="s">
        <v>47</v>
      </c>
      <c r="E211" s="4" t="s">
        <v>29</v>
      </c>
      <c r="F211" s="4" t="s">
        <v>54</v>
      </c>
      <c r="G211" s="4" t="s">
        <v>23</v>
      </c>
      <c r="H211" s="4" t="s">
        <v>24</v>
      </c>
      <c r="I211" s="4">
        <v>4</v>
      </c>
      <c r="J211" s="6">
        <v>29.27</v>
      </c>
      <c r="K211" s="7">
        <v>0.05</v>
      </c>
      <c r="L211" s="6">
        <f t="shared" si="6"/>
        <v>111.226</v>
      </c>
      <c r="M211" s="6">
        <v>13.83</v>
      </c>
      <c r="N211" s="8">
        <f t="shared" si="7"/>
        <v>55.905999999999999</v>
      </c>
      <c r="O211" s="4" t="s">
        <v>84</v>
      </c>
      <c r="P211" s="4" t="s">
        <v>72</v>
      </c>
      <c r="Q211" s="4">
        <v>5</v>
      </c>
      <c r="R211" s="4" t="str">
        <f>TEXT(Table1[[#This Row],[Order Date]],"mmm")</f>
        <v>Mar</v>
      </c>
      <c r="S211" s="4" t="str">
        <f>TEXT(Table1[[#This Row],[Order Date]],"mm")</f>
        <v>03</v>
      </c>
      <c r="T211" s="4" t="str">
        <f>IF(Table1[[#This Row],[Sales]]&lt;0,"loss","profit")</f>
        <v>profit</v>
      </c>
      <c r="U211" s="4" t="str" cm="1">
        <f t="array" ref="U211">_xlfn.IFS(Table1[[#This Row],[Sales]]&gt;2000,"large",Table1[[#This Row],[Sales]]&gt;=500,"medium",Table1[[#This Row],[Sales]]&lt;500,"small")</f>
        <v>small</v>
      </c>
      <c r="V211" s="22">
        <f>Table1[[#This Row],[Profit]]/Table1[[#This Row],[Sales]]*100</f>
        <v>50.263427615845217</v>
      </c>
    </row>
    <row r="212" spans="1:22" x14ac:dyDescent="0.35">
      <c r="A212" s="4" t="s">
        <v>454</v>
      </c>
      <c r="B212" s="5">
        <v>45737</v>
      </c>
      <c r="C212" s="4" t="s">
        <v>280</v>
      </c>
      <c r="D212" s="4" t="s">
        <v>20</v>
      </c>
      <c r="E212" s="4" t="s">
        <v>36</v>
      </c>
      <c r="F212" s="4" t="s">
        <v>37</v>
      </c>
      <c r="G212" s="4" t="s">
        <v>38</v>
      </c>
      <c r="H212" s="4" t="s">
        <v>89</v>
      </c>
      <c r="I212" s="4">
        <v>1</v>
      </c>
      <c r="J212" s="6">
        <v>837.12</v>
      </c>
      <c r="K212" s="7">
        <v>0</v>
      </c>
      <c r="L212" s="6">
        <f t="shared" si="6"/>
        <v>837.12</v>
      </c>
      <c r="M212" s="6">
        <v>696.09</v>
      </c>
      <c r="N212" s="8">
        <f t="shared" si="7"/>
        <v>141.02999999999997</v>
      </c>
      <c r="O212" s="4" t="s">
        <v>40</v>
      </c>
      <c r="P212" s="4" t="s">
        <v>56</v>
      </c>
      <c r="Q212" s="4">
        <v>4</v>
      </c>
      <c r="R212" s="4" t="str">
        <f>TEXT(Table1[[#This Row],[Order Date]],"mmm")</f>
        <v>Mar</v>
      </c>
      <c r="S212" s="4" t="str">
        <f>TEXT(Table1[[#This Row],[Order Date]],"mm")</f>
        <v>03</v>
      </c>
      <c r="T212" s="4" t="str">
        <f>IF(Table1[[#This Row],[Sales]]&lt;0,"loss","profit")</f>
        <v>profit</v>
      </c>
      <c r="U212" s="4" t="str" cm="1">
        <f t="array" ref="U212">_xlfn.IFS(Table1[[#This Row],[Sales]]&gt;2000,"large",Table1[[#This Row],[Sales]]&gt;=500,"medium",Table1[[#This Row],[Sales]]&lt;500,"small")</f>
        <v>medium</v>
      </c>
      <c r="V212" s="22">
        <f>Table1[[#This Row],[Profit]]/Table1[[#This Row],[Sales]]*100</f>
        <v>16.847047018348622</v>
      </c>
    </row>
    <row r="213" spans="1:22" x14ac:dyDescent="0.35">
      <c r="A213" s="4" t="s">
        <v>455</v>
      </c>
      <c r="B213" s="5">
        <v>45738</v>
      </c>
      <c r="C213" s="4" t="s">
        <v>456</v>
      </c>
      <c r="D213" s="4" t="s">
        <v>20</v>
      </c>
      <c r="E213" s="4" t="s">
        <v>29</v>
      </c>
      <c r="F213" s="4" t="s">
        <v>108</v>
      </c>
      <c r="G213" s="4" t="s">
        <v>38</v>
      </c>
      <c r="H213" s="4" t="s">
        <v>96</v>
      </c>
      <c r="I213" s="4">
        <v>3</v>
      </c>
      <c r="J213" s="6">
        <v>476.72</v>
      </c>
      <c r="K213" s="7">
        <v>0</v>
      </c>
      <c r="L213" s="6">
        <f t="shared" si="6"/>
        <v>1430.16</v>
      </c>
      <c r="M213" s="6">
        <v>416.35</v>
      </c>
      <c r="N213" s="8">
        <f t="shared" si="7"/>
        <v>181.1099999999999</v>
      </c>
      <c r="O213" s="4" t="s">
        <v>60</v>
      </c>
      <c r="P213" s="4" t="s">
        <v>33</v>
      </c>
      <c r="Q213" s="4">
        <v>1</v>
      </c>
      <c r="R213" s="4" t="str">
        <f>TEXT(Table1[[#This Row],[Order Date]],"mmm")</f>
        <v>Mar</v>
      </c>
      <c r="S213" s="4" t="str">
        <f>TEXT(Table1[[#This Row],[Order Date]],"mm")</f>
        <v>03</v>
      </c>
      <c r="T213" s="4" t="str">
        <f>IF(Table1[[#This Row],[Sales]]&lt;0,"loss","profit")</f>
        <v>profit</v>
      </c>
      <c r="U213" s="4" t="str" cm="1">
        <f t="array" ref="U213">_xlfn.IFS(Table1[[#This Row],[Sales]]&gt;2000,"large",Table1[[#This Row],[Sales]]&gt;=500,"medium",Table1[[#This Row],[Sales]]&lt;500,"small")</f>
        <v>medium</v>
      </c>
      <c r="V213" s="22">
        <f>Table1[[#This Row],[Profit]]/Table1[[#This Row],[Sales]]*100</f>
        <v>12.663618056720919</v>
      </c>
    </row>
    <row r="214" spans="1:22" x14ac:dyDescent="0.35">
      <c r="A214" s="4" t="s">
        <v>457</v>
      </c>
      <c r="B214" s="5">
        <v>45738</v>
      </c>
      <c r="C214" s="4" t="s">
        <v>74</v>
      </c>
      <c r="D214" s="4" t="s">
        <v>43</v>
      </c>
      <c r="E214" s="4" t="s">
        <v>87</v>
      </c>
      <c r="F214" s="4" t="s">
        <v>124</v>
      </c>
      <c r="G214" s="4" t="s">
        <v>38</v>
      </c>
      <c r="H214" s="4" t="s">
        <v>39</v>
      </c>
      <c r="I214" s="4">
        <v>1</v>
      </c>
      <c r="J214" s="6">
        <v>368.54</v>
      </c>
      <c r="K214" s="7">
        <v>0</v>
      </c>
      <c r="L214" s="6">
        <f t="shared" si="6"/>
        <v>368.54</v>
      </c>
      <c r="M214" s="6">
        <v>319.83999999999997</v>
      </c>
      <c r="N214" s="8">
        <f t="shared" si="7"/>
        <v>48.700000000000045</v>
      </c>
      <c r="O214" s="4" t="s">
        <v>51</v>
      </c>
      <c r="P214" s="4" t="s">
        <v>75</v>
      </c>
      <c r="Q214" s="4">
        <v>5</v>
      </c>
      <c r="R214" s="4" t="str">
        <f>TEXT(Table1[[#This Row],[Order Date]],"mmm")</f>
        <v>Mar</v>
      </c>
      <c r="S214" s="4" t="str">
        <f>TEXT(Table1[[#This Row],[Order Date]],"mm")</f>
        <v>03</v>
      </c>
      <c r="T214" s="4" t="str">
        <f>IF(Table1[[#This Row],[Sales]]&lt;0,"loss","profit")</f>
        <v>profit</v>
      </c>
      <c r="U214" s="4" t="str" cm="1">
        <f t="array" ref="U214">_xlfn.IFS(Table1[[#This Row],[Sales]]&gt;2000,"large",Table1[[#This Row],[Sales]]&gt;=500,"medium",Table1[[#This Row],[Sales]]&lt;500,"small")</f>
        <v>small</v>
      </c>
      <c r="V214" s="22">
        <f>Table1[[#This Row],[Profit]]/Table1[[#This Row],[Sales]]*100</f>
        <v>13.214305095783374</v>
      </c>
    </row>
    <row r="215" spans="1:22" x14ac:dyDescent="0.35">
      <c r="A215" s="4" t="s">
        <v>458</v>
      </c>
      <c r="B215" s="5">
        <v>45738</v>
      </c>
      <c r="C215" s="4" t="s">
        <v>459</v>
      </c>
      <c r="D215" s="4" t="s">
        <v>43</v>
      </c>
      <c r="E215" s="4" t="s">
        <v>87</v>
      </c>
      <c r="F215" s="4" t="s">
        <v>124</v>
      </c>
      <c r="G215" s="4" t="s">
        <v>49</v>
      </c>
      <c r="H215" s="4" t="s">
        <v>50</v>
      </c>
      <c r="I215" s="4">
        <v>5</v>
      </c>
      <c r="J215" s="6">
        <v>30.02</v>
      </c>
      <c r="K215" s="7">
        <v>0</v>
      </c>
      <c r="L215" s="6">
        <f t="shared" si="6"/>
        <v>150.1</v>
      </c>
      <c r="M215" s="6">
        <v>21.72</v>
      </c>
      <c r="N215" s="8">
        <f t="shared" si="7"/>
        <v>41.5</v>
      </c>
      <c r="O215" s="4" t="s">
        <v>25</v>
      </c>
      <c r="P215" s="4" t="s">
        <v>97</v>
      </c>
      <c r="Q215" s="4">
        <v>5</v>
      </c>
      <c r="R215" s="4" t="str">
        <f>TEXT(Table1[[#This Row],[Order Date]],"mmm")</f>
        <v>Mar</v>
      </c>
      <c r="S215" s="4" t="str">
        <f>TEXT(Table1[[#This Row],[Order Date]],"mm")</f>
        <v>03</v>
      </c>
      <c r="T215" s="4" t="str">
        <f>IF(Table1[[#This Row],[Sales]]&lt;0,"loss","profit")</f>
        <v>profit</v>
      </c>
      <c r="U215" s="4" t="str" cm="1">
        <f t="array" ref="U215">_xlfn.IFS(Table1[[#This Row],[Sales]]&gt;2000,"large",Table1[[#This Row],[Sales]]&gt;=500,"medium",Table1[[#This Row],[Sales]]&lt;500,"small")</f>
        <v>small</v>
      </c>
      <c r="V215" s="22">
        <f>Table1[[#This Row],[Profit]]/Table1[[#This Row],[Sales]]*100</f>
        <v>27.648234510326454</v>
      </c>
    </row>
    <row r="216" spans="1:22" x14ac:dyDescent="0.35">
      <c r="A216" s="4" t="s">
        <v>460</v>
      </c>
      <c r="B216" s="5">
        <v>45738</v>
      </c>
      <c r="C216" s="4" t="s">
        <v>400</v>
      </c>
      <c r="D216" s="4" t="s">
        <v>43</v>
      </c>
      <c r="E216" s="4" t="s">
        <v>29</v>
      </c>
      <c r="F216" s="4" t="s">
        <v>108</v>
      </c>
      <c r="G216" s="4" t="s">
        <v>49</v>
      </c>
      <c r="H216" s="4" t="s">
        <v>187</v>
      </c>
      <c r="I216" s="4">
        <v>1</v>
      </c>
      <c r="J216" s="6">
        <v>67.8</v>
      </c>
      <c r="K216" s="7">
        <v>0.05</v>
      </c>
      <c r="L216" s="6">
        <f t="shared" si="6"/>
        <v>64.41</v>
      </c>
      <c r="M216" s="6">
        <v>44.52</v>
      </c>
      <c r="N216" s="8">
        <f t="shared" si="7"/>
        <v>19.889999999999993</v>
      </c>
      <c r="O216" s="4" t="s">
        <v>51</v>
      </c>
      <c r="P216" s="4" t="s">
        <v>33</v>
      </c>
      <c r="Q216" s="4">
        <v>3</v>
      </c>
      <c r="R216" s="4" t="str">
        <f>TEXT(Table1[[#This Row],[Order Date]],"mmm")</f>
        <v>Mar</v>
      </c>
      <c r="S216" s="4" t="str">
        <f>TEXT(Table1[[#This Row],[Order Date]],"mm")</f>
        <v>03</v>
      </c>
      <c r="T216" s="4" t="str">
        <f>IF(Table1[[#This Row],[Sales]]&lt;0,"loss","profit")</f>
        <v>profit</v>
      </c>
      <c r="U216" s="4" t="str" cm="1">
        <f t="array" ref="U216">_xlfn.IFS(Table1[[#This Row],[Sales]]&gt;2000,"large",Table1[[#This Row],[Sales]]&gt;=500,"medium",Table1[[#This Row],[Sales]]&lt;500,"small")</f>
        <v>small</v>
      </c>
      <c r="V216" s="22">
        <f>Table1[[#This Row],[Profit]]/Table1[[#This Row],[Sales]]*100</f>
        <v>30.880298090358632</v>
      </c>
    </row>
    <row r="217" spans="1:22" x14ac:dyDescent="0.35">
      <c r="A217" s="4" t="s">
        <v>461</v>
      </c>
      <c r="B217" s="5">
        <v>45738</v>
      </c>
      <c r="C217" s="4" t="s">
        <v>74</v>
      </c>
      <c r="D217" s="4" t="s">
        <v>43</v>
      </c>
      <c r="E217" s="4" t="s">
        <v>36</v>
      </c>
      <c r="F217" s="4" t="s">
        <v>201</v>
      </c>
      <c r="G217" s="4" t="s">
        <v>38</v>
      </c>
      <c r="H217" s="4" t="s">
        <v>89</v>
      </c>
      <c r="I217" s="4">
        <v>1</v>
      </c>
      <c r="J217" s="6">
        <v>902.21</v>
      </c>
      <c r="K217" s="7">
        <v>0.1</v>
      </c>
      <c r="L217" s="6">
        <f t="shared" si="6"/>
        <v>811.98900000000003</v>
      </c>
      <c r="M217" s="6">
        <v>774.57</v>
      </c>
      <c r="N217" s="8">
        <f t="shared" si="7"/>
        <v>37.418999999999983</v>
      </c>
      <c r="O217" s="4" t="s">
        <v>84</v>
      </c>
      <c r="P217" s="4" t="s">
        <v>61</v>
      </c>
      <c r="Q217" s="4">
        <v>4</v>
      </c>
      <c r="R217" s="4" t="str">
        <f>TEXT(Table1[[#This Row],[Order Date]],"mmm")</f>
        <v>Mar</v>
      </c>
      <c r="S217" s="4" t="str">
        <f>TEXT(Table1[[#This Row],[Order Date]],"mm")</f>
        <v>03</v>
      </c>
      <c r="T217" s="4" t="str">
        <f>IF(Table1[[#This Row],[Sales]]&lt;0,"loss","profit")</f>
        <v>profit</v>
      </c>
      <c r="U217" s="4" t="str" cm="1">
        <f t="array" ref="U217">_xlfn.IFS(Table1[[#This Row],[Sales]]&gt;2000,"large",Table1[[#This Row],[Sales]]&gt;=500,"medium",Table1[[#This Row],[Sales]]&lt;500,"small")</f>
        <v>medium</v>
      </c>
      <c r="V217" s="22">
        <f>Table1[[#This Row],[Profit]]/Table1[[#This Row],[Sales]]*100</f>
        <v>4.6083136594214924</v>
      </c>
    </row>
    <row r="218" spans="1:22" x14ac:dyDescent="0.35">
      <c r="A218" s="4" t="s">
        <v>462</v>
      </c>
      <c r="B218" s="5">
        <v>45739</v>
      </c>
      <c r="C218" s="4" t="s">
        <v>463</v>
      </c>
      <c r="D218" s="4" t="s">
        <v>20</v>
      </c>
      <c r="E218" s="4" t="s">
        <v>29</v>
      </c>
      <c r="F218" s="4" t="s">
        <v>108</v>
      </c>
      <c r="G218" s="4" t="s">
        <v>38</v>
      </c>
      <c r="H218" s="4" t="s">
        <v>89</v>
      </c>
      <c r="I218" s="4">
        <v>2</v>
      </c>
      <c r="J218" s="6">
        <v>1254.07</v>
      </c>
      <c r="K218" s="7">
        <v>0</v>
      </c>
      <c r="L218" s="6">
        <f t="shared" si="6"/>
        <v>2508.14</v>
      </c>
      <c r="M218" s="6">
        <v>977.73</v>
      </c>
      <c r="N218" s="8">
        <f t="shared" si="7"/>
        <v>552.67999999999984</v>
      </c>
      <c r="O218" s="4" t="s">
        <v>40</v>
      </c>
      <c r="P218" s="4" t="s">
        <v>33</v>
      </c>
      <c r="Q218" s="4">
        <v>3</v>
      </c>
      <c r="R218" s="4" t="str">
        <f>TEXT(Table1[[#This Row],[Order Date]],"mmm")</f>
        <v>Mar</v>
      </c>
      <c r="S218" s="4" t="str">
        <f>TEXT(Table1[[#This Row],[Order Date]],"mm")</f>
        <v>03</v>
      </c>
      <c r="T218" s="4" t="str">
        <f>IF(Table1[[#This Row],[Sales]]&lt;0,"loss","profit")</f>
        <v>profit</v>
      </c>
      <c r="U218" s="4" t="str" cm="1">
        <f t="array" ref="U218">_xlfn.IFS(Table1[[#This Row],[Sales]]&gt;2000,"large",Table1[[#This Row],[Sales]]&gt;=500,"medium",Table1[[#This Row],[Sales]]&lt;500,"small")</f>
        <v>large</v>
      </c>
      <c r="V218" s="22">
        <f>Table1[[#This Row],[Profit]]/Table1[[#This Row],[Sales]]*100</f>
        <v>22.035452566443652</v>
      </c>
    </row>
    <row r="219" spans="1:22" x14ac:dyDescent="0.35">
      <c r="A219" s="4" t="s">
        <v>464</v>
      </c>
      <c r="B219" s="5">
        <v>45739</v>
      </c>
      <c r="C219" s="4" t="s">
        <v>465</v>
      </c>
      <c r="D219" s="4" t="s">
        <v>20</v>
      </c>
      <c r="E219" s="4" t="s">
        <v>87</v>
      </c>
      <c r="F219" s="4" t="s">
        <v>92</v>
      </c>
      <c r="G219" s="4" t="s">
        <v>23</v>
      </c>
      <c r="H219" s="4" t="s">
        <v>44</v>
      </c>
      <c r="I219" s="4">
        <v>4</v>
      </c>
      <c r="J219" s="6">
        <v>128.41</v>
      </c>
      <c r="K219" s="7">
        <v>0</v>
      </c>
      <c r="L219" s="6">
        <f t="shared" si="6"/>
        <v>513.64</v>
      </c>
      <c r="M219" s="6">
        <v>64.75</v>
      </c>
      <c r="N219" s="8">
        <f t="shared" si="7"/>
        <v>254.64</v>
      </c>
      <c r="O219" s="4" t="s">
        <v>40</v>
      </c>
      <c r="P219" s="4" t="s">
        <v>118</v>
      </c>
      <c r="Q219" s="4">
        <v>4</v>
      </c>
      <c r="R219" s="4" t="str">
        <f>TEXT(Table1[[#This Row],[Order Date]],"mmm")</f>
        <v>Mar</v>
      </c>
      <c r="S219" s="4" t="str">
        <f>TEXT(Table1[[#This Row],[Order Date]],"mm")</f>
        <v>03</v>
      </c>
      <c r="T219" s="4" t="str">
        <f>IF(Table1[[#This Row],[Sales]]&lt;0,"loss","profit")</f>
        <v>profit</v>
      </c>
      <c r="U219" s="4" t="str" cm="1">
        <f t="array" ref="U219">_xlfn.IFS(Table1[[#This Row],[Sales]]&gt;2000,"large",Table1[[#This Row],[Sales]]&gt;=500,"medium",Table1[[#This Row],[Sales]]&lt;500,"small")</f>
        <v>medium</v>
      </c>
      <c r="V219" s="22">
        <f>Table1[[#This Row],[Profit]]/Table1[[#This Row],[Sales]]*100</f>
        <v>49.57557822599486</v>
      </c>
    </row>
    <row r="220" spans="1:22" x14ac:dyDescent="0.35">
      <c r="A220" s="4" t="s">
        <v>466</v>
      </c>
      <c r="B220" s="5">
        <v>45739</v>
      </c>
      <c r="C220" s="4" t="s">
        <v>467</v>
      </c>
      <c r="D220" s="4" t="s">
        <v>20</v>
      </c>
      <c r="E220" s="4" t="s">
        <v>36</v>
      </c>
      <c r="F220" s="4" t="s">
        <v>37</v>
      </c>
      <c r="G220" s="4" t="s">
        <v>31</v>
      </c>
      <c r="H220" s="4" t="s">
        <v>125</v>
      </c>
      <c r="I220" s="4">
        <v>5</v>
      </c>
      <c r="J220" s="6">
        <v>79.94</v>
      </c>
      <c r="K220" s="7">
        <v>0.1</v>
      </c>
      <c r="L220" s="6">
        <f t="shared" si="6"/>
        <v>359.73</v>
      </c>
      <c r="M220" s="6">
        <v>52.43</v>
      </c>
      <c r="N220" s="8">
        <f t="shared" si="7"/>
        <v>97.580000000000041</v>
      </c>
      <c r="O220" s="4" t="s">
        <v>25</v>
      </c>
      <c r="P220" s="4" t="s">
        <v>56</v>
      </c>
      <c r="Q220" s="4">
        <v>3</v>
      </c>
      <c r="R220" s="4" t="str">
        <f>TEXT(Table1[[#This Row],[Order Date]],"mmm")</f>
        <v>Mar</v>
      </c>
      <c r="S220" s="4" t="str">
        <f>TEXT(Table1[[#This Row],[Order Date]],"mm")</f>
        <v>03</v>
      </c>
      <c r="T220" s="4" t="str">
        <f>IF(Table1[[#This Row],[Sales]]&lt;0,"loss","profit")</f>
        <v>profit</v>
      </c>
      <c r="U220" s="4" t="str" cm="1">
        <f t="array" ref="U220">_xlfn.IFS(Table1[[#This Row],[Sales]]&gt;2000,"large",Table1[[#This Row],[Sales]]&gt;=500,"medium",Table1[[#This Row],[Sales]]&lt;500,"small")</f>
        <v>small</v>
      </c>
      <c r="V220" s="22">
        <f>Table1[[#This Row],[Profit]]/Table1[[#This Row],[Sales]]*100</f>
        <v>27.125899980540975</v>
      </c>
    </row>
    <row r="221" spans="1:22" x14ac:dyDescent="0.35">
      <c r="A221" s="4" t="s">
        <v>468</v>
      </c>
      <c r="B221" s="5">
        <v>45739</v>
      </c>
      <c r="C221" s="4" t="s">
        <v>469</v>
      </c>
      <c r="D221" s="4" t="s">
        <v>43</v>
      </c>
      <c r="E221" s="4" t="s">
        <v>36</v>
      </c>
      <c r="F221" s="4" t="s">
        <v>201</v>
      </c>
      <c r="G221" s="4" t="s">
        <v>38</v>
      </c>
      <c r="H221" s="4" t="s">
        <v>55</v>
      </c>
      <c r="I221" s="4">
        <v>3</v>
      </c>
      <c r="J221" s="6">
        <v>143.53</v>
      </c>
      <c r="K221" s="7">
        <v>0.05</v>
      </c>
      <c r="L221" s="6">
        <f t="shared" si="6"/>
        <v>409.06049999999999</v>
      </c>
      <c r="M221" s="6">
        <v>110.08</v>
      </c>
      <c r="N221" s="8">
        <f t="shared" si="7"/>
        <v>78.820499999999981</v>
      </c>
      <c r="O221" s="4" t="s">
        <v>60</v>
      </c>
      <c r="P221" s="4" t="s">
        <v>56</v>
      </c>
      <c r="Q221" s="4">
        <v>4</v>
      </c>
      <c r="R221" s="4" t="str">
        <f>TEXT(Table1[[#This Row],[Order Date]],"mmm")</f>
        <v>Mar</v>
      </c>
      <c r="S221" s="4" t="str">
        <f>TEXT(Table1[[#This Row],[Order Date]],"mm")</f>
        <v>03</v>
      </c>
      <c r="T221" s="4" t="str">
        <f>IF(Table1[[#This Row],[Sales]]&lt;0,"loss","profit")</f>
        <v>profit</v>
      </c>
      <c r="U221" s="4" t="str" cm="1">
        <f t="array" ref="U221">_xlfn.IFS(Table1[[#This Row],[Sales]]&gt;2000,"large",Table1[[#This Row],[Sales]]&gt;=500,"medium",Table1[[#This Row],[Sales]]&lt;500,"small")</f>
        <v>small</v>
      </c>
      <c r="V221" s="22">
        <f>Table1[[#This Row],[Profit]]/Table1[[#This Row],[Sales]]*100</f>
        <v>19.268665637479049</v>
      </c>
    </row>
    <row r="222" spans="1:22" x14ac:dyDescent="0.35">
      <c r="A222" s="4" t="s">
        <v>470</v>
      </c>
      <c r="B222" s="5">
        <v>45740</v>
      </c>
      <c r="C222" s="4" t="s">
        <v>301</v>
      </c>
      <c r="D222" s="4" t="s">
        <v>47</v>
      </c>
      <c r="E222" s="4" t="s">
        <v>36</v>
      </c>
      <c r="F222" s="4" t="s">
        <v>201</v>
      </c>
      <c r="G222" s="4" t="s">
        <v>38</v>
      </c>
      <c r="H222" s="4" t="s">
        <v>89</v>
      </c>
      <c r="I222" s="4">
        <v>1</v>
      </c>
      <c r="J222" s="6">
        <v>1300.6199999999999</v>
      </c>
      <c r="K222" s="7">
        <v>0.15</v>
      </c>
      <c r="L222" s="6">
        <f t="shared" si="6"/>
        <v>1105.5269999999998</v>
      </c>
      <c r="M222" s="6">
        <v>1096.0999999999999</v>
      </c>
      <c r="N222" s="8">
        <f t="shared" si="7"/>
        <v>9.4269999999999072</v>
      </c>
      <c r="O222" s="4" t="s">
        <v>25</v>
      </c>
      <c r="P222" s="4" t="s">
        <v>97</v>
      </c>
      <c r="Q222" s="4">
        <v>5</v>
      </c>
      <c r="R222" s="4" t="str">
        <f>TEXT(Table1[[#This Row],[Order Date]],"mmm")</f>
        <v>Mar</v>
      </c>
      <c r="S222" s="4" t="str">
        <f>TEXT(Table1[[#This Row],[Order Date]],"mm")</f>
        <v>03</v>
      </c>
      <c r="T222" s="4" t="str">
        <f>IF(Table1[[#This Row],[Sales]]&lt;0,"loss","profit")</f>
        <v>profit</v>
      </c>
      <c r="U222" s="4" t="str" cm="1">
        <f t="array" ref="U222">_xlfn.IFS(Table1[[#This Row],[Sales]]&gt;2000,"large",Table1[[#This Row],[Sales]]&gt;=500,"medium",Table1[[#This Row],[Sales]]&lt;500,"small")</f>
        <v>medium</v>
      </c>
      <c r="V222" s="22">
        <f>Table1[[#This Row],[Profit]]/Table1[[#This Row],[Sales]]*100</f>
        <v>0.85271549224938958</v>
      </c>
    </row>
    <row r="223" spans="1:22" x14ac:dyDescent="0.35">
      <c r="A223" s="4" t="s">
        <v>471</v>
      </c>
      <c r="B223" s="5">
        <v>45740</v>
      </c>
      <c r="C223" s="4" t="s">
        <v>472</v>
      </c>
      <c r="D223" s="4" t="s">
        <v>43</v>
      </c>
      <c r="E223" s="4" t="s">
        <v>87</v>
      </c>
      <c r="F223" s="4" t="s">
        <v>88</v>
      </c>
      <c r="G223" s="4" t="s">
        <v>49</v>
      </c>
      <c r="H223" s="4" t="s">
        <v>187</v>
      </c>
      <c r="I223" s="4">
        <v>2</v>
      </c>
      <c r="J223" s="6">
        <v>51.48</v>
      </c>
      <c r="K223" s="7">
        <v>0.1</v>
      </c>
      <c r="L223" s="6">
        <f t="shared" si="6"/>
        <v>92.664000000000001</v>
      </c>
      <c r="M223" s="6">
        <v>29.73</v>
      </c>
      <c r="N223" s="8">
        <f t="shared" si="7"/>
        <v>33.204000000000001</v>
      </c>
      <c r="O223" s="4" t="s">
        <v>60</v>
      </c>
      <c r="P223" s="4" t="s">
        <v>75</v>
      </c>
      <c r="Q223" s="4">
        <v>4</v>
      </c>
      <c r="R223" s="4" t="str">
        <f>TEXT(Table1[[#This Row],[Order Date]],"mmm")</f>
        <v>Mar</v>
      </c>
      <c r="S223" s="4" t="str">
        <f>TEXT(Table1[[#This Row],[Order Date]],"mm")</f>
        <v>03</v>
      </c>
      <c r="T223" s="4" t="str">
        <f>IF(Table1[[#This Row],[Sales]]&lt;0,"loss","profit")</f>
        <v>profit</v>
      </c>
      <c r="U223" s="4" t="str" cm="1">
        <f t="array" ref="U223">_xlfn.IFS(Table1[[#This Row],[Sales]]&gt;2000,"large",Table1[[#This Row],[Sales]]&gt;=500,"medium",Table1[[#This Row],[Sales]]&lt;500,"small")</f>
        <v>small</v>
      </c>
      <c r="V223" s="22">
        <f>Table1[[#This Row],[Profit]]/Table1[[#This Row],[Sales]]*100</f>
        <v>35.832685832685833</v>
      </c>
    </row>
    <row r="224" spans="1:22" x14ac:dyDescent="0.35">
      <c r="A224" s="4" t="s">
        <v>473</v>
      </c>
      <c r="B224" s="5">
        <v>45741</v>
      </c>
      <c r="C224" s="4" t="s">
        <v>361</v>
      </c>
      <c r="D224" s="4" t="s">
        <v>43</v>
      </c>
      <c r="E224" s="4" t="s">
        <v>21</v>
      </c>
      <c r="F224" s="4" t="s">
        <v>22</v>
      </c>
      <c r="G224" s="4" t="s">
        <v>38</v>
      </c>
      <c r="H224" s="4" t="s">
        <v>109</v>
      </c>
      <c r="I224" s="4">
        <v>3</v>
      </c>
      <c r="J224" s="6">
        <v>761.02</v>
      </c>
      <c r="K224" s="7">
        <v>0.1</v>
      </c>
      <c r="L224" s="6">
        <f t="shared" si="6"/>
        <v>2054.7539999999999</v>
      </c>
      <c r="M224" s="6">
        <v>666.83</v>
      </c>
      <c r="N224" s="8">
        <f t="shared" si="7"/>
        <v>54.263999999999669</v>
      </c>
      <c r="O224" s="4" t="s">
        <v>40</v>
      </c>
      <c r="P224" s="4" t="s">
        <v>97</v>
      </c>
      <c r="Q224" s="4">
        <v>1</v>
      </c>
      <c r="R224" s="4" t="str">
        <f>TEXT(Table1[[#This Row],[Order Date]],"mmm")</f>
        <v>Mar</v>
      </c>
      <c r="S224" s="4" t="str">
        <f>TEXT(Table1[[#This Row],[Order Date]],"mm")</f>
        <v>03</v>
      </c>
      <c r="T224" s="4" t="str">
        <f>IF(Table1[[#This Row],[Sales]]&lt;0,"loss","profit")</f>
        <v>profit</v>
      </c>
      <c r="U224" s="4" t="str" cm="1">
        <f t="array" ref="U224">_xlfn.IFS(Table1[[#This Row],[Sales]]&gt;2000,"large",Table1[[#This Row],[Sales]]&gt;=500,"medium",Table1[[#This Row],[Sales]]&lt;500,"small")</f>
        <v>large</v>
      </c>
      <c r="V224" s="22">
        <f>Table1[[#This Row],[Profit]]/Table1[[#This Row],[Sales]]*100</f>
        <v>2.6409000785495329</v>
      </c>
    </row>
    <row r="225" spans="1:22" x14ac:dyDescent="0.35">
      <c r="A225" s="4" t="s">
        <v>474</v>
      </c>
      <c r="B225" s="5">
        <v>45741</v>
      </c>
      <c r="C225" s="4" t="s">
        <v>475</v>
      </c>
      <c r="D225" s="4" t="s">
        <v>47</v>
      </c>
      <c r="E225" s="4" t="s">
        <v>87</v>
      </c>
      <c r="F225" s="4" t="s">
        <v>88</v>
      </c>
      <c r="G225" s="4" t="s">
        <v>23</v>
      </c>
      <c r="H225" s="4" t="s">
        <v>71</v>
      </c>
      <c r="I225" s="4">
        <v>3</v>
      </c>
      <c r="J225" s="6">
        <v>211.26</v>
      </c>
      <c r="K225" s="7">
        <v>0.1</v>
      </c>
      <c r="L225" s="6">
        <f t="shared" si="6"/>
        <v>570.40200000000004</v>
      </c>
      <c r="M225" s="6">
        <v>90.21</v>
      </c>
      <c r="N225" s="8">
        <f t="shared" si="7"/>
        <v>299.77200000000005</v>
      </c>
      <c r="O225" s="4" t="s">
        <v>25</v>
      </c>
      <c r="P225" s="4" t="s">
        <v>33</v>
      </c>
      <c r="Q225" s="4">
        <v>3</v>
      </c>
      <c r="R225" s="4" t="str">
        <f>TEXT(Table1[[#This Row],[Order Date]],"mmm")</f>
        <v>Mar</v>
      </c>
      <c r="S225" s="4" t="str">
        <f>TEXT(Table1[[#This Row],[Order Date]],"mm")</f>
        <v>03</v>
      </c>
      <c r="T225" s="4" t="str">
        <f>IF(Table1[[#This Row],[Sales]]&lt;0,"loss","profit")</f>
        <v>profit</v>
      </c>
      <c r="U225" s="4" t="str" cm="1">
        <f t="array" ref="U225">_xlfn.IFS(Table1[[#This Row],[Sales]]&gt;2000,"large",Table1[[#This Row],[Sales]]&gt;=500,"medium",Table1[[#This Row],[Sales]]&lt;500,"small")</f>
        <v>medium</v>
      </c>
      <c r="V225" s="22">
        <f>Table1[[#This Row],[Profit]]/Table1[[#This Row],[Sales]]*100</f>
        <v>52.554514184732881</v>
      </c>
    </row>
    <row r="226" spans="1:22" x14ac:dyDescent="0.35">
      <c r="A226" s="4" t="s">
        <v>476</v>
      </c>
      <c r="B226" s="5">
        <v>45741</v>
      </c>
      <c r="C226" s="4" t="s">
        <v>243</v>
      </c>
      <c r="D226" s="4" t="s">
        <v>43</v>
      </c>
      <c r="E226" s="4" t="s">
        <v>36</v>
      </c>
      <c r="F226" s="4" t="s">
        <v>201</v>
      </c>
      <c r="G226" s="4" t="s">
        <v>67</v>
      </c>
      <c r="H226" s="4" t="s">
        <v>140</v>
      </c>
      <c r="I226" s="4">
        <v>2</v>
      </c>
      <c r="J226" s="6">
        <v>91.73</v>
      </c>
      <c r="K226" s="7">
        <v>0.05</v>
      </c>
      <c r="L226" s="6">
        <f t="shared" si="6"/>
        <v>174.28700000000001</v>
      </c>
      <c r="M226" s="6">
        <v>58.27</v>
      </c>
      <c r="N226" s="8">
        <f t="shared" si="7"/>
        <v>57.747</v>
      </c>
      <c r="O226" s="4" t="s">
        <v>40</v>
      </c>
      <c r="P226" s="4" t="s">
        <v>61</v>
      </c>
      <c r="Q226" s="4">
        <v>4</v>
      </c>
      <c r="R226" s="4" t="str">
        <f>TEXT(Table1[[#This Row],[Order Date]],"mmm")</f>
        <v>Mar</v>
      </c>
      <c r="S226" s="4" t="str">
        <f>TEXT(Table1[[#This Row],[Order Date]],"mm")</f>
        <v>03</v>
      </c>
      <c r="T226" s="4" t="str">
        <f>IF(Table1[[#This Row],[Sales]]&lt;0,"loss","profit")</f>
        <v>profit</v>
      </c>
      <c r="U226" s="4" t="str" cm="1">
        <f t="array" ref="U226">_xlfn.IFS(Table1[[#This Row],[Sales]]&gt;2000,"large",Table1[[#This Row],[Sales]]&gt;=500,"medium",Table1[[#This Row],[Sales]]&lt;500,"small")</f>
        <v>small</v>
      </c>
      <c r="V226" s="22">
        <f>Table1[[#This Row],[Profit]]/Table1[[#This Row],[Sales]]*100</f>
        <v>33.133280164326656</v>
      </c>
    </row>
    <row r="227" spans="1:22" x14ac:dyDescent="0.35">
      <c r="A227" s="4" t="s">
        <v>477</v>
      </c>
      <c r="B227" s="5">
        <v>45741</v>
      </c>
      <c r="C227" s="4" t="s">
        <v>478</v>
      </c>
      <c r="D227" s="4" t="s">
        <v>47</v>
      </c>
      <c r="E227" s="4" t="s">
        <v>29</v>
      </c>
      <c r="F227" s="4" t="s">
        <v>54</v>
      </c>
      <c r="G227" s="4" t="s">
        <v>49</v>
      </c>
      <c r="H227" s="4" t="s">
        <v>78</v>
      </c>
      <c r="I227" s="4">
        <v>1</v>
      </c>
      <c r="J227" s="6">
        <v>637.58000000000004</v>
      </c>
      <c r="K227" s="7">
        <v>0.1</v>
      </c>
      <c r="L227" s="6">
        <f t="shared" si="6"/>
        <v>573.822</v>
      </c>
      <c r="M227" s="6">
        <v>457.16</v>
      </c>
      <c r="N227" s="8">
        <f t="shared" si="7"/>
        <v>116.66199999999998</v>
      </c>
      <c r="O227" s="4" t="s">
        <v>60</v>
      </c>
      <c r="P227" s="4" t="s">
        <v>61</v>
      </c>
      <c r="Q227" s="4">
        <v>3</v>
      </c>
      <c r="R227" s="4" t="str">
        <f>TEXT(Table1[[#This Row],[Order Date]],"mmm")</f>
        <v>Mar</v>
      </c>
      <c r="S227" s="4" t="str">
        <f>TEXT(Table1[[#This Row],[Order Date]],"mm")</f>
        <v>03</v>
      </c>
      <c r="T227" s="4" t="str">
        <f>IF(Table1[[#This Row],[Sales]]&lt;0,"loss","profit")</f>
        <v>profit</v>
      </c>
      <c r="U227" s="4" t="str" cm="1">
        <f t="array" ref="U227">_xlfn.IFS(Table1[[#This Row],[Sales]]&gt;2000,"large",Table1[[#This Row],[Sales]]&gt;=500,"medium",Table1[[#This Row],[Sales]]&lt;500,"small")</f>
        <v>medium</v>
      </c>
      <c r="V227" s="22">
        <f>Table1[[#This Row],[Profit]]/Table1[[#This Row],[Sales]]*100</f>
        <v>20.330694884476365</v>
      </c>
    </row>
    <row r="228" spans="1:22" x14ac:dyDescent="0.35">
      <c r="A228" s="4" t="s">
        <v>479</v>
      </c>
      <c r="B228" s="5">
        <v>45742</v>
      </c>
      <c r="C228" s="4" t="s">
        <v>235</v>
      </c>
      <c r="D228" s="4" t="s">
        <v>47</v>
      </c>
      <c r="E228" s="4" t="s">
        <v>21</v>
      </c>
      <c r="F228" s="4" t="s">
        <v>59</v>
      </c>
      <c r="G228" s="4" t="s">
        <v>31</v>
      </c>
      <c r="H228" s="4" t="s">
        <v>147</v>
      </c>
      <c r="I228" s="4">
        <v>10</v>
      </c>
      <c r="J228" s="6">
        <v>60.64</v>
      </c>
      <c r="K228" s="7">
        <v>0.1</v>
      </c>
      <c r="L228" s="6">
        <f t="shared" si="6"/>
        <v>545.76</v>
      </c>
      <c r="M228" s="6">
        <v>37.71</v>
      </c>
      <c r="N228" s="8">
        <f t="shared" si="7"/>
        <v>168.65999999999997</v>
      </c>
      <c r="O228" s="4" t="s">
        <v>60</v>
      </c>
      <c r="P228" s="4" t="s">
        <v>56</v>
      </c>
      <c r="Q228" s="4">
        <v>4</v>
      </c>
      <c r="R228" s="4" t="str">
        <f>TEXT(Table1[[#This Row],[Order Date]],"mmm")</f>
        <v>Mar</v>
      </c>
      <c r="S228" s="4" t="str">
        <f>TEXT(Table1[[#This Row],[Order Date]],"mm")</f>
        <v>03</v>
      </c>
      <c r="T228" s="4" t="str">
        <f>IF(Table1[[#This Row],[Sales]]&lt;0,"loss","profit")</f>
        <v>profit</v>
      </c>
      <c r="U228" s="4" t="str" cm="1">
        <f t="array" ref="U228">_xlfn.IFS(Table1[[#This Row],[Sales]]&gt;2000,"large",Table1[[#This Row],[Sales]]&gt;=500,"medium",Table1[[#This Row],[Sales]]&lt;500,"small")</f>
        <v>medium</v>
      </c>
      <c r="V228" s="22">
        <f>Table1[[#This Row],[Profit]]/Table1[[#This Row],[Sales]]*100</f>
        <v>30.903693931398411</v>
      </c>
    </row>
    <row r="229" spans="1:22" x14ac:dyDescent="0.35">
      <c r="A229" s="4" t="s">
        <v>480</v>
      </c>
      <c r="B229" s="5">
        <v>45742</v>
      </c>
      <c r="C229" s="4" t="s">
        <v>481</v>
      </c>
      <c r="D229" s="4" t="s">
        <v>43</v>
      </c>
      <c r="E229" s="4" t="s">
        <v>21</v>
      </c>
      <c r="F229" s="4" t="s">
        <v>81</v>
      </c>
      <c r="G229" s="4" t="s">
        <v>67</v>
      </c>
      <c r="H229" s="4" t="s">
        <v>140</v>
      </c>
      <c r="I229" s="4">
        <v>2</v>
      </c>
      <c r="J229" s="6">
        <v>150.13999999999999</v>
      </c>
      <c r="K229" s="7">
        <v>0</v>
      </c>
      <c r="L229" s="6">
        <f t="shared" si="6"/>
        <v>300.27999999999997</v>
      </c>
      <c r="M229" s="6">
        <v>115.51</v>
      </c>
      <c r="N229" s="8">
        <f t="shared" si="7"/>
        <v>69.259999999999962</v>
      </c>
      <c r="O229" s="4" t="s">
        <v>51</v>
      </c>
      <c r="P229" s="4" t="s">
        <v>61</v>
      </c>
      <c r="Q229" s="4">
        <v>4</v>
      </c>
      <c r="R229" s="4" t="str">
        <f>TEXT(Table1[[#This Row],[Order Date]],"mmm")</f>
        <v>Mar</v>
      </c>
      <c r="S229" s="4" t="str">
        <f>TEXT(Table1[[#This Row],[Order Date]],"mm")</f>
        <v>03</v>
      </c>
      <c r="T229" s="4" t="str">
        <f>IF(Table1[[#This Row],[Sales]]&lt;0,"loss","profit")</f>
        <v>profit</v>
      </c>
      <c r="U229" s="4" t="str" cm="1">
        <f t="array" ref="U229">_xlfn.IFS(Table1[[#This Row],[Sales]]&gt;2000,"large",Table1[[#This Row],[Sales]]&gt;=500,"medium",Table1[[#This Row],[Sales]]&lt;500,"small")</f>
        <v>small</v>
      </c>
      <c r="V229" s="22">
        <f>Table1[[#This Row],[Profit]]/Table1[[#This Row],[Sales]]*100</f>
        <v>23.065139203410141</v>
      </c>
    </row>
    <row r="230" spans="1:22" x14ac:dyDescent="0.35">
      <c r="A230" s="4" t="s">
        <v>482</v>
      </c>
      <c r="B230" s="5">
        <v>45742</v>
      </c>
      <c r="C230" s="4" t="s">
        <v>483</v>
      </c>
      <c r="D230" s="4" t="s">
        <v>47</v>
      </c>
      <c r="E230" s="4" t="s">
        <v>29</v>
      </c>
      <c r="F230" s="4" t="s">
        <v>54</v>
      </c>
      <c r="G230" s="4" t="s">
        <v>49</v>
      </c>
      <c r="H230" s="4" t="s">
        <v>50</v>
      </c>
      <c r="I230" s="4">
        <v>3</v>
      </c>
      <c r="J230" s="6">
        <v>22.74</v>
      </c>
      <c r="K230" s="7">
        <v>0.1</v>
      </c>
      <c r="L230" s="6">
        <f t="shared" si="6"/>
        <v>61.398000000000003</v>
      </c>
      <c r="M230" s="6">
        <v>13.49</v>
      </c>
      <c r="N230" s="8">
        <f t="shared" si="7"/>
        <v>20.928000000000004</v>
      </c>
      <c r="O230" s="4" t="s">
        <v>25</v>
      </c>
      <c r="P230" s="4" t="s">
        <v>97</v>
      </c>
      <c r="Q230" s="4">
        <v>3</v>
      </c>
      <c r="R230" s="4" t="str">
        <f>TEXT(Table1[[#This Row],[Order Date]],"mmm")</f>
        <v>Mar</v>
      </c>
      <c r="S230" s="4" t="str">
        <f>TEXT(Table1[[#This Row],[Order Date]],"mm")</f>
        <v>03</v>
      </c>
      <c r="T230" s="4" t="str">
        <f>IF(Table1[[#This Row],[Sales]]&lt;0,"loss","profit")</f>
        <v>profit</v>
      </c>
      <c r="U230" s="4" t="str" cm="1">
        <f t="array" ref="U230">_xlfn.IFS(Table1[[#This Row],[Sales]]&gt;2000,"large",Table1[[#This Row],[Sales]]&gt;=500,"medium",Table1[[#This Row],[Sales]]&lt;500,"small")</f>
        <v>small</v>
      </c>
      <c r="V230" s="22">
        <f>Table1[[#This Row],[Profit]]/Table1[[#This Row],[Sales]]*100</f>
        <v>34.085800840418266</v>
      </c>
    </row>
    <row r="231" spans="1:22" x14ac:dyDescent="0.35">
      <c r="A231" s="4" t="s">
        <v>484</v>
      </c>
      <c r="B231" s="5">
        <v>45743</v>
      </c>
      <c r="C231" s="4" t="s">
        <v>485</v>
      </c>
      <c r="D231" s="4" t="s">
        <v>47</v>
      </c>
      <c r="E231" s="4" t="s">
        <v>29</v>
      </c>
      <c r="F231" s="4" t="s">
        <v>30</v>
      </c>
      <c r="G231" s="4" t="s">
        <v>38</v>
      </c>
      <c r="H231" s="4" t="s">
        <v>96</v>
      </c>
      <c r="I231" s="4">
        <v>1</v>
      </c>
      <c r="J231" s="6">
        <v>650.70000000000005</v>
      </c>
      <c r="K231" s="7">
        <v>0</v>
      </c>
      <c r="L231" s="6">
        <f t="shared" si="6"/>
        <v>650.70000000000005</v>
      </c>
      <c r="M231" s="6">
        <v>518.46</v>
      </c>
      <c r="N231" s="8">
        <f t="shared" si="7"/>
        <v>132.24</v>
      </c>
      <c r="O231" s="4" t="s">
        <v>51</v>
      </c>
      <c r="P231" s="4" t="s">
        <v>26</v>
      </c>
      <c r="Q231" s="4">
        <v>3</v>
      </c>
      <c r="R231" s="4" t="str">
        <f>TEXT(Table1[[#This Row],[Order Date]],"mmm")</f>
        <v>Mar</v>
      </c>
      <c r="S231" s="4" t="str">
        <f>TEXT(Table1[[#This Row],[Order Date]],"mm")</f>
        <v>03</v>
      </c>
      <c r="T231" s="4" t="str">
        <f>IF(Table1[[#This Row],[Sales]]&lt;0,"loss","profit")</f>
        <v>profit</v>
      </c>
      <c r="U231" s="4" t="str" cm="1">
        <f t="array" ref="U231">_xlfn.IFS(Table1[[#This Row],[Sales]]&gt;2000,"large",Table1[[#This Row],[Sales]]&gt;=500,"medium",Table1[[#This Row],[Sales]]&lt;500,"small")</f>
        <v>medium</v>
      </c>
      <c r="V231" s="22">
        <f>Table1[[#This Row],[Profit]]/Table1[[#This Row],[Sales]]*100</f>
        <v>20.322729368372521</v>
      </c>
    </row>
    <row r="232" spans="1:22" x14ac:dyDescent="0.35">
      <c r="A232" s="4" t="s">
        <v>486</v>
      </c>
      <c r="B232" s="5">
        <v>45743</v>
      </c>
      <c r="C232" s="4" t="s">
        <v>105</v>
      </c>
      <c r="D232" s="4" t="s">
        <v>43</v>
      </c>
      <c r="E232" s="4" t="s">
        <v>36</v>
      </c>
      <c r="F232" s="4" t="s">
        <v>37</v>
      </c>
      <c r="G232" s="4" t="s">
        <v>38</v>
      </c>
      <c r="H232" s="4" t="s">
        <v>39</v>
      </c>
      <c r="I232" s="4">
        <v>1</v>
      </c>
      <c r="J232" s="6">
        <v>107.77</v>
      </c>
      <c r="K232" s="7">
        <v>0.2</v>
      </c>
      <c r="L232" s="6">
        <f t="shared" si="6"/>
        <v>86.216000000000008</v>
      </c>
      <c r="M232" s="6">
        <v>85.3</v>
      </c>
      <c r="N232" s="8">
        <f t="shared" si="7"/>
        <v>0.91600000000001103</v>
      </c>
      <c r="O232" s="4" t="s">
        <v>40</v>
      </c>
      <c r="P232" s="4" t="s">
        <v>75</v>
      </c>
      <c r="Q232" s="4">
        <v>2</v>
      </c>
      <c r="R232" s="4" t="str">
        <f>TEXT(Table1[[#This Row],[Order Date]],"mmm")</f>
        <v>Mar</v>
      </c>
      <c r="S232" s="4" t="str">
        <f>TEXT(Table1[[#This Row],[Order Date]],"mm")</f>
        <v>03</v>
      </c>
      <c r="T232" s="4" t="str">
        <f>IF(Table1[[#This Row],[Sales]]&lt;0,"loss","profit")</f>
        <v>profit</v>
      </c>
      <c r="U232" s="4" t="str" cm="1">
        <f t="array" ref="U232">_xlfn.IFS(Table1[[#This Row],[Sales]]&gt;2000,"large",Table1[[#This Row],[Sales]]&gt;=500,"medium",Table1[[#This Row],[Sales]]&lt;500,"small")</f>
        <v>small</v>
      </c>
      <c r="V232" s="22">
        <f>Table1[[#This Row],[Profit]]/Table1[[#This Row],[Sales]]*100</f>
        <v>1.0624478055117506</v>
      </c>
    </row>
    <row r="233" spans="1:22" x14ac:dyDescent="0.35">
      <c r="A233" s="4" t="s">
        <v>487</v>
      </c>
      <c r="B233" s="5">
        <v>45744</v>
      </c>
      <c r="C233" s="4" t="s">
        <v>488</v>
      </c>
      <c r="D233" s="4" t="s">
        <v>47</v>
      </c>
      <c r="E233" s="4" t="s">
        <v>36</v>
      </c>
      <c r="F233" s="4" t="s">
        <v>201</v>
      </c>
      <c r="G233" s="4" t="s">
        <v>38</v>
      </c>
      <c r="H233" s="4" t="s">
        <v>89</v>
      </c>
      <c r="I233" s="4">
        <v>4</v>
      </c>
      <c r="J233" s="6">
        <v>1289.19</v>
      </c>
      <c r="K233" s="7">
        <v>0</v>
      </c>
      <c r="L233" s="6">
        <f t="shared" si="6"/>
        <v>5156.76</v>
      </c>
      <c r="M233" s="6">
        <v>1090.6099999999999</v>
      </c>
      <c r="N233" s="8">
        <f t="shared" si="7"/>
        <v>794.32000000000062</v>
      </c>
      <c r="O233" s="4" t="s">
        <v>60</v>
      </c>
      <c r="P233" s="4" t="s">
        <v>61</v>
      </c>
      <c r="Q233" s="4">
        <v>4</v>
      </c>
      <c r="R233" s="4" t="str">
        <f>TEXT(Table1[[#This Row],[Order Date]],"mmm")</f>
        <v>Mar</v>
      </c>
      <c r="S233" s="4" t="str">
        <f>TEXT(Table1[[#This Row],[Order Date]],"mm")</f>
        <v>03</v>
      </c>
      <c r="T233" s="4" t="str">
        <f>IF(Table1[[#This Row],[Sales]]&lt;0,"loss","profit")</f>
        <v>profit</v>
      </c>
      <c r="U233" s="4" t="str" cm="1">
        <f t="array" ref="U233">_xlfn.IFS(Table1[[#This Row],[Sales]]&gt;2000,"large",Table1[[#This Row],[Sales]]&gt;=500,"medium",Table1[[#This Row],[Sales]]&lt;500,"small")</f>
        <v>large</v>
      </c>
      <c r="V233" s="22">
        <f>Table1[[#This Row],[Profit]]/Table1[[#This Row],[Sales]]*100</f>
        <v>15.403470396140223</v>
      </c>
    </row>
    <row r="234" spans="1:22" x14ac:dyDescent="0.35">
      <c r="A234" s="4" t="s">
        <v>489</v>
      </c>
      <c r="B234" s="5">
        <v>45745</v>
      </c>
      <c r="C234" s="4" t="s">
        <v>467</v>
      </c>
      <c r="D234" s="4" t="s">
        <v>47</v>
      </c>
      <c r="E234" s="4" t="s">
        <v>36</v>
      </c>
      <c r="F234" s="4" t="s">
        <v>37</v>
      </c>
      <c r="G234" s="4" t="s">
        <v>38</v>
      </c>
      <c r="H234" s="4" t="s">
        <v>55</v>
      </c>
      <c r="I234" s="4">
        <v>1</v>
      </c>
      <c r="J234" s="6">
        <v>271.52</v>
      </c>
      <c r="K234" s="7">
        <v>0.15</v>
      </c>
      <c r="L234" s="6">
        <f t="shared" si="6"/>
        <v>230.79199999999997</v>
      </c>
      <c r="M234" s="6">
        <v>205.47</v>
      </c>
      <c r="N234" s="8">
        <f t="shared" si="7"/>
        <v>25.321999999999974</v>
      </c>
      <c r="O234" s="4" t="s">
        <v>40</v>
      </c>
      <c r="P234" s="4" t="s">
        <v>97</v>
      </c>
      <c r="Q234" s="4">
        <v>5</v>
      </c>
      <c r="R234" s="4" t="str">
        <f>TEXT(Table1[[#This Row],[Order Date]],"mmm")</f>
        <v>Mar</v>
      </c>
      <c r="S234" s="4" t="str">
        <f>TEXT(Table1[[#This Row],[Order Date]],"mm")</f>
        <v>03</v>
      </c>
      <c r="T234" s="4" t="str">
        <f>IF(Table1[[#This Row],[Sales]]&lt;0,"loss","profit")</f>
        <v>profit</v>
      </c>
      <c r="U234" s="4" t="str" cm="1">
        <f t="array" ref="U234">_xlfn.IFS(Table1[[#This Row],[Sales]]&gt;2000,"large",Table1[[#This Row],[Sales]]&gt;=500,"medium",Table1[[#This Row],[Sales]]&lt;500,"small")</f>
        <v>small</v>
      </c>
      <c r="V234" s="22">
        <f>Table1[[#This Row],[Profit]]/Table1[[#This Row],[Sales]]*100</f>
        <v>10.971784117300416</v>
      </c>
    </row>
    <row r="235" spans="1:22" x14ac:dyDescent="0.35">
      <c r="A235" s="4" t="s">
        <v>490</v>
      </c>
      <c r="B235" s="5">
        <v>45746</v>
      </c>
      <c r="C235" s="4" t="s">
        <v>478</v>
      </c>
      <c r="D235" s="4" t="s">
        <v>20</v>
      </c>
      <c r="E235" s="4" t="s">
        <v>29</v>
      </c>
      <c r="F235" s="4" t="s">
        <v>108</v>
      </c>
      <c r="G235" s="4" t="s">
        <v>67</v>
      </c>
      <c r="H235" s="4" t="s">
        <v>68</v>
      </c>
      <c r="I235" s="4">
        <v>6</v>
      </c>
      <c r="J235" s="6">
        <v>920.91</v>
      </c>
      <c r="K235" s="7">
        <v>0</v>
      </c>
      <c r="L235" s="6">
        <f t="shared" si="6"/>
        <v>5525.46</v>
      </c>
      <c r="M235" s="6">
        <v>648.64</v>
      </c>
      <c r="N235" s="8">
        <f t="shared" si="7"/>
        <v>1633.62</v>
      </c>
      <c r="O235" s="4" t="s">
        <v>60</v>
      </c>
      <c r="P235" s="4" t="s">
        <v>61</v>
      </c>
      <c r="Q235" s="4">
        <v>2</v>
      </c>
      <c r="R235" s="4" t="str">
        <f>TEXT(Table1[[#This Row],[Order Date]],"mmm")</f>
        <v>Mar</v>
      </c>
      <c r="S235" s="4" t="str">
        <f>TEXT(Table1[[#This Row],[Order Date]],"mm")</f>
        <v>03</v>
      </c>
      <c r="T235" s="4" t="str">
        <f>IF(Table1[[#This Row],[Sales]]&lt;0,"loss","profit")</f>
        <v>profit</v>
      </c>
      <c r="U235" s="4" t="str" cm="1">
        <f t="array" ref="U235">_xlfn.IFS(Table1[[#This Row],[Sales]]&gt;2000,"large",Table1[[#This Row],[Sales]]&gt;=500,"medium",Table1[[#This Row],[Sales]]&lt;500,"small")</f>
        <v>large</v>
      </c>
      <c r="V235" s="22">
        <f>Table1[[#This Row],[Profit]]/Table1[[#This Row],[Sales]]*100</f>
        <v>29.565321258320569</v>
      </c>
    </row>
    <row r="236" spans="1:22" x14ac:dyDescent="0.35">
      <c r="A236" s="4" t="s">
        <v>491</v>
      </c>
      <c r="B236" s="5">
        <v>45747</v>
      </c>
      <c r="C236" s="4" t="s">
        <v>186</v>
      </c>
      <c r="D236" s="4" t="s">
        <v>20</v>
      </c>
      <c r="E236" s="4" t="s">
        <v>87</v>
      </c>
      <c r="F236" s="4" t="s">
        <v>124</v>
      </c>
      <c r="G236" s="4" t="s">
        <v>49</v>
      </c>
      <c r="H236" s="4" t="s">
        <v>187</v>
      </c>
      <c r="I236" s="4">
        <v>2</v>
      </c>
      <c r="J236" s="6">
        <v>150.34</v>
      </c>
      <c r="K236" s="7">
        <v>0</v>
      </c>
      <c r="L236" s="6">
        <f t="shared" si="6"/>
        <v>300.68</v>
      </c>
      <c r="M236" s="6">
        <v>92.36</v>
      </c>
      <c r="N236" s="8">
        <f t="shared" si="7"/>
        <v>115.96000000000001</v>
      </c>
      <c r="O236" s="4" t="s">
        <v>84</v>
      </c>
      <c r="P236" s="4" t="s">
        <v>26</v>
      </c>
      <c r="Q236" s="4">
        <v>5</v>
      </c>
      <c r="R236" s="4" t="str">
        <f>TEXT(Table1[[#This Row],[Order Date]],"mmm")</f>
        <v>Mar</v>
      </c>
      <c r="S236" s="4" t="str">
        <f>TEXT(Table1[[#This Row],[Order Date]],"mm")</f>
        <v>03</v>
      </c>
      <c r="T236" s="4" t="str">
        <f>IF(Table1[[#This Row],[Sales]]&lt;0,"loss","profit")</f>
        <v>profit</v>
      </c>
      <c r="U236" s="4" t="str" cm="1">
        <f t="array" ref="U236">_xlfn.IFS(Table1[[#This Row],[Sales]]&gt;2000,"large",Table1[[#This Row],[Sales]]&gt;=500,"medium",Table1[[#This Row],[Sales]]&lt;500,"small")</f>
        <v>small</v>
      </c>
      <c r="V236" s="22">
        <f>Table1[[#This Row],[Profit]]/Table1[[#This Row],[Sales]]*100</f>
        <v>38.565917254223763</v>
      </c>
    </row>
    <row r="237" spans="1:22" x14ac:dyDescent="0.35">
      <c r="A237" s="4" t="s">
        <v>492</v>
      </c>
      <c r="B237" s="5">
        <v>45748</v>
      </c>
      <c r="C237" s="4" t="s">
        <v>493</v>
      </c>
      <c r="D237" s="4" t="s">
        <v>20</v>
      </c>
      <c r="E237" s="4" t="s">
        <v>36</v>
      </c>
      <c r="F237" s="4" t="s">
        <v>48</v>
      </c>
      <c r="G237" s="4" t="s">
        <v>38</v>
      </c>
      <c r="H237" s="4" t="s">
        <v>96</v>
      </c>
      <c r="I237" s="4">
        <v>4</v>
      </c>
      <c r="J237" s="6">
        <v>392.38</v>
      </c>
      <c r="K237" s="7">
        <v>0.1</v>
      </c>
      <c r="L237" s="6">
        <f t="shared" si="6"/>
        <v>1412.568</v>
      </c>
      <c r="M237" s="6">
        <v>349.41</v>
      </c>
      <c r="N237" s="8">
        <f t="shared" si="7"/>
        <v>14.927999999999884</v>
      </c>
      <c r="O237" s="4" t="s">
        <v>51</v>
      </c>
      <c r="P237" s="4" t="s">
        <v>72</v>
      </c>
      <c r="Q237" s="4">
        <v>5</v>
      </c>
      <c r="R237" s="4" t="str">
        <f>TEXT(Table1[[#This Row],[Order Date]],"mmm")</f>
        <v>Apr</v>
      </c>
      <c r="S237" s="4" t="str">
        <f>TEXT(Table1[[#This Row],[Order Date]],"mm")</f>
        <v>04</v>
      </c>
      <c r="T237" s="4" t="str">
        <f>IF(Table1[[#This Row],[Sales]]&lt;0,"loss","profit")</f>
        <v>profit</v>
      </c>
      <c r="U237" s="4" t="str" cm="1">
        <f t="array" ref="U237">_xlfn.IFS(Table1[[#This Row],[Sales]]&gt;2000,"large",Table1[[#This Row],[Sales]]&gt;=500,"medium",Table1[[#This Row],[Sales]]&lt;500,"small")</f>
        <v>medium</v>
      </c>
      <c r="V237" s="22">
        <f>Table1[[#This Row],[Profit]]/Table1[[#This Row],[Sales]]*100</f>
        <v>1.0567986815501897</v>
      </c>
    </row>
    <row r="238" spans="1:22" x14ac:dyDescent="0.35">
      <c r="A238" s="4" t="s">
        <v>494</v>
      </c>
      <c r="B238" s="5">
        <v>45748</v>
      </c>
      <c r="C238" s="4" t="s">
        <v>427</v>
      </c>
      <c r="D238" s="4" t="s">
        <v>20</v>
      </c>
      <c r="E238" s="4" t="s">
        <v>21</v>
      </c>
      <c r="F238" s="4" t="s">
        <v>81</v>
      </c>
      <c r="G238" s="4" t="s">
        <v>31</v>
      </c>
      <c r="H238" s="4" t="s">
        <v>64</v>
      </c>
      <c r="I238" s="4">
        <v>3</v>
      </c>
      <c r="J238" s="6">
        <v>149.01</v>
      </c>
      <c r="K238" s="7">
        <v>0</v>
      </c>
      <c r="L238" s="6">
        <f t="shared" si="6"/>
        <v>447.03</v>
      </c>
      <c r="M238" s="6">
        <v>91.25</v>
      </c>
      <c r="N238" s="8">
        <f t="shared" si="7"/>
        <v>173.27999999999997</v>
      </c>
      <c r="O238" s="4" t="s">
        <v>40</v>
      </c>
      <c r="P238" s="4" t="s">
        <v>61</v>
      </c>
      <c r="Q238" s="4">
        <v>5</v>
      </c>
      <c r="R238" s="4" t="str">
        <f>TEXT(Table1[[#This Row],[Order Date]],"mmm")</f>
        <v>Apr</v>
      </c>
      <c r="S238" s="4" t="str">
        <f>TEXT(Table1[[#This Row],[Order Date]],"mm")</f>
        <v>04</v>
      </c>
      <c r="T238" s="4" t="str">
        <f>IF(Table1[[#This Row],[Sales]]&lt;0,"loss","profit")</f>
        <v>profit</v>
      </c>
      <c r="U238" s="4" t="str" cm="1">
        <f t="array" ref="U238">_xlfn.IFS(Table1[[#This Row],[Sales]]&gt;2000,"large",Table1[[#This Row],[Sales]]&gt;=500,"medium",Table1[[#This Row],[Sales]]&lt;500,"small")</f>
        <v>small</v>
      </c>
      <c r="V238" s="22">
        <f>Table1[[#This Row],[Profit]]/Table1[[#This Row],[Sales]]*100</f>
        <v>38.762499161130123</v>
      </c>
    </row>
    <row r="239" spans="1:22" x14ac:dyDescent="0.35">
      <c r="A239" s="4" t="s">
        <v>495</v>
      </c>
      <c r="B239" s="5">
        <v>45748</v>
      </c>
      <c r="C239" s="4" t="s">
        <v>435</v>
      </c>
      <c r="D239" s="4" t="s">
        <v>43</v>
      </c>
      <c r="E239" s="4" t="s">
        <v>29</v>
      </c>
      <c r="F239" s="4" t="s">
        <v>30</v>
      </c>
      <c r="G239" s="4" t="s">
        <v>23</v>
      </c>
      <c r="H239" s="4" t="s">
        <v>135</v>
      </c>
      <c r="I239" s="4">
        <v>5</v>
      </c>
      <c r="J239" s="6">
        <v>8.31</v>
      </c>
      <c r="K239" s="7">
        <v>0</v>
      </c>
      <c r="L239" s="6">
        <f t="shared" si="6"/>
        <v>41.550000000000004</v>
      </c>
      <c r="M239" s="6">
        <v>3.46</v>
      </c>
      <c r="N239" s="8">
        <f t="shared" si="7"/>
        <v>24.250000000000004</v>
      </c>
      <c r="O239" s="4" t="s">
        <v>84</v>
      </c>
      <c r="P239" s="4" t="s">
        <v>118</v>
      </c>
      <c r="Q239" s="4">
        <v>5</v>
      </c>
      <c r="R239" s="4" t="str">
        <f>TEXT(Table1[[#This Row],[Order Date]],"mmm")</f>
        <v>Apr</v>
      </c>
      <c r="S239" s="4" t="str">
        <f>TEXT(Table1[[#This Row],[Order Date]],"mm")</f>
        <v>04</v>
      </c>
      <c r="T239" s="4" t="str">
        <f>IF(Table1[[#This Row],[Sales]]&lt;0,"loss","profit")</f>
        <v>profit</v>
      </c>
      <c r="U239" s="4" t="str" cm="1">
        <f t="array" ref="U239">_xlfn.IFS(Table1[[#This Row],[Sales]]&gt;2000,"large",Table1[[#This Row],[Sales]]&gt;=500,"medium",Table1[[#This Row],[Sales]]&lt;500,"small")</f>
        <v>small</v>
      </c>
      <c r="V239" s="22">
        <f>Table1[[#This Row],[Profit]]/Table1[[#This Row],[Sales]]*100</f>
        <v>58.363417569193743</v>
      </c>
    </row>
    <row r="240" spans="1:22" x14ac:dyDescent="0.35">
      <c r="A240" s="4" t="s">
        <v>496</v>
      </c>
      <c r="B240" s="5">
        <v>45749</v>
      </c>
      <c r="C240" s="4" t="s">
        <v>497</v>
      </c>
      <c r="D240" s="4" t="s">
        <v>47</v>
      </c>
      <c r="E240" s="4" t="s">
        <v>87</v>
      </c>
      <c r="F240" s="4" t="s">
        <v>88</v>
      </c>
      <c r="G240" s="4" t="s">
        <v>38</v>
      </c>
      <c r="H240" s="4" t="s">
        <v>109</v>
      </c>
      <c r="I240" s="4">
        <v>2</v>
      </c>
      <c r="J240" s="6">
        <v>740.4</v>
      </c>
      <c r="K240" s="7">
        <v>0.15</v>
      </c>
      <c r="L240" s="6">
        <f t="shared" si="6"/>
        <v>1258.6799999999998</v>
      </c>
      <c r="M240" s="6">
        <v>624.30999999999995</v>
      </c>
      <c r="N240" s="8">
        <f t="shared" si="7"/>
        <v>10.059999999999945</v>
      </c>
      <c r="O240" s="4" t="s">
        <v>40</v>
      </c>
      <c r="P240" s="4" t="s">
        <v>26</v>
      </c>
      <c r="Q240" s="4">
        <v>3</v>
      </c>
      <c r="R240" s="4" t="str">
        <f>TEXT(Table1[[#This Row],[Order Date]],"mmm")</f>
        <v>Apr</v>
      </c>
      <c r="S240" s="4" t="str">
        <f>TEXT(Table1[[#This Row],[Order Date]],"mm")</f>
        <v>04</v>
      </c>
      <c r="T240" s="4" t="str">
        <f>IF(Table1[[#This Row],[Sales]]&lt;0,"loss","profit")</f>
        <v>profit</v>
      </c>
      <c r="U240" s="4" t="str" cm="1">
        <f t="array" ref="U240">_xlfn.IFS(Table1[[#This Row],[Sales]]&gt;2000,"large",Table1[[#This Row],[Sales]]&gt;=500,"medium",Table1[[#This Row],[Sales]]&lt;500,"small")</f>
        <v>medium</v>
      </c>
      <c r="V240" s="22">
        <f>Table1[[#This Row],[Profit]]/Table1[[#This Row],[Sales]]*100</f>
        <v>0.79925000794482692</v>
      </c>
    </row>
    <row r="241" spans="1:22" x14ac:dyDescent="0.35">
      <c r="A241" s="4" t="s">
        <v>498</v>
      </c>
      <c r="B241" s="5">
        <v>45749</v>
      </c>
      <c r="C241" s="4" t="s">
        <v>499</v>
      </c>
      <c r="D241" s="4" t="s">
        <v>43</v>
      </c>
      <c r="E241" s="4" t="s">
        <v>21</v>
      </c>
      <c r="F241" s="4" t="s">
        <v>22</v>
      </c>
      <c r="G241" s="4" t="s">
        <v>49</v>
      </c>
      <c r="H241" s="4" t="s">
        <v>50</v>
      </c>
      <c r="I241" s="4">
        <v>4</v>
      </c>
      <c r="J241" s="6">
        <v>15.9</v>
      </c>
      <c r="K241" s="7">
        <v>0.2</v>
      </c>
      <c r="L241" s="6">
        <f t="shared" si="6"/>
        <v>50.88</v>
      </c>
      <c r="M241" s="6">
        <v>10.61</v>
      </c>
      <c r="N241" s="8">
        <f t="shared" si="7"/>
        <v>8.4400000000000048</v>
      </c>
      <c r="O241" s="4" t="s">
        <v>51</v>
      </c>
      <c r="P241" s="4" t="s">
        <v>72</v>
      </c>
      <c r="Q241" s="4">
        <v>4</v>
      </c>
      <c r="R241" s="4" t="str">
        <f>TEXT(Table1[[#This Row],[Order Date]],"mmm")</f>
        <v>Apr</v>
      </c>
      <c r="S241" s="4" t="str">
        <f>TEXT(Table1[[#This Row],[Order Date]],"mm")</f>
        <v>04</v>
      </c>
      <c r="T241" s="4" t="str">
        <f>IF(Table1[[#This Row],[Sales]]&lt;0,"loss","profit")</f>
        <v>profit</v>
      </c>
      <c r="U241" s="4" t="str" cm="1">
        <f t="array" ref="U241">_xlfn.IFS(Table1[[#This Row],[Sales]]&gt;2000,"large",Table1[[#This Row],[Sales]]&gt;=500,"medium",Table1[[#This Row],[Sales]]&lt;500,"small")</f>
        <v>small</v>
      </c>
      <c r="V241" s="22">
        <f>Table1[[#This Row],[Profit]]/Table1[[#This Row],[Sales]]*100</f>
        <v>16.588050314465416</v>
      </c>
    </row>
    <row r="242" spans="1:22" x14ac:dyDescent="0.35">
      <c r="A242" s="4" t="s">
        <v>500</v>
      </c>
      <c r="B242" s="5">
        <v>45749</v>
      </c>
      <c r="C242" s="4" t="s">
        <v>501</v>
      </c>
      <c r="D242" s="4" t="s">
        <v>43</v>
      </c>
      <c r="E242" s="4" t="s">
        <v>87</v>
      </c>
      <c r="F242" s="4" t="s">
        <v>92</v>
      </c>
      <c r="G242" s="4" t="s">
        <v>23</v>
      </c>
      <c r="H242" s="4" t="s">
        <v>71</v>
      </c>
      <c r="I242" s="4">
        <v>2</v>
      </c>
      <c r="J242" s="6">
        <v>108.58</v>
      </c>
      <c r="K242" s="7">
        <v>0.1</v>
      </c>
      <c r="L242" s="6">
        <f t="shared" si="6"/>
        <v>195.44399999999999</v>
      </c>
      <c r="M242" s="6">
        <v>69.099999999999994</v>
      </c>
      <c r="N242" s="8">
        <f t="shared" si="7"/>
        <v>57.244</v>
      </c>
      <c r="O242" s="4" t="s">
        <v>25</v>
      </c>
      <c r="P242" s="4" t="s">
        <v>26</v>
      </c>
      <c r="Q242" s="4">
        <v>2</v>
      </c>
      <c r="R242" s="4" t="str">
        <f>TEXT(Table1[[#This Row],[Order Date]],"mmm")</f>
        <v>Apr</v>
      </c>
      <c r="S242" s="4" t="str">
        <f>TEXT(Table1[[#This Row],[Order Date]],"mm")</f>
        <v>04</v>
      </c>
      <c r="T242" s="4" t="str">
        <f>IF(Table1[[#This Row],[Sales]]&lt;0,"loss","profit")</f>
        <v>profit</v>
      </c>
      <c r="U242" s="4" t="str" cm="1">
        <f t="array" ref="U242">_xlfn.IFS(Table1[[#This Row],[Sales]]&gt;2000,"large",Table1[[#This Row],[Sales]]&gt;=500,"medium",Table1[[#This Row],[Sales]]&lt;500,"small")</f>
        <v>small</v>
      </c>
      <c r="V242" s="22">
        <f>Table1[[#This Row],[Profit]]/Table1[[#This Row],[Sales]]*100</f>
        <v>29.289208161928737</v>
      </c>
    </row>
    <row r="243" spans="1:22" x14ac:dyDescent="0.35">
      <c r="A243" s="4" t="s">
        <v>502</v>
      </c>
      <c r="B243" s="5">
        <v>45749</v>
      </c>
      <c r="C243" s="4" t="s">
        <v>503</v>
      </c>
      <c r="D243" s="4" t="s">
        <v>47</v>
      </c>
      <c r="E243" s="4" t="s">
        <v>36</v>
      </c>
      <c r="F243" s="4" t="s">
        <v>37</v>
      </c>
      <c r="G243" s="4" t="s">
        <v>31</v>
      </c>
      <c r="H243" s="4" t="s">
        <v>125</v>
      </c>
      <c r="I243" s="4">
        <v>2</v>
      </c>
      <c r="J243" s="6">
        <v>30.37</v>
      </c>
      <c r="K243" s="7">
        <v>0.1</v>
      </c>
      <c r="L243" s="6">
        <f t="shared" si="6"/>
        <v>54.666000000000004</v>
      </c>
      <c r="M243" s="6">
        <v>20.62</v>
      </c>
      <c r="N243" s="8">
        <f t="shared" si="7"/>
        <v>13.426000000000002</v>
      </c>
      <c r="O243" s="4" t="s">
        <v>40</v>
      </c>
      <c r="P243" s="4" t="s">
        <v>61</v>
      </c>
      <c r="Q243" s="4">
        <v>5</v>
      </c>
      <c r="R243" s="4" t="str">
        <f>TEXT(Table1[[#This Row],[Order Date]],"mmm")</f>
        <v>Apr</v>
      </c>
      <c r="S243" s="4" t="str">
        <f>TEXT(Table1[[#This Row],[Order Date]],"mm")</f>
        <v>04</v>
      </c>
      <c r="T243" s="4" t="str">
        <f>IF(Table1[[#This Row],[Sales]]&lt;0,"loss","profit")</f>
        <v>profit</v>
      </c>
      <c r="U243" s="4" t="str" cm="1">
        <f t="array" ref="U243">_xlfn.IFS(Table1[[#This Row],[Sales]]&gt;2000,"large",Table1[[#This Row],[Sales]]&gt;=500,"medium",Table1[[#This Row],[Sales]]&lt;500,"small")</f>
        <v>small</v>
      </c>
      <c r="V243" s="22">
        <f>Table1[[#This Row],[Profit]]/Table1[[#This Row],[Sales]]*100</f>
        <v>24.560055610434276</v>
      </c>
    </row>
    <row r="244" spans="1:22" x14ac:dyDescent="0.35">
      <c r="A244" s="4" t="s">
        <v>504</v>
      </c>
      <c r="B244" s="5">
        <v>45751</v>
      </c>
      <c r="C244" s="4" t="s">
        <v>505</v>
      </c>
      <c r="D244" s="4" t="s">
        <v>47</v>
      </c>
      <c r="E244" s="4" t="s">
        <v>87</v>
      </c>
      <c r="F244" s="4" t="s">
        <v>88</v>
      </c>
      <c r="G244" s="4" t="s">
        <v>31</v>
      </c>
      <c r="H244" s="4" t="s">
        <v>32</v>
      </c>
      <c r="I244" s="4">
        <v>8</v>
      </c>
      <c r="J244" s="6">
        <v>105.3</v>
      </c>
      <c r="K244" s="7">
        <v>0</v>
      </c>
      <c r="L244" s="6">
        <f t="shared" si="6"/>
        <v>842.4</v>
      </c>
      <c r="M244" s="6">
        <v>66.11</v>
      </c>
      <c r="N244" s="8">
        <f t="shared" si="7"/>
        <v>313.52</v>
      </c>
      <c r="O244" s="4" t="s">
        <v>25</v>
      </c>
      <c r="P244" s="4" t="s">
        <v>56</v>
      </c>
      <c r="Q244" s="4">
        <v>5</v>
      </c>
      <c r="R244" s="4" t="str">
        <f>TEXT(Table1[[#This Row],[Order Date]],"mmm")</f>
        <v>Apr</v>
      </c>
      <c r="S244" s="4" t="str">
        <f>TEXT(Table1[[#This Row],[Order Date]],"mm")</f>
        <v>04</v>
      </c>
      <c r="T244" s="4" t="str">
        <f>IF(Table1[[#This Row],[Sales]]&lt;0,"loss","profit")</f>
        <v>profit</v>
      </c>
      <c r="U244" s="4" t="str" cm="1">
        <f t="array" ref="U244">_xlfn.IFS(Table1[[#This Row],[Sales]]&gt;2000,"large",Table1[[#This Row],[Sales]]&gt;=500,"medium",Table1[[#This Row],[Sales]]&lt;500,"small")</f>
        <v>medium</v>
      </c>
      <c r="V244" s="22">
        <f>Table1[[#This Row],[Profit]]/Table1[[#This Row],[Sales]]*100</f>
        <v>37.217473884140553</v>
      </c>
    </row>
    <row r="245" spans="1:22" x14ac:dyDescent="0.35">
      <c r="A245" s="4" t="s">
        <v>506</v>
      </c>
      <c r="B245" s="5">
        <v>45751</v>
      </c>
      <c r="C245" s="4" t="s">
        <v>233</v>
      </c>
      <c r="D245" s="4" t="s">
        <v>47</v>
      </c>
      <c r="E245" s="4" t="s">
        <v>29</v>
      </c>
      <c r="F245" s="4" t="s">
        <v>108</v>
      </c>
      <c r="G245" s="4" t="s">
        <v>38</v>
      </c>
      <c r="H245" s="4" t="s">
        <v>39</v>
      </c>
      <c r="I245" s="4">
        <v>3</v>
      </c>
      <c r="J245" s="6">
        <v>125.59</v>
      </c>
      <c r="K245" s="7">
        <v>0.05</v>
      </c>
      <c r="L245" s="6">
        <f t="shared" si="6"/>
        <v>357.93149999999997</v>
      </c>
      <c r="M245" s="6">
        <v>96.23</v>
      </c>
      <c r="N245" s="8">
        <f t="shared" si="7"/>
        <v>69.241499999999974</v>
      </c>
      <c r="O245" s="4" t="s">
        <v>51</v>
      </c>
      <c r="P245" s="4" t="s">
        <v>75</v>
      </c>
      <c r="Q245" s="4">
        <v>4</v>
      </c>
      <c r="R245" s="4" t="str">
        <f>TEXT(Table1[[#This Row],[Order Date]],"mmm")</f>
        <v>Apr</v>
      </c>
      <c r="S245" s="4" t="str">
        <f>TEXT(Table1[[#This Row],[Order Date]],"mm")</f>
        <v>04</v>
      </c>
      <c r="T245" s="4" t="str">
        <f>IF(Table1[[#This Row],[Sales]]&lt;0,"loss","profit")</f>
        <v>profit</v>
      </c>
      <c r="U245" s="4" t="str" cm="1">
        <f t="array" ref="U245">_xlfn.IFS(Table1[[#This Row],[Sales]]&gt;2000,"large",Table1[[#This Row],[Sales]]&gt;=500,"medium",Table1[[#This Row],[Sales]]&lt;500,"small")</f>
        <v>small</v>
      </c>
      <c r="V245" s="22">
        <f>Table1[[#This Row],[Profit]]/Table1[[#This Row],[Sales]]*100</f>
        <v>19.344902586109349</v>
      </c>
    </row>
    <row r="246" spans="1:22" x14ac:dyDescent="0.35">
      <c r="A246" s="4" t="s">
        <v>507</v>
      </c>
      <c r="B246" s="5">
        <v>45751</v>
      </c>
      <c r="C246" s="4" t="s">
        <v>219</v>
      </c>
      <c r="D246" s="4" t="s">
        <v>47</v>
      </c>
      <c r="E246" s="4" t="s">
        <v>87</v>
      </c>
      <c r="F246" s="4" t="s">
        <v>124</v>
      </c>
      <c r="G246" s="4" t="s">
        <v>23</v>
      </c>
      <c r="H246" s="4" t="s">
        <v>44</v>
      </c>
      <c r="I246" s="4">
        <v>3</v>
      </c>
      <c r="J246" s="6">
        <v>150.91999999999999</v>
      </c>
      <c r="K246" s="7">
        <v>0.1</v>
      </c>
      <c r="L246" s="6">
        <f t="shared" si="6"/>
        <v>407.48399999999998</v>
      </c>
      <c r="M246" s="6">
        <v>68.63</v>
      </c>
      <c r="N246" s="8">
        <f t="shared" si="7"/>
        <v>201.59399999999999</v>
      </c>
      <c r="O246" s="4" t="s">
        <v>40</v>
      </c>
      <c r="P246" s="4" t="s">
        <v>118</v>
      </c>
      <c r="Q246" s="4">
        <v>4</v>
      </c>
      <c r="R246" s="4" t="str">
        <f>TEXT(Table1[[#This Row],[Order Date]],"mmm")</f>
        <v>Apr</v>
      </c>
      <c r="S246" s="4" t="str">
        <f>TEXT(Table1[[#This Row],[Order Date]],"mm")</f>
        <v>04</v>
      </c>
      <c r="T246" s="4" t="str">
        <f>IF(Table1[[#This Row],[Sales]]&lt;0,"loss","profit")</f>
        <v>profit</v>
      </c>
      <c r="U246" s="4" t="str" cm="1">
        <f t="array" ref="U246">_xlfn.IFS(Table1[[#This Row],[Sales]]&gt;2000,"large",Table1[[#This Row],[Sales]]&gt;=500,"medium",Table1[[#This Row],[Sales]]&lt;500,"small")</f>
        <v>small</v>
      </c>
      <c r="V246" s="22">
        <f>Table1[[#This Row],[Profit]]/Table1[[#This Row],[Sales]]*100</f>
        <v>49.472862738168857</v>
      </c>
    </row>
    <row r="247" spans="1:22" x14ac:dyDescent="0.35">
      <c r="A247" s="4" t="s">
        <v>508</v>
      </c>
      <c r="B247" s="5">
        <v>45752</v>
      </c>
      <c r="C247" s="4" t="s">
        <v>509</v>
      </c>
      <c r="D247" s="4" t="s">
        <v>20</v>
      </c>
      <c r="E247" s="4" t="s">
        <v>36</v>
      </c>
      <c r="F247" s="4" t="s">
        <v>201</v>
      </c>
      <c r="G247" s="4" t="s">
        <v>67</v>
      </c>
      <c r="H247" s="4" t="s">
        <v>93</v>
      </c>
      <c r="I247" s="4">
        <v>5</v>
      </c>
      <c r="J247" s="6">
        <v>251.33</v>
      </c>
      <c r="K247" s="7">
        <v>0</v>
      </c>
      <c r="L247" s="6">
        <f t="shared" si="6"/>
        <v>1256.6500000000001</v>
      </c>
      <c r="M247" s="6">
        <v>152.63</v>
      </c>
      <c r="N247" s="8">
        <f t="shared" si="7"/>
        <v>493.50000000000011</v>
      </c>
      <c r="O247" s="4" t="s">
        <v>51</v>
      </c>
      <c r="P247" s="4" t="s">
        <v>33</v>
      </c>
      <c r="Q247" s="4">
        <v>5</v>
      </c>
      <c r="R247" s="4" t="str">
        <f>TEXT(Table1[[#This Row],[Order Date]],"mmm")</f>
        <v>Apr</v>
      </c>
      <c r="S247" s="4" t="str">
        <f>TEXT(Table1[[#This Row],[Order Date]],"mm")</f>
        <v>04</v>
      </c>
      <c r="T247" s="4" t="str">
        <f>IF(Table1[[#This Row],[Sales]]&lt;0,"loss","profit")</f>
        <v>profit</v>
      </c>
      <c r="U247" s="4" t="str" cm="1">
        <f t="array" ref="U247">_xlfn.IFS(Table1[[#This Row],[Sales]]&gt;2000,"large",Table1[[#This Row],[Sales]]&gt;=500,"medium",Table1[[#This Row],[Sales]]&lt;500,"small")</f>
        <v>medium</v>
      </c>
      <c r="V247" s="22">
        <f>Table1[[#This Row],[Profit]]/Table1[[#This Row],[Sales]]*100</f>
        <v>39.271077865754194</v>
      </c>
    </row>
    <row r="248" spans="1:22" x14ac:dyDescent="0.35">
      <c r="A248" s="4" t="s">
        <v>510</v>
      </c>
      <c r="B248" s="5">
        <v>45752</v>
      </c>
      <c r="C248" s="4" t="s">
        <v>511</v>
      </c>
      <c r="D248" s="4" t="s">
        <v>43</v>
      </c>
      <c r="E248" s="4" t="s">
        <v>87</v>
      </c>
      <c r="F248" s="4" t="s">
        <v>88</v>
      </c>
      <c r="G248" s="4" t="s">
        <v>23</v>
      </c>
      <c r="H248" s="4" t="s">
        <v>71</v>
      </c>
      <c r="I248" s="4">
        <v>1</v>
      </c>
      <c r="J248" s="6">
        <v>169.58</v>
      </c>
      <c r="K248" s="7">
        <v>0.1</v>
      </c>
      <c r="L248" s="6">
        <f t="shared" si="6"/>
        <v>152.62200000000001</v>
      </c>
      <c r="M248" s="6">
        <v>70.569999999999993</v>
      </c>
      <c r="N248" s="8">
        <f t="shared" si="7"/>
        <v>82.052000000000021</v>
      </c>
      <c r="O248" s="4" t="s">
        <v>84</v>
      </c>
      <c r="P248" s="4" t="s">
        <v>61</v>
      </c>
      <c r="Q248" s="4">
        <v>4</v>
      </c>
      <c r="R248" s="4" t="str">
        <f>TEXT(Table1[[#This Row],[Order Date]],"mmm")</f>
        <v>Apr</v>
      </c>
      <c r="S248" s="4" t="str">
        <f>TEXT(Table1[[#This Row],[Order Date]],"mm")</f>
        <v>04</v>
      </c>
      <c r="T248" s="4" t="str">
        <f>IF(Table1[[#This Row],[Sales]]&lt;0,"loss","profit")</f>
        <v>profit</v>
      </c>
      <c r="U248" s="4" t="str" cm="1">
        <f t="array" ref="U248">_xlfn.IFS(Table1[[#This Row],[Sales]]&gt;2000,"large",Table1[[#This Row],[Sales]]&gt;=500,"medium",Table1[[#This Row],[Sales]]&lt;500,"small")</f>
        <v>small</v>
      </c>
      <c r="V248" s="22">
        <f>Table1[[#This Row],[Profit]]/Table1[[#This Row],[Sales]]*100</f>
        <v>53.761580899215069</v>
      </c>
    </row>
    <row r="249" spans="1:22" x14ac:dyDescent="0.35">
      <c r="A249" s="4" t="s">
        <v>512</v>
      </c>
      <c r="B249" s="5">
        <v>45753</v>
      </c>
      <c r="C249" s="4" t="s">
        <v>513</v>
      </c>
      <c r="D249" s="4" t="s">
        <v>20</v>
      </c>
      <c r="E249" s="4" t="s">
        <v>29</v>
      </c>
      <c r="F249" s="4" t="s">
        <v>108</v>
      </c>
      <c r="G249" s="4" t="s">
        <v>31</v>
      </c>
      <c r="H249" s="4" t="s">
        <v>64</v>
      </c>
      <c r="I249" s="4">
        <v>3</v>
      </c>
      <c r="J249" s="6">
        <v>189.17</v>
      </c>
      <c r="K249" s="7">
        <v>0.1</v>
      </c>
      <c r="L249" s="6">
        <f t="shared" si="6"/>
        <v>510.75900000000001</v>
      </c>
      <c r="M249" s="6">
        <v>113.09</v>
      </c>
      <c r="N249" s="8">
        <f t="shared" si="7"/>
        <v>171.48900000000003</v>
      </c>
      <c r="O249" s="4" t="s">
        <v>51</v>
      </c>
      <c r="P249" s="4" t="s">
        <v>33</v>
      </c>
      <c r="Q249" s="4">
        <v>5</v>
      </c>
      <c r="R249" s="4" t="str">
        <f>TEXT(Table1[[#This Row],[Order Date]],"mmm")</f>
        <v>Apr</v>
      </c>
      <c r="S249" s="4" t="str">
        <f>TEXT(Table1[[#This Row],[Order Date]],"mm")</f>
        <v>04</v>
      </c>
      <c r="T249" s="4" t="str">
        <f>IF(Table1[[#This Row],[Sales]]&lt;0,"loss","profit")</f>
        <v>profit</v>
      </c>
      <c r="U249" s="4" t="str" cm="1">
        <f t="array" ref="U249">_xlfn.IFS(Table1[[#This Row],[Sales]]&gt;2000,"large",Table1[[#This Row],[Sales]]&gt;=500,"medium",Table1[[#This Row],[Sales]]&lt;500,"small")</f>
        <v>medium</v>
      </c>
      <c r="V249" s="22">
        <f>Table1[[#This Row],[Profit]]/Table1[[#This Row],[Sales]]*100</f>
        <v>33.57532613228549</v>
      </c>
    </row>
    <row r="250" spans="1:22" x14ac:dyDescent="0.35">
      <c r="A250" s="4" t="s">
        <v>514</v>
      </c>
      <c r="B250" s="5">
        <v>45755</v>
      </c>
      <c r="C250" s="4" t="s">
        <v>515</v>
      </c>
      <c r="D250" s="4" t="s">
        <v>47</v>
      </c>
      <c r="E250" s="4" t="s">
        <v>87</v>
      </c>
      <c r="F250" s="4" t="s">
        <v>88</v>
      </c>
      <c r="G250" s="4" t="s">
        <v>23</v>
      </c>
      <c r="H250" s="4" t="s">
        <v>135</v>
      </c>
      <c r="I250" s="4">
        <v>3</v>
      </c>
      <c r="J250" s="6">
        <v>22.11</v>
      </c>
      <c r="K250" s="7">
        <v>0</v>
      </c>
      <c r="L250" s="6">
        <f t="shared" si="6"/>
        <v>66.33</v>
      </c>
      <c r="M250" s="6">
        <v>14.23</v>
      </c>
      <c r="N250" s="8">
        <f t="shared" si="7"/>
        <v>23.64</v>
      </c>
      <c r="O250" s="4" t="s">
        <v>25</v>
      </c>
      <c r="P250" s="4" t="s">
        <v>33</v>
      </c>
      <c r="Q250" s="4">
        <v>3</v>
      </c>
      <c r="R250" s="4" t="str">
        <f>TEXT(Table1[[#This Row],[Order Date]],"mmm")</f>
        <v>Apr</v>
      </c>
      <c r="S250" s="4" t="str">
        <f>TEXT(Table1[[#This Row],[Order Date]],"mm")</f>
        <v>04</v>
      </c>
      <c r="T250" s="4" t="str">
        <f>IF(Table1[[#This Row],[Sales]]&lt;0,"loss","profit")</f>
        <v>profit</v>
      </c>
      <c r="U250" s="4" t="str" cm="1">
        <f t="array" ref="U250">_xlfn.IFS(Table1[[#This Row],[Sales]]&gt;2000,"large",Table1[[#This Row],[Sales]]&gt;=500,"medium",Table1[[#This Row],[Sales]]&lt;500,"small")</f>
        <v>small</v>
      </c>
      <c r="V250" s="22">
        <f>Table1[[#This Row],[Profit]]/Table1[[#This Row],[Sales]]*100</f>
        <v>35.639981908638632</v>
      </c>
    </row>
    <row r="251" spans="1:22" x14ac:dyDescent="0.35">
      <c r="A251" s="4" t="s">
        <v>516</v>
      </c>
      <c r="B251" s="5">
        <v>45755</v>
      </c>
      <c r="C251" s="4" t="s">
        <v>176</v>
      </c>
      <c r="D251" s="4" t="s">
        <v>20</v>
      </c>
      <c r="E251" s="4" t="s">
        <v>36</v>
      </c>
      <c r="F251" s="4" t="s">
        <v>201</v>
      </c>
      <c r="G251" s="4" t="s">
        <v>38</v>
      </c>
      <c r="H251" s="4" t="s">
        <v>55</v>
      </c>
      <c r="I251" s="4">
        <v>1</v>
      </c>
      <c r="J251" s="6">
        <v>85.08</v>
      </c>
      <c r="K251" s="7">
        <v>0.15</v>
      </c>
      <c r="L251" s="6">
        <f t="shared" si="6"/>
        <v>72.317999999999998</v>
      </c>
      <c r="M251" s="6">
        <v>69.67</v>
      </c>
      <c r="N251" s="8">
        <f t="shared" si="7"/>
        <v>2.6479999999999961</v>
      </c>
      <c r="O251" s="4" t="s">
        <v>84</v>
      </c>
      <c r="P251" s="4" t="s">
        <v>97</v>
      </c>
      <c r="Q251" s="4">
        <v>3</v>
      </c>
      <c r="R251" s="4" t="str">
        <f>TEXT(Table1[[#This Row],[Order Date]],"mmm")</f>
        <v>Apr</v>
      </c>
      <c r="S251" s="4" t="str">
        <f>TEXT(Table1[[#This Row],[Order Date]],"mm")</f>
        <v>04</v>
      </c>
      <c r="T251" s="4" t="str">
        <f>IF(Table1[[#This Row],[Sales]]&lt;0,"loss","profit")</f>
        <v>profit</v>
      </c>
      <c r="U251" s="4" t="str" cm="1">
        <f t="array" ref="U251">_xlfn.IFS(Table1[[#This Row],[Sales]]&gt;2000,"large",Table1[[#This Row],[Sales]]&gt;=500,"medium",Table1[[#This Row],[Sales]]&lt;500,"small")</f>
        <v>small</v>
      </c>
      <c r="V251" s="22">
        <f>Table1[[#This Row],[Profit]]/Table1[[#This Row],[Sales]]*100</f>
        <v>3.6616056859979484</v>
      </c>
    </row>
    <row r="252" spans="1:22" x14ac:dyDescent="0.35">
      <c r="A252" s="4" t="s">
        <v>517</v>
      </c>
      <c r="B252" s="5">
        <v>45755</v>
      </c>
      <c r="C252" s="4" t="s">
        <v>518</v>
      </c>
      <c r="D252" s="4" t="s">
        <v>43</v>
      </c>
      <c r="E252" s="4" t="s">
        <v>29</v>
      </c>
      <c r="F252" s="4" t="s">
        <v>30</v>
      </c>
      <c r="G252" s="4" t="s">
        <v>31</v>
      </c>
      <c r="H252" s="4" t="s">
        <v>64</v>
      </c>
      <c r="I252" s="4">
        <v>2</v>
      </c>
      <c r="J252" s="6">
        <v>185.52</v>
      </c>
      <c r="K252" s="7">
        <v>0.1</v>
      </c>
      <c r="L252" s="6">
        <f t="shared" si="6"/>
        <v>333.93600000000004</v>
      </c>
      <c r="M252" s="6">
        <v>137.4</v>
      </c>
      <c r="N252" s="8">
        <f t="shared" si="7"/>
        <v>59.136000000000024</v>
      </c>
      <c r="O252" s="4" t="s">
        <v>51</v>
      </c>
      <c r="P252" s="4" t="s">
        <v>75</v>
      </c>
      <c r="Q252" s="4">
        <v>1</v>
      </c>
      <c r="R252" s="4" t="str">
        <f>TEXT(Table1[[#This Row],[Order Date]],"mmm")</f>
        <v>Apr</v>
      </c>
      <c r="S252" s="4" t="str">
        <f>TEXT(Table1[[#This Row],[Order Date]],"mm")</f>
        <v>04</v>
      </c>
      <c r="T252" s="4" t="str">
        <f>IF(Table1[[#This Row],[Sales]]&lt;0,"loss","profit")</f>
        <v>profit</v>
      </c>
      <c r="U252" s="4" t="str" cm="1">
        <f t="array" ref="U252">_xlfn.IFS(Table1[[#This Row],[Sales]]&gt;2000,"large",Table1[[#This Row],[Sales]]&gt;=500,"medium",Table1[[#This Row],[Sales]]&lt;500,"small")</f>
        <v>small</v>
      </c>
      <c r="V252" s="22">
        <f>Table1[[#This Row],[Profit]]/Table1[[#This Row],[Sales]]*100</f>
        <v>17.70878252120167</v>
      </c>
    </row>
    <row r="253" spans="1:22" x14ac:dyDescent="0.35">
      <c r="A253" s="4" t="s">
        <v>519</v>
      </c>
      <c r="B253" s="5">
        <v>45755</v>
      </c>
      <c r="C253" s="4" t="s">
        <v>294</v>
      </c>
      <c r="D253" s="4" t="s">
        <v>20</v>
      </c>
      <c r="E253" s="4" t="s">
        <v>36</v>
      </c>
      <c r="F253" s="4" t="s">
        <v>37</v>
      </c>
      <c r="G253" s="4" t="s">
        <v>67</v>
      </c>
      <c r="H253" s="4" t="s">
        <v>68</v>
      </c>
      <c r="I253" s="4">
        <v>2</v>
      </c>
      <c r="J253" s="6">
        <v>1046.99</v>
      </c>
      <c r="K253" s="7">
        <v>0.1</v>
      </c>
      <c r="L253" s="6">
        <f t="shared" si="6"/>
        <v>1884.5820000000001</v>
      </c>
      <c r="M253" s="6">
        <v>646.73</v>
      </c>
      <c r="N253" s="8">
        <f t="shared" si="7"/>
        <v>591.12200000000007</v>
      </c>
      <c r="O253" s="4" t="s">
        <v>84</v>
      </c>
      <c r="P253" s="4" t="s">
        <v>33</v>
      </c>
      <c r="Q253" s="4">
        <v>4</v>
      </c>
      <c r="R253" s="4" t="str">
        <f>TEXT(Table1[[#This Row],[Order Date]],"mmm")</f>
        <v>Apr</v>
      </c>
      <c r="S253" s="4" t="str">
        <f>TEXT(Table1[[#This Row],[Order Date]],"mm")</f>
        <v>04</v>
      </c>
      <c r="T253" s="4" t="str">
        <f>IF(Table1[[#This Row],[Sales]]&lt;0,"loss","profit")</f>
        <v>profit</v>
      </c>
      <c r="U253" s="4" t="str" cm="1">
        <f t="array" ref="U253">_xlfn.IFS(Table1[[#This Row],[Sales]]&gt;2000,"large",Table1[[#This Row],[Sales]]&gt;=500,"medium",Table1[[#This Row],[Sales]]&lt;500,"small")</f>
        <v>medium</v>
      </c>
      <c r="V253" s="22">
        <f>Table1[[#This Row],[Profit]]/Table1[[#This Row],[Sales]]*100</f>
        <v>31.366212772911979</v>
      </c>
    </row>
    <row r="254" spans="1:22" x14ac:dyDescent="0.35">
      <c r="A254" s="4" t="s">
        <v>520</v>
      </c>
      <c r="B254" s="5">
        <v>45755</v>
      </c>
      <c r="C254" s="4" t="s">
        <v>521</v>
      </c>
      <c r="D254" s="4" t="s">
        <v>47</v>
      </c>
      <c r="E254" s="4" t="s">
        <v>21</v>
      </c>
      <c r="F254" s="4" t="s">
        <v>81</v>
      </c>
      <c r="G254" s="4" t="s">
        <v>49</v>
      </c>
      <c r="H254" s="4" t="s">
        <v>50</v>
      </c>
      <c r="I254" s="4">
        <v>1</v>
      </c>
      <c r="J254" s="6">
        <v>19.11</v>
      </c>
      <c r="K254" s="7">
        <v>0</v>
      </c>
      <c r="L254" s="6">
        <f t="shared" si="6"/>
        <v>19.11</v>
      </c>
      <c r="M254" s="6">
        <v>13.67</v>
      </c>
      <c r="N254" s="8">
        <f t="shared" si="7"/>
        <v>5.4399999999999995</v>
      </c>
      <c r="O254" s="4" t="s">
        <v>84</v>
      </c>
      <c r="P254" s="4" t="s">
        <v>33</v>
      </c>
      <c r="Q254" s="4">
        <v>1</v>
      </c>
      <c r="R254" s="4" t="str">
        <f>TEXT(Table1[[#This Row],[Order Date]],"mmm")</f>
        <v>Apr</v>
      </c>
      <c r="S254" s="4" t="str">
        <f>TEXT(Table1[[#This Row],[Order Date]],"mm")</f>
        <v>04</v>
      </c>
      <c r="T254" s="4" t="str">
        <f>IF(Table1[[#This Row],[Sales]]&lt;0,"loss","profit")</f>
        <v>profit</v>
      </c>
      <c r="U254" s="4" t="str" cm="1">
        <f t="array" ref="U254">_xlfn.IFS(Table1[[#This Row],[Sales]]&gt;2000,"large",Table1[[#This Row],[Sales]]&gt;=500,"medium",Table1[[#This Row],[Sales]]&lt;500,"small")</f>
        <v>small</v>
      </c>
      <c r="V254" s="22">
        <f>Table1[[#This Row],[Profit]]/Table1[[#This Row],[Sales]]*100</f>
        <v>28.46677132391418</v>
      </c>
    </row>
    <row r="255" spans="1:22" x14ac:dyDescent="0.35">
      <c r="A255" s="4" t="s">
        <v>522</v>
      </c>
      <c r="B255" s="5">
        <v>45756</v>
      </c>
      <c r="C255" s="4" t="s">
        <v>435</v>
      </c>
      <c r="D255" s="4" t="s">
        <v>20</v>
      </c>
      <c r="E255" s="4" t="s">
        <v>21</v>
      </c>
      <c r="F255" s="4" t="s">
        <v>59</v>
      </c>
      <c r="G255" s="4" t="s">
        <v>23</v>
      </c>
      <c r="H255" s="4" t="s">
        <v>24</v>
      </c>
      <c r="I255" s="4">
        <v>3</v>
      </c>
      <c r="J255" s="6">
        <v>27.6</v>
      </c>
      <c r="K255" s="7">
        <v>0.1</v>
      </c>
      <c r="L255" s="6">
        <f t="shared" si="6"/>
        <v>74.52000000000001</v>
      </c>
      <c r="M255" s="6">
        <v>11.53</v>
      </c>
      <c r="N255" s="8">
        <f t="shared" si="7"/>
        <v>39.930000000000014</v>
      </c>
      <c r="O255" s="4" t="s">
        <v>51</v>
      </c>
      <c r="P255" s="4" t="s">
        <v>118</v>
      </c>
      <c r="Q255" s="4">
        <v>2</v>
      </c>
      <c r="R255" s="4" t="str">
        <f>TEXT(Table1[[#This Row],[Order Date]],"mmm")</f>
        <v>Apr</v>
      </c>
      <c r="S255" s="4" t="str">
        <f>TEXT(Table1[[#This Row],[Order Date]],"mm")</f>
        <v>04</v>
      </c>
      <c r="T255" s="4" t="str">
        <f>IF(Table1[[#This Row],[Sales]]&lt;0,"loss","profit")</f>
        <v>profit</v>
      </c>
      <c r="U255" s="4" t="str" cm="1">
        <f t="array" ref="U255">_xlfn.IFS(Table1[[#This Row],[Sales]]&gt;2000,"large",Table1[[#This Row],[Sales]]&gt;=500,"medium",Table1[[#This Row],[Sales]]&lt;500,"small")</f>
        <v>small</v>
      </c>
      <c r="V255" s="22">
        <f>Table1[[#This Row],[Profit]]/Table1[[#This Row],[Sales]]*100</f>
        <v>53.582930756843815</v>
      </c>
    </row>
    <row r="256" spans="1:22" x14ac:dyDescent="0.35">
      <c r="A256" s="4" t="s">
        <v>523</v>
      </c>
      <c r="B256" s="5">
        <v>45756</v>
      </c>
      <c r="C256" s="4" t="s">
        <v>524</v>
      </c>
      <c r="D256" s="4" t="s">
        <v>47</v>
      </c>
      <c r="E256" s="4" t="s">
        <v>87</v>
      </c>
      <c r="F256" s="4" t="s">
        <v>92</v>
      </c>
      <c r="G256" s="4" t="s">
        <v>31</v>
      </c>
      <c r="H256" s="4" t="s">
        <v>125</v>
      </c>
      <c r="I256" s="4">
        <v>2</v>
      </c>
      <c r="J256" s="6">
        <v>192.69</v>
      </c>
      <c r="K256" s="7">
        <v>0.05</v>
      </c>
      <c r="L256" s="6">
        <f t="shared" si="6"/>
        <v>366.11099999999999</v>
      </c>
      <c r="M256" s="6">
        <v>124.45</v>
      </c>
      <c r="N256" s="8">
        <f t="shared" si="7"/>
        <v>117.21099999999998</v>
      </c>
      <c r="O256" s="4" t="s">
        <v>84</v>
      </c>
      <c r="P256" s="4" t="s">
        <v>118</v>
      </c>
      <c r="Q256" s="4">
        <v>4</v>
      </c>
      <c r="R256" s="4" t="str">
        <f>TEXT(Table1[[#This Row],[Order Date]],"mmm")</f>
        <v>Apr</v>
      </c>
      <c r="S256" s="4" t="str">
        <f>TEXT(Table1[[#This Row],[Order Date]],"mm")</f>
        <v>04</v>
      </c>
      <c r="T256" s="4" t="str">
        <f>IF(Table1[[#This Row],[Sales]]&lt;0,"loss","profit")</f>
        <v>profit</v>
      </c>
      <c r="U256" s="4" t="str" cm="1">
        <f t="array" ref="U256">_xlfn.IFS(Table1[[#This Row],[Sales]]&gt;2000,"large",Table1[[#This Row],[Sales]]&gt;=500,"medium",Table1[[#This Row],[Sales]]&lt;500,"small")</f>
        <v>small</v>
      </c>
      <c r="V256" s="22">
        <f>Table1[[#This Row],[Profit]]/Table1[[#This Row],[Sales]]*100</f>
        <v>32.015153874098289</v>
      </c>
    </row>
    <row r="257" spans="1:22" x14ac:dyDescent="0.35">
      <c r="A257" s="4" t="s">
        <v>525</v>
      </c>
      <c r="B257" s="5">
        <v>45756</v>
      </c>
      <c r="C257" s="4" t="s">
        <v>526</v>
      </c>
      <c r="D257" s="4" t="s">
        <v>20</v>
      </c>
      <c r="E257" s="4" t="s">
        <v>21</v>
      </c>
      <c r="F257" s="4" t="s">
        <v>22</v>
      </c>
      <c r="G257" s="4" t="s">
        <v>67</v>
      </c>
      <c r="H257" s="4" t="s">
        <v>68</v>
      </c>
      <c r="I257" s="4">
        <v>3</v>
      </c>
      <c r="J257" s="6">
        <v>1196.97</v>
      </c>
      <c r="K257" s="7">
        <v>0.05</v>
      </c>
      <c r="L257" s="6">
        <f t="shared" si="6"/>
        <v>3411.3644999999997</v>
      </c>
      <c r="M257" s="6">
        <v>760.39</v>
      </c>
      <c r="N257" s="8">
        <f t="shared" si="7"/>
        <v>1130.1944999999996</v>
      </c>
      <c r="O257" s="4" t="s">
        <v>51</v>
      </c>
      <c r="P257" s="4" t="s">
        <v>72</v>
      </c>
      <c r="Q257" s="4">
        <v>5</v>
      </c>
      <c r="R257" s="4" t="str">
        <f>TEXT(Table1[[#This Row],[Order Date]],"mmm")</f>
        <v>Apr</v>
      </c>
      <c r="S257" s="4" t="str">
        <f>TEXT(Table1[[#This Row],[Order Date]],"mm")</f>
        <v>04</v>
      </c>
      <c r="T257" s="4" t="str">
        <f>IF(Table1[[#This Row],[Sales]]&lt;0,"loss","profit")</f>
        <v>profit</v>
      </c>
      <c r="U257" s="4" t="str" cm="1">
        <f t="array" ref="U257">_xlfn.IFS(Table1[[#This Row],[Sales]]&gt;2000,"large",Table1[[#This Row],[Sales]]&gt;=500,"medium",Table1[[#This Row],[Sales]]&lt;500,"small")</f>
        <v>large</v>
      </c>
      <c r="V257" s="22">
        <f>Table1[[#This Row],[Profit]]/Table1[[#This Row],[Sales]]*100</f>
        <v>33.130276755825996</v>
      </c>
    </row>
    <row r="258" spans="1:22" x14ac:dyDescent="0.35">
      <c r="A258" s="4" t="s">
        <v>527</v>
      </c>
      <c r="B258" s="5">
        <v>45756</v>
      </c>
      <c r="C258" s="4" t="s">
        <v>528</v>
      </c>
      <c r="D258" s="4" t="s">
        <v>20</v>
      </c>
      <c r="E258" s="4" t="s">
        <v>21</v>
      </c>
      <c r="F258" s="4" t="s">
        <v>81</v>
      </c>
      <c r="G258" s="4" t="s">
        <v>31</v>
      </c>
      <c r="H258" s="4" t="s">
        <v>64</v>
      </c>
      <c r="I258" s="4">
        <v>1</v>
      </c>
      <c r="J258" s="6">
        <v>120.09</v>
      </c>
      <c r="K258" s="7">
        <v>0.1</v>
      </c>
      <c r="L258" s="6">
        <f t="shared" ref="L258:L321" si="8">I258*J258*(1-K258)</f>
        <v>108.081</v>
      </c>
      <c r="M258" s="6">
        <v>70.94</v>
      </c>
      <c r="N258" s="8">
        <f t="shared" ref="N258:N321" si="9">L258-I258*M258</f>
        <v>37.141000000000005</v>
      </c>
      <c r="O258" s="4" t="s">
        <v>25</v>
      </c>
      <c r="P258" s="4" t="s">
        <v>26</v>
      </c>
      <c r="Q258" s="4">
        <v>4</v>
      </c>
      <c r="R258" s="4" t="str">
        <f>TEXT(Table1[[#This Row],[Order Date]],"mmm")</f>
        <v>Apr</v>
      </c>
      <c r="S258" s="4" t="str">
        <f>TEXT(Table1[[#This Row],[Order Date]],"mm")</f>
        <v>04</v>
      </c>
      <c r="T258" s="4" t="str">
        <f>IF(Table1[[#This Row],[Sales]]&lt;0,"loss","profit")</f>
        <v>profit</v>
      </c>
      <c r="U258" s="4" t="str" cm="1">
        <f t="array" ref="U258">_xlfn.IFS(Table1[[#This Row],[Sales]]&gt;2000,"large",Table1[[#This Row],[Sales]]&gt;=500,"medium",Table1[[#This Row],[Sales]]&lt;500,"small")</f>
        <v>small</v>
      </c>
      <c r="V258" s="22">
        <f>Table1[[#This Row],[Profit]]/Table1[[#This Row],[Sales]]*100</f>
        <v>34.364041783477212</v>
      </c>
    </row>
    <row r="259" spans="1:22" x14ac:dyDescent="0.35">
      <c r="A259" s="4" t="s">
        <v>529</v>
      </c>
      <c r="B259" s="5">
        <v>45756</v>
      </c>
      <c r="C259" s="4" t="s">
        <v>465</v>
      </c>
      <c r="D259" s="4" t="s">
        <v>47</v>
      </c>
      <c r="E259" s="4" t="s">
        <v>21</v>
      </c>
      <c r="F259" s="4" t="s">
        <v>22</v>
      </c>
      <c r="G259" s="4" t="s">
        <v>67</v>
      </c>
      <c r="H259" s="4" t="s">
        <v>93</v>
      </c>
      <c r="I259" s="4">
        <v>10</v>
      </c>
      <c r="J259" s="6">
        <v>273.75</v>
      </c>
      <c r="K259" s="7">
        <v>0.1</v>
      </c>
      <c r="L259" s="6">
        <f t="shared" si="8"/>
        <v>2463.75</v>
      </c>
      <c r="M259" s="6">
        <v>214.49</v>
      </c>
      <c r="N259" s="8">
        <f t="shared" si="9"/>
        <v>318.84999999999991</v>
      </c>
      <c r="O259" s="4" t="s">
        <v>60</v>
      </c>
      <c r="P259" s="4" t="s">
        <v>72</v>
      </c>
      <c r="Q259" s="4">
        <v>4</v>
      </c>
      <c r="R259" s="4" t="str">
        <f>TEXT(Table1[[#This Row],[Order Date]],"mmm")</f>
        <v>Apr</v>
      </c>
      <c r="S259" s="4" t="str">
        <f>TEXT(Table1[[#This Row],[Order Date]],"mm")</f>
        <v>04</v>
      </c>
      <c r="T259" s="4" t="str">
        <f>IF(Table1[[#This Row],[Sales]]&lt;0,"loss","profit")</f>
        <v>profit</v>
      </c>
      <c r="U259" s="4" t="str" cm="1">
        <f t="array" ref="U259">_xlfn.IFS(Table1[[#This Row],[Sales]]&gt;2000,"large",Table1[[#This Row],[Sales]]&gt;=500,"medium",Table1[[#This Row],[Sales]]&lt;500,"small")</f>
        <v>large</v>
      </c>
      <c r="V259" s="22">
        <f>Table1[[#This Row],[Profit]]/Table1[[#This Row],[Sales]]*100</f>
        <v>12.941653982749871</v>
      </c>
    </row>
    <row r="260" spans="1:22" x14ac:dyDescent="0.35">
      <c r="A260" s="4" t="s">
        <v>530</v>
      </c>
      <c r="B260" s="5">
        <v>45756</v>
      </c>
      <c r="C260" s="4" t="s">
        <v>511</v>
      </c>
      <c r="D260" s="4" t="s">
        <v>47</v>
      </c>
      <c r="E260" s="4" t="s">
        <v>29</v>
      </c>
      <c r="F260" s="4" t="s">
        <v>108</v>
      </c>
      <c r="G260" s="4" t="s">
        <v>31</v>
      </c>
      <c r="H260" s="4" t="s">
        <v>32</v>
      </c>
      <c r="I260" s="4">
        <v>5</v>
      </c>
      <c r="J260" s="6">
        <v>345.77</v>
      </c>
      <c r="K260" s="7">
        <v>0</v>
      </c>
      <c r="L260" s="6">
        <f t="shared" si="8"/>
        <v>1728.85</v>
      </c>
      <c r="M260" s="6">
        <v>245.11</v>
      </c>
      <c r="N260" s="8">
        <f t="shared" si="9"/>
        <v>503.29999999999973</v>
      </c>
      <c r="O260" s="4" t="s">
        <v>60</v>
      </c>
      <c r="P260" s="4" t="s">
        <v>26</v>
      </c>
      <c r="Q260" s="4">
        <v>5</v>
      </c>
      <c r="R260" s="4" t="str">
        <f>TEXT(Table1[[#This Row],[Order Date]],"mmm")</f>
        <v>Apr</v>
      </c>
      <c r="S260" s="4" t="str">
        <f>TEXT(Table1[[#This Row],[Order Date]],"mm")</f>
        <v>04</v>
      </c>
      <c r="T260" s="4" t="str">
        <f>IF(Table1[[#This Row],[Sales]]&lt;0,"loss","profit")</f>
        <v>profit</v>
      </c>
      <c r="U260" s="4" t="str" cm="1">
        <f t="array" ref="U260">_xlfn.IFS(Table1[[#This Row],[Sales]]&gt;2000,"large",Table1[[#This Row],[Sales]]&gt;=500,"medium",Table1[[#This Row],[Sales]]&lt;500,"small")</f>
        <v>medium</v>
      </c>
      <c r="V260" s="22">
        <f>Table1[[#This Row],[Profit]]/Table1[[#This Row],[Sales]]*100</f>
        <v>29.111837348526464</v>
      </c>
    </row>
    <row r="261" spans="1:22" x14ac:dyDescent="0.35">
      <c r="A261" s="4" t="s">
        <v>531</v>
      </c>
      <c r="B261" s="5">
        <v>45757</v>
      </c>
      <c r="C261" s="4" t="s">
        <v>532</v>
      </c>
      <c r="D261" s="4" t="s">
        <v>43</v>
      </c>
      <c r="E261" s="4" t="s">
        <v>21</v>
      </c>
      <c r="F261" s="4" t="s">
        <v>59</v>
      </c>
      <c r="G261" s="4" t="s">
        <v>38</v>
      </c>
      <c r="H261" s="4" t="s">
        <v>89</v>
      </c>
      <c r="I261" s="4">
        <v>5</v>
      </c>
      <c r="J261" s="6">
        <v>690.7</v>
      </c>
      <c r="K261" s="7">
        <v>0.15</v>
      </c>
      <c r="L261" s="6">
        <f t="shared" si="8"/>
        <v>2935.4749999999999</v>
      </c>
      <c r="M261" s="6">
        <v>539.35</v>
      </c>
      <c r="N261" s="8">
        <f t="shared" si="9"/>
        <v>238.72499999999991</v>
      </c>
      <c r="O261" s="4" t="s">
        <v>40</v>
      </c>
      <c r="P261" s="4" t="s">
        <v>97</v>
      </c>
      <c r="Q261" s="4">
        <v>4</v>
      </c>
      <c r="R261" s="4" t="str">
        <f>TEXT(Table1[[#This Row],[Order Date]],"mmm")</f>
        <v>Apr</v>
      </c>
      <c r="S261" s="4" t="str">
        <f>TEXT(Table1[[#This Row],[Order Date]],"mm")</f>
        <v>04</v>
      </c>
      <c r="T261" s="4" t="str">
        <f>IF(Table1[[#This Row],[Sales]]&lt;0,"loss","profit")</f>
        <v>profit</v>
      </c>
      <c r="U261" s="4" t="str" cm="1">
        <f t="array" ref="U261">_xlfn.IFS(Table1[[#This Row],[Sales]]&gt;2000,"large",Table1[[#This Row],[Sales]]&gt;=500,"medium",Table1[[#This Row],[Sales]]&lt;500,"small")</f>
        <v>large</v>
      </c>
      <c r="V261" s="22">
        <f>Table1[[#This Row],[Profit]]/Table1[[#This Row],[Sales]]*100</f>
        <v>8.1324146858685538</v>
      </c>
    </row>
    <row r="262" spans="1:22" x14ac:dyDescent="0.35">
      <c r="A262" s="4" t="s">
        <v>533</v>
      </c>
      <c r="B262" s="5">
        <v>45757</v>
      </c>
      <c r="C262" s="4" t="s">
        <v>534</v>
      </c>
      <c r="D262" s="4" t="s">
        <v>43</v>
      </c>
      <c r="E262" s="4" t="s">
        <v>21</v>
      </c>
      <c r="F262" s="4" t="s">
        <v>59</v>
      </c>
      <c r="G262" s="4" t="s">
        <v>38</v>
      </c>
      <c r="H262" s="4" t="s">
        <v>89</v>
      </c>
      <c r="I262" s="4">
        <v>3</v>
      </c>
      <c r="J262" s="6">
        <v>1051.1300000000001</v>
      </c>
      <c r="K262" s="7">
        <v>0.1</v>
      </c>
      <c r="L262" s="6">
        <f t="shared" si="8"/>
        <v>2838.0510000000004</v>
      </c>
      <c r="M262" s="6">
        <v>844.88</v>
      </c>
      <c r="N262" s="8">
        <f t="shared" si="9"/>
        <v>303.41100000000051</v>
      </c>
      <c r="O262" s="4" t="s">
        <v>51</v>
      </c>
      <c r="P262" s="4" t="s">
        <v>56</v>
      </c>
      <c r="Q262" s="4">
        <v>3</v>
      </c>
      <c r="R262" s="4" t="str">
        <f>TEXT(Table1[[#This Row],[Order Date]],"mmm")</f>
        <v>Apr</v>
      </c>
      <c r="S262" s="4" t="str">
        <f>TEXT(Table1[[#This Row],[Order Date]],"mm")</f>
        <v>04</v>
      </c>
      <c r="T262" s="4" t="str">
        <f>IF(Table1[[#This Row],[Sales]]&lt;0,"loss","profit")</f>
        <v>profit</v>
      </c>
      <c r="U262" s="4" t="str" cm="1">
        <f t="array" ref="U262">_xlfn.IFS(Table1[[#This Row],[Sales]]&gt;2000,"large",Table1[[#This Row],[Sales]]&gt;=500,"medium",Table1[[#This Row],[Sales]]&lt;500,"small")</f>
        <v>large</v>
      </c>
      <c r="V262" s="22">
        <f>Table1[[#This Row],[Profit]]/Table1[[#This Row],[Sales]]*100</f>
        <v>10.690822680776366</v>
      </c>
    </row>
    <row r="263" spans="1:22" x14ac:dyDescent="0.35">
      <c r="A263" s="4" t="s">
        <v>535</v>
      </c>
      <c r="B263" s="5">
        <v>45758</v>
      </c>
      <c r="C263" s="4" t="s">
        <v>254</v>
      </c>
      <c r="D263" s="4" t="s">
        <v>20</v>
      </c>
      <c r="E263" s="4" t="s">
        <v>29</v>
      </c>
      <c r="F263" s="4" t="s">
        <v>30</v>
      </c>
      <c r="G263" s="4" t="s">
        <v>31</v>
      </c>
      <c r="H263" s="4" t="s">
        <v>147</v>
      </c>
      <c r="I263" s="4">
        <v>5</v>
      </c>
      <c r="J263" s="6">
        <v>51.74</v>
      </c>
      <c r="K263" s="7">
        <v>0</v>
      </c>
      <c r="L263" s="6">
        <f t="shared" si="8"/>
        <v>258.7</v>
      </c>
      <c r="M263" s="6">
        <v>29.22</v>
      </c>
      <c r="N263" s="8">
        <f t="shared" si="9"/>
        <v>112.6</v>
      </c>
      <c r="O263" s="4" t="s">
        <v>84</v>
      </c>
      <c r="P263" s="4" t="s">
        <v>61</v>
      </c>
      <c r="Q263" s="4">
        <v>5</v>
      </c>
      <c r="R263" s="4" t="str">
        <f>TEXT(Table1[[#This Row],[Order Date]],"mmm")</f>
        <v>Apr</v>
      </c>
      <c r="S263" s="4" t="str">
        <f>TEXT(Table1[[#This Row],[Order Date]],"mm")</f>
        <v>04</v>
      </c>
      <c r="T263" s="4" t="str">
        <f>IF(Table1[[#This Row],[Sales]]&lt;0,"loss","profit")</f>
        <v>profit</v>
      </c>
      <c r="U263" s="4" t="str" cm="1">
        <f t="array" ref="U263">_xlfn.IFS(Table1[[#This Row],[Sales]]&gt;2000,"large",Table1[[#This Row],[Sales]]&gt;=500,"medium",Table1[[#This Row],[Sales]]&lt;500,"small")</f>
        <v>small</v>
      </c>
      <c r="V263" s="22">
        <f>Table1[[#This Row],[Profit]]/Table1[[#This Row],[Sales]]*100</f>
        <v>43.525318902203324</v>
      </c>
    </row>
    <row r="264" spans="1:22" x14ac:dyDescent="0.35">
      <c r="A264" s="4" t="s">
        <v>536</v>
      </c>
      <c r="B264" s="5">
        <v>45759</v>
      </c>
      <c r="C264" s="4" t="s">
        <v>377</v>
      </c>
      <c r="D264" s="4" t="s">
        <v>47</v>
      </c>
      <c r="E264" s="4" t="s">
        <v>36</v>
      </c>
      <c r="F264" s="4" t="s">
        <v>48</v>
      </c>
      <c r="G264" s="4" t="s">
        <v>31</v>
      </c>
      <c r="H264" s="4" t="s">
        <v>64</v>
      </c>
      <c r="I264" s="4">
        <v>3</v>
      </c>
      <c r="J264" s="6">
        <v>241.63</v>
      </c>
      <c r="K264" s="7">
        <v>0.05</v>
      </c>
      <c r="L264" s="6">
        <f t="shared" si="8"/>
        <v>688.64549999999997</v>
      </c>
      <c r="M264" s="6">
        <v>174.26</v>
      </c>
      <c r="N264" s="8">
        <f t="shared" si="9"/>
        <v>165.8655</v>
      </c>
      <c r="O264" s="4" t="s">
        <v>60</v>
      </c>
      <c r="P264" s="4" t="s">
        <v>97</v>
      </c>
      <c r="Q264" s="4">
        <v>4</v>
      </c>
      <c r="R264" s="4" t="str">
        <f>TEXT(Table1[[#This Row],[Order Date]],"mmm")</f>
        <v>Apr</v>
      </c>
      <c r="S264" s="4" t="str">
        <f>TEXT(Table1[[#This Row],[Order Date]],"mm")</f>
        <v>04</v>
      </c>
      <c r="T264" s="4" t="str">
        <f>IF(Table1[[#This Row],[Sales]]&lt;0,"loss","profit")</f>
        <v>profit</v>
      </c>
      <c r="U264" s="4" t="str" cm="1">
        <f t="array" ref="U264">_xlfn.IFS(Table1[[#This Row],[Sales]]&gt;2000,"large",Table1[[#This Row],[Sales]]&gt;=500,"medium",Table1[[#This Row],[Sales]]&lt;500,"small")</f>
        <v>medium</v>
      </c>
      <c r="V264" s="22">
        <f>Table1[[#This Row],[Profit]]/Table1[[#This Row],[Sales]]*100</f>
        <v>24.085759654277854</v>
      </c>
    </row>
    <row r="265" spans="1:22" x14ac:dyDescent="0.35">
      <c r="A265" s="4" t="s">
        <v>537</v>
      </c>
      <c r="B265" s="5">
        <v>45759</v>
      </c>
      <c r="C265" s="4" t="s">
        <v>538</v>
      </c>
      <c r="D265" s="4" t="s">
        <v>47</v>
      </c>
      <c r="E265" s="4" t="s">
        <v>36</v>
      </c>
      <c r="F265" s="4" t="s">
        <v>48</v>
      </c>
      <c r="G265" s="4" t="s">
        <v>49</v>
      </c>
      <c r="H265" s="4" t="s">
        <v>78</v>
      </c>
      <c r="I265" s="4">
        <v>2</v>
      </c>
      <c r="J265" s="6">
        <v>286.52999999999997</v>
      </c>
      <c r="K265" s="7">
        <v>0.1</v>
      </c>
      <c r="L265" s="6">
        <f t="shared" si="8"/>
        <v>515.75400000000002</v>
      </c>
      <c r="M265" s="6">
        <v>172.41</v>
      </c>
      <c r="N265" s="8">
        <f t="shared" si="9"/>
        <v>170.93400000000003</v>
      </c>
      <c r="O265" s="4" t="s">
        <v>84</v>
      </c>
      <c r="P265" s="4" t="s">
        <v>61</v>
      </c>
      <c r="Q265" s="4">
        <v>3</v>
      </c>
      <c r="R265" s="4" t="str">
        <f>TEXT(Table1[[#This Row],[Order Date]],"mmm")</f>
        <v>Apr</v>
      </c>
      <c r="S265" s="4" t="str">
        <f>TEXT(Table1[[#This Row],[Order Date]],"mm")</f>
        <v>04</v>
      </c>
      <c r="T265" s="4" t="str">
        <f>IF(Table1[[#This Row],[Sales]]&lt;0,"loss","profit")</f>
        <v>profit</v>
      </c>
      <c r="U265" s="4" t="str" cm="1">
        <f t="array" ref="U265">_xlfn.IFS(Table1[[#This Row],[Sales]]&gt;2000,"large",Table1[[#This Row],[Sales]]&gt;=500,"medium",Table1[[#This Row],[Sales]]&lt;500,"small")</f>
        <v>medium</v>
      </c>
      <c r="V265" s="22">
        <f>Table1[[#This Row],[Profit]]/Table1[[#This Row],[Sales]]*100</f>
        <v>33.142544701543763</v>
      </c>
    </row>
    <row r="266" spans="1:22" x14ac:dyDescent="0.35">
      <c r="A266" s="4" t="s">
        <v>539</v>
      </c>
      <c r="B266" s="5">
        <v>45759</v>
      </c>
      <c r="C266" s="4" t="s">
        <v>258</v>
      </c>
      <c r="D266" s="4" t="s">
        <v>20</v>
      </c>
      <c r="E266" s="4" t="s">
        <v>21</v>
      </c>
      <c r="F266" s="4" t="s">
        <v>59</v>
      </c>
      <c r="G266" s="4" t="s">
        <v>31</v>
      </c>
      <c r="H266" s="4" t="s">
        <v>125</v>
      </c>
      <c r="I266" s="4">
        <v>2</v>
      </c>
      <c r="J266" s="6">
        <v>49.49</v>
      </c>
      <c r="K266" s="7">
        <v>0.05</v>
      </c>
      <c r="L266" s="6">
        <f t="shared" si="8"/>
        <v>94.031000000000006</v>
      </c>
      <c r="M266" s="6">
        <v>30.48</v>
      </c>
      <c r="N266" s="8">
        <f t="shared" si="9"/>
        <v>33.071000000000005</v>
      </c>
      <c r="O266" s="4" t="s">
        <v>60</v>
      </c>
      <c r="P266" s="4" t="s">
        <v>33</v>
      </c>
      <c r="Q266" s="4">
        <v>2</v>
      </c>
      <c r="R266" s="4" t="str">
        <f>TEXT(Table1[[#This Row],[Order Date]],"mmm")</f>
        <v>Apr</v>
      </c>
      <c r="S266" s="4" t="str">
        <f>TEXT(Table1[[#This Row],[Order Date]],"mm")</f>
        <v>04</v>
      </c>
      <c r="T266" s="4" t="str">
        <f>IF(Table1[[#This Row],[Sales]]&lt;0,"loss","profit")</f>
        <v>profit</v>
      </c>
      <c r="U266" s="4" t="str" cm="1">
        <f t="array" ref="U266">_xlfn.IFS(Table1[[#This Row],[Sales]]&gt;2000,"large",Table1[[#This Row],[Sales]]&gt;=500,"medium",Table1[[#This Row],[Sales]]&lt;500,"small")</f>
        <v>small</v>
      </c>
      <c r="V266" s="22">
        <f>Table1[[#This Row],[Profit]]/Table1[[#This Row],[Sales]]*100</f>
        <v>35.170316172326146</v>
      </c>
    </row>
    <row r="267" spans="1:22" x14ac:dyDescent="0.35">
      <c r="A267" s="4" t="s">
        <v>540</v>
      </c>
      <c r="B267" s="5">
        <v>45759</v>
      </c>
      <c r="C267" s="4" t="s">
        <v>350</v>
      </c>
      <c r="D267" s="4" t="s">
        <v>43</v>
      </c>
      <c r="E267" s="4" t="s">
        <v>87</v>
      </c>
      <c r="F267" s="4" t="s">
        <v>88</v>
      </c>
      <c r="G267" s="4" t="s">
        <v>31</v>
      </c>
      <c r="H267" s="4" t="s">
        <v>32</v>
      </c>
      <c r="I267" s="4">
        <v>1</v>
      </c>
      <c r="J267" s="6">
        <v>384.01</v>
      </c>
      <c r="K267" s="7">
        <v>0</v>
      </c>
      <c r="L267" s="6">
        <f t="shared" si="8"/>
        <v>384.01</v>
      </c>
      <c r="M267" s="6">
        <v>260.58</v>
      </c>
      <c r="N267" s="8">
        <f t="shared" si="9"/>
        <v>123.43</v>
      </c>
      <c r="O267" s="4" t="s">
        <v>40</v>
      </c>
      <c r="P267" s="4" t="s">
        <v>26</v>
      </c>
      <c r="Q267" s="4">
        <v>4</v>
      </c>
      <c r="R267" s="4" t="str">
        <f>TEXT(Table1[[#This Row],[Order Date]],"mmm")</f>
        <v>Apr</v>
      </c>
      <c r="S267" s="4" t="str">
        <f>TEXT(Table1[[#This Row],[Order Date]],"mm")</f>
        <v>04</v>
      </c>
      <c r="T267" s="4" t="str">
        <f>IF(Table1[[#This Row],[Sales]]&lt;0,"loss","profit")</f>
        <v>profit</v>
      </c>
      <c r="U267" s="4" t="str" cm="1">
        <f t="array" ref="U267">_xlfn.IFS(Table1[[#This Row],[Sales]]&gt;2000,"large",Table1[[#This Row],[Sales]]&gt;=500,"medium",Table1[[#This Row],[Sales]]&lt;500,"small")</f>
        <v>small</v>
      </c>
      <c r="V267" s="22">
        <f>Table1[[#This Row],[Profit]]/Table1[[#This Row],[Sales]]*100</f>
        <v>32.142392125205077</v>
      </c>
    </row>
    <row r="268" spans="1:22" x14ac:dyDescent="0.35">
      <c r="A268" s="4" t="s">
        <v>541</v>
      </c>
      <c r="B268" s="5">
        <v>45759</v>
      </c>
      <c r="C268" s="4" t="s">
        <v>542</v>
      </c>
      <c r="D268" s="4" t="s">
        <v>20</v>
      </c>
      <c r="E268" s="4" t="s">
        <v>36</v>
      </c>
      <c r="F268" s="4" t="s">
        <v>201</v>
      </c>
      <c r="G268" s="4" t="s">
        <v>31</v>
      </c>
      <c r="H268" s="4" t="s">
        <v>125</v>
      </c>
      <c r="I268" s="4">
        <v>1</v>
      </c>
      <c r="J268" s="6">
        <v>126.14</v>
      </c>
      <c r="K268" s="7">
        <v>0</v>
      </c>
      <c r="L268" s="6">
        <f t="shared" si="8"/>
        <v>126.14</v>
      </c>
      <c r="M268" s="6">
        <v>85.41</v>
      </c>
      <c r="N268" s="8">
        <f t="shared" si="9"/>
        <v>40.730000000000004</v>
      </c>
      <c r="O268" s="4" t="s">
        <v>40</v>
      </c>
      <c r="P268" s="4" t="s">
        <v>33</v>
      </c>
      <c r="Q268" s="4">
        <v>5</v>
      </c>
      <c r="R268" s="4" t="str">
        <f>TEXT(Table1[[#This Row],[Order Date]],"mmm")</f>
        <v>Apr</v>
      </c>
      <c r="S268" s="4" t="str">
        <f>TEXT(Table1[[#This Row],[Order Date]],"mm")</f>
        <v>04</v>
      </c>
      <c r="T268" s="4" t="str">
        <f>IF(Table1[[#This Row],[Sales]]&lt;0,"loss","profit")</f>
        <v>profit</v>
      </c>
      <c r="U268" s="4" t="str" cm="1">
        <f t="array" ref="U268">_xlfn.IFS(Table1[[#This Row],[Sales]]&gt;2000,"large",Table1[[#This Row],[Sales]]&gt;=500,"medium",Table1[[#This Row],[Sales]]&lt;500,"small")</f>
        <v>small</v>
      </c>
      <c r="V268" s="22">
        <f>Table1[[#This Row],[Profit]]/Table1[[#This Row],[Sales]]*100</f>
        <v>32.289519581417473</v>
      </c>
    </row>
    <row r="269" spans="1:22" x14ac:dyDescent="0.35">
      <c r="A269" s="4" t="s">
        <v>543</v>
      </c>
      <c r="B269" s="5">
        <v>45760</v>
      </c>
      <c r="C269" s="4" t="s">
        <v>207</v>
      </c>
      <c r="D269" s="4" t="s">
        <v>20</v>
      </c>
      <c r="E269" s="4" t="s">
        <v>36</v>
      </c>
      <c r="F269" s="4" t="s">
        <v>201</v>
      </c>
      <c r="G269" s="4" t="s">
        <v>38</v>
      </c>
      <c r="H269" s="4" t="s">
        <v>55</v>
      </c>
      <c r="I269" s="4">
        <v>2</v>
      </c>
      <c r="J269" s="6">
        <v>267.02999999999997</v>
      </c>
      <c r="K269" s="7">
        <v>0</v>
      </c>
      <c r="L269" s="6">
        <f t="shared" si="8"/>
        <v>534.05999999999995</v>
      </c>
      <c r="M269" s="6">
        <v>221.79</v>
      </c>
      <c r="N269" s="8">
        <f t="shared" si="9"/>
        <v>90.479999999999961</v>
      </c>
      <c r="O269" s="4" t="s">
        <v>60</v>
      </c>
      <c r="P269" s="4" t="s">
        <v>33</v>
      </c>
      <c r="Q269" s="4">
        <v>5</v>
      </c>
      <c r="R269" s="4" t="str">
        <f>TEXT(Table1[[#This Row],[Order Date]],"mmm")</f>
        <v>Apr</v>
      </c>
      <c r="S269" s="4" t="str">
        <f>TEXT(Table1[[#This Row],[Order Date]],"mm")</f>
        <v>04</v>
      </c>
      <c r="T269" s="4" t="str">
        <f>IF(Table1[[#This Row],[Sales]]&lt;0,"loss","profit")</f>
        <v>profit</v>
      </c>
      <c r="U269" s="4" t="str" cm="1">
        <f t="array" ref="U269">_xlfn.IFS(Table1[[#This Row],[Sales]]&gt;2000,"large",Table1[[#This Row],[Sales]]&gt;=500,"medium",Table1[[#This Row],[Sales]]&lt;500,"small")</f>
        <v>medium</v>
      </c>
      <c r="V269" s="22">
        <f>Table1[[#This Row],[Profit]]/Table1[[#This Row],[Sales]]*100</f>
        <v>16.941916638579929</v>
      </c>
    </row>
    <row r="270" spans="1:22" x14ac:dyDescent="0.35">
      <c r="A270" s="4" t="s">
        <v>544</v>
      </c>
      <c r="B270" s="5">
        <v>45760</v>
      </c>
      <c r="C270" s="4" t="s">
        <v>545</v>
      </c>
      <c r="D270" s="4" t="s">
        <v>20</v>
      </c>
      <c r="E270" s="4" t="s">
        <v>21</v>
      </c>
      <c r="F270" s="4" t="s">
        <v>59</v>
      </c>
      <c r="G270" s="4" t="s">
        <v>38</v>
      </c>
      <c r="H270" s="4" t="s">
        <v>39</v>
      </c>
      <c r="I270" s="4">
        <v>1</v>
      </c>
      <c r="J270" s="6">
        <v>152.68</v>
      </c>
      <c r="K270" s="7">
        <v>0</v>
      </c>
      <c r="L270" s="6">
        <f t="shared" si="8"/>
        <v>152.68</v>
      </c>
      <c r="M270" s="6">
        <v>120.61</v>
      </c>
      <c r="N270" s="8">
        <f t="shared" si="9"/>
        <v>32.070000000000007</v>
      </c>
      <c r="O270" s="4" t="s">
        <v>60</v>
      </c>
      <c r="P270" s="4" t="s">
        <v>97</v>
      </c>
      <c r="Q270" s="4">
        <v>5</v>
      </c>
      <c r="R270" s="4" t="str">
        <f>TEXT(Table1[[#This Row],[Order Date]],"mmm")</f>
        <v>Apr</v>
      </c>
      <c r="S270" s="4" t="str">
        <f>TEXT(Table1[[#This Row],[Order Date]],"mm")</f>
        <v>04</v>
      </c>
      <c r="T270" s="4" t="str">
        <f>IF(Table1[[#This Row],[Sales]]&lt;0,"loss","profit")</f>
        <v>profit</v>
      </c>
      <c r="U270" s="4" t="str" cm="1">
        <f t="array" ref="U270">_xlfn.IFS(Table1[[#This Row],[Sales]]&gt;2000,"large",Table1[[#This Row],[Sales]]&gt;=500,"medium",Table1[[#This Row],[Sales]]&lt;500,"small")</f>
        <v>small</v>
      </c>
      <c r="V270" s="22">
        <f>Table1[[#This Row],[Profit]]/Table1[[#This Row],[Sales]]*100</f>
        <v>21.004715745349756</v>
      </c>
    </row>
    <row r="271" spans="1:22" x14ac:dyDescent="0.35">
      <c r="A271" s="4" t="s">
        <v>546</v>
      </c>
      <c r="B271" s="5">
        <v>45760</v>
      </c>
      <c r="C271" s="4" t="s">
        <v>547</v>
      </c>
      <c r="D271" s="4" t="s">
        <v>20</v>
      </c>
      <c r="E271" s="4" t="s">
        <v>29</v>
      </c>
      <c r="F271" s="4" t="s">
        <v>108</v>
      </c>
      <c r="G271" s="4" t="s">
        <v>38</v>
      </c>
      <c r="H271" s="4" t="s">
        <v>89</v>
      </c>
      <c r="I271" s="4">
        <v>4</v>
      </c>
      <c r="J271" s="6">
        <v>1063.7</v>
      </c>
      <c r="K271" s="7">
        <v>0</v>
      </c>
      <c r="L271" s="6">
        <f t="shared" si="8"/>
        <v>4254.8</v>
      </c>
      <c r="M271" s="6">
        <v>870.62</v>
      </c>
      <c r="N271" s="8">
        <f t="shared" si="9"/>
        <v>772.32000000000016</v>
      </c>
      <c r="O271" s="4" t="s">
        <v>25</v>
      </c>
      <c r="P271" s="4" t="s">
        <v>61</v>
      </c>
      <c r="Q271" s="4">
        <v>4</v>
      </c>
      <c r="R271" s="4" t="str">
        <f>TEXT(Table1[[#This Row],[Order Date]],"mmm")</f>
        <v>Apr</v>
      </c>
      <c r="S271" s="4" t="str">
        <f>TEXT(Table1[[#This Row],[Order Date]],"mm")</f>
        <v>04</v>
      </c>
      <c r="T271" s="4" t="str">
        <f>IF(Table1[[#This Row],[Sales]]&lt;0,"loss","profit")</f>
        <v>profit</v>
      </c>
      <c r="U271" s="4" t="str" cm="1">
        <f t="array" ref="U271">_xlfn.IFS(Table1[[#This Row],[Sales]]&gt;2000,"large",Table1[[#This Row],[Sales]]&gt;=500,"medium",Table1[[#This Row],[Sales]]&lt;500,"small")</f>
        <v>large</v>
      </c>
      <c r="V271" s="22">
        <f>Table1[[#This Row],[Profit]]/Table1[[#This Row],[Sales]]*100</f>
        <v>18.151734511610421</v>
      </c>
    </row>
    <row r="272" spans="1:22" x14ac:dyDescent="0.35">
      <c r="A272" s="4" t="s">
        <v>548</v>
      </c>
      <c r="B272" s="5">
        <v>45762</v>
      </c>
      <c r="C272" s="4" t="s">
        <v>406</v>
      </c>
      <c r="D272" s="4" t="s">
        <v>43</v>
      </c>
      <c r="E272" s="4" t="s">
        <v>87</v>
      </c>
      <c r="F272" s="4" t="s">
        <v>124</v>
      </c>
      <c r="G272" s="4" t="s">
        <v>23</v>
      </c>
      <c r="H272" s="4" t="s">
        <v>44</v>
      </c>
      <c r="I272" s="4">
        <v>3</v>
      </c>
      <c r="J272" s="6">
        <v>83.66</v>
      </c>
      <c r="K272" s="7">
        <v>0.1</v>
      </c>
      <c r="L272" s="6">
        <f t="shared" si="8"/>
        <v>225.88200000000001</v>
      </c>
      <c r="M272" s="6">
        <v>54.16</v>
      </c>
      <c r="N272" s="8">
        <f t="shared" si="9"/>
        <v>63.402000000000015</v>
      </c>
      <c r="O272" s="4" t="s">
        <v>84</v>
      </c>
      <c r="P272" s="4" t="s">
        <v>61</v>
      </c>
      <c r="Q272" s="4">
        <v>4</v>
      </c>
      <c r="R272" s="4" t="str">
        <f>TEXT(Table1[[#This Row],[Order Date]],"mmm")</f>
        <v>Apr</v>
      </c>
      <c r="S272" s="4" t="str">
        <f>TEXT(Table1[[#This Row],[Order Date]],"mm")</f>
        <v>04</v>
      </c>
      <c r="T272" s="4" t="str">
        <f>IF(Table1[[#This Row],[Sales]]&lt;0,"loss","profit")</f>
        <v>profit</v>
      </c>
      <c r="U272" s="4" t="str" cm="1">
        <f t="array" ref="U272">_xlfn.IFS(Table1[[#This Row],[Sales]]&gt;2000,"large",Table1[[#This Row],[Sales]]&gt;=500,"medium",Table1[[#This Row],[Sales]]&lt;500,"small")</f>
        <v>small</v>
      </c>
      <c r="V272" s="22">
        <f>Table1[[#This Row],[Profit]]/Table1[[#This Row],[Sales]]*100</f>
        <v>28.068637607246266</v>
      </c>
    </row>
    <row r="273" spans="1:22" x14ac:dyDescent="0.35">
      <c r="A273" s="4" t="s">
        <v>549</v>
      </c>
      <c r="B273" s="5">
        <v>45762</v>
      </c>
      <c r="C273" s="4" t="s">
        <v>550</v>
      </c>
      <c r="D273" s="4" t="s">
        <v>43</v>
      </c>
      <c r="E273" s="4" t="s">
        <v>36</v>
      </c>
      <c r="F273" s="4" t="s">
        <v>48</v>
      </c>
      <c r="G273" s="4" t="s">
        <v>23</v>
      </c>
      <c r="H273" s="4" t="s">
        <v>24</v>
      </c>
      <c r="I273" s="4">
        <v>1</v>
      </c>
      <c r="J273" s="6">
        <v>72.83</v>
      </c>
      <c r="K273" s="7">
        <v>0.05</v>
      </c>
      <c r="L273" s="6">
        <f t="shared" si="8"/>
        <v>69.188499999999991</v>
      </c>
      <c r="M273" s="6">
        <v>38.54</v>
      </c>
      <c r="N273" s="8">
        <f t="shared" si="9"/>
        <v>30.648499999999991</v>
      </c>
      <c r="O273" s="4" t="s">
        <v>25</v>
      </c>
      <c r="P273" s="4" t="s">
        <v>72</v>
      </c>
      <c r="Q273" s="4">
        <v>2</v>
      </c>
      <c r="R273" s="4" t="str">
        <f>TEXT(Table1[[#This Row],[Order Date]],"mmm")</f>
        <v>Apr</v>
      </c>
      <c r="S273" s="4" t="str">
        <f>TEXT(Table1[[#This Row],[Order Date]],"mm")</f>
        <v>04</v>
      </c>
      <c r="T273" s="4" t="str">
        <f>IF(Table1[[#This Row],[Sales]]&lt;0,"loss","profit")</f>
        <v>profit</v>
      </c>
      <c r="U273" s="4" t="str" cm="1">
        <f t="array" ref="U273">_xlfn.IFS(Table1[[#This Row],[Sales]]&gt;2000,"large",Table1[[#This Row],[Sales]]&gt;=500,"medium",Table1[[#This Row],[Sales]]&lt;500,"small")</f>
        <v>small</v>
      </c>
      <c r="V273" s="22">
        <f>Table1[[#This Row],[Profit]]/Table1[[#This Row],[Sales]]*100</f>
        <v>44.297101396908438</v>
      </c>
    </row>
    <row r="274" spans="1:22" x14ac:dyDescent="0.35">
      <c r="A274" s="4" t="s">
        <v>551</v>
      </c>
      <c r="B274" s="5">
        <v>45763</v>
      </c>
      <c r="C274" s="4" t="s">
        <v>211</v>
      </c>
      <c r="D274" s="4" t="s">
        <v>20</v>
      </c>
      <c r="E274" s="4" t="s">
        <v>21</v>
      </c>
      <c r="F274" s="4" t="s">
        <v>22</v>
      </c>
      <c r="G274" s="4" t="s">
        <v>38</v>
      </c>
      <c r="H274" s="4" t="s">
        <v>55</v>
      </c>
      <c r="I274" s="4">
        <v>10</v>
      </c>
      <c r="J274" s="6">
        <v>134.79</v>
      </c>
      <c r="K274" s="7">
        <v>0</v>
      </c>
      <c r="L274" s="6">
        <f t="shared" si="8"/>
        <v>1347.8999999999999</v>
      </c>
      <c r="M274" s="6">
        <v>102.75</v>
      </c>
      <c r="N274" s="8">
        <f t="shared" si="9"/>
        <v>320.39999999999986</v>
      </c>
      <c r="O274" s="4" t="s">
        <v>25</v>
      </c>
      <c r="P274" s="4" t="s">
        <v>33</v>
      </c>
      <c r="Q274" s="4">
        <v>4</v>
      </c>
      <c r="R274" s="4" t="str">
        <f>TEXT(Table1[[#This Row],[Order Date]],"mmm")</f>
        <v>Apr</v>
      </c>
      <c r="S274" s="4" t="str">
        <f>TEXT(Table1[[#This Row],[Order Date]],"mm")</f>
        <v>04</v>
      </c>
      <c r="T274" s="4" t="str">
        <f>IF(Table1[[#This Row],[Sales]]&lt;0,"loss","profit")</f>
        <v>profit</v>
      </c>
      <c r="U274" s="4" t="str" cm="1">
        <f t="array" ref="U274">_xlfn.IFS(Table1[[#This Row],[Sales]]&gt;2000,"large",Table1[[#This Row],[Sales]]&gt;=500,"medium",Table1[[#This Row],[Sales]]&lt;500,"small")</f>
        <v>medium</v>
      </c>
      <c r="V274" s="22">
        <f>Table1[[#This Row],[Profit]]/Table1[[#This Row],[Sales]]*100</f>
        <v>23.770309370131308</v>
      </c>
    </row>
    <row r="275" spans="1:22" x14ac:dyDescent="0.35">
      <c r="A275" s="4" t="s">
        <v>552</v>
      </c>
      <c r="B275" s="5">
        <v>45764</v>
      </c>
      <c r="C275" s="4" t="s">
        <v>547</v>
      </c>
      <c r="D275" s="4" t="s">
        <v>20</v>
      </c>
      <c r="E275" s="4" t="s">
        <v>21</v>
      </c>
      <c r="F275" s="4" t="s">
        <v>59</v>
      </c>
      <c r="G275" s="4" t="s">
        <v>23</v>
      </c>
      <c r="H275" s="4" t="s">
        <v>44</v>
      </c>
      <c r="I275" s="4">
        <v>1</v>
      </c>
      <c r="J275" s="6">
        <v>118.44</v>
      </c>
      <c r="K275" s="7">
        <v>0.2</v>
      </c>
      <c r="L275" s="6">
        <f t="shared" si="8"/>
        <v>94.75200000000001</v>
      </c>
      <c r="M275" s="6">
        <v>66.17</v>
      </c>
      <c r="N275" s="8">
        <f t="shared" si="9"/>
        <v>28.582000000000008</v>
      </c>
      <c r="O275" s="4" t="s">
        <v>40</v>
      </c>
      <c r="P275" s="4" t="s">
        <v>118</v>
      </c>
      <c r="Q275" s="4">
        <v>5</v>
      </c>
      <c r="R275" s="4" t="str">
        <f>TEXT(Table1[[#This Row],[Order Date]],"mmm")</f>
        <v>Apr</v>
      </c>
      <c r="S275" s="4" t="str">
        <f>TEXT(Table1[[#This Row],[Order Date]],"mm")</f>
        <v>04</v>
      </c>
      <c r="T275" s="4" t="str">
        <f>IF(Table1[[#This Row],[Sales]]&lt;0,"loss","profit")</f>
        <v>profit</v>
      </c>
      <c r="U275" s="4" t="str" cm="1">
        <f t="array" ref="U275">_xlfn.IFS(Table1[[#This Row],[Sales]]&gt;2000,"large",Table1[[#This Row],[Sales]]&gt;=500,"medium",Table1[[#This Row],[Sales]]&lt;500,"small")</f>
        <v>small</v>
      </c>
      <c r="V275" s="22">
        <f>Table1[[#This Row],[Profit]]/Table1[[#This Row],[Sales]]*100</f>
        <v>30.165062478892274</v>
      </c>
    </row>
    <row r="276" spans="1:22" x14ac:dyDescent="0.35">
      <c r="A276" s="4" t="s">
        <v>553</v>
      </c>
      <c r="B276" s="5">
        <v>45765</v>
      </c>
      <c r="C276" s="4" t="s">
        <v>197</v>
      </c>
      <c r="D276" s="4" t="s">
        <v>43</v>
      </c>
      <c r="E276" s="4" t="s">
        <v>87</v>
      </c>
      <c r="F276" s="4" t="s">
        <v>92</v>
      </c>
      <c r="G276" s="4" t="s">
        <v>67</v>
      </c>
      <c r="H276" s="4" t="s">
        <v>68</v>
      </c>
      <c r="I276" s="4">
        <v>1</v>
      </c>
      <c r="J276" s="6">
        <v>1098.45</v>
      </c>
      <c r="K276" s="7">
        <v>0</v>
      </c>
      <c r="L276" s="6">
        <f t="shared" si="8"/>
        <v>1098.45</v>
      </c>
      <c r="M276" s="6">
        <v>877.31</v>
      </c>
      <c r="N276" s="8">
        <f t="shared" si="9"/>
        <v>221.1400000000001</v>
      </c>
      <c r="O276" s="4" t="s">
        <v>84</v>
      </c>
      <c r="P276" s="4" t="s">
        <v>61</v>
      </c>
      <c r="Q276" s="4">
        <v>3</v>
      </c>
      <c r="R276" s="4" t="str">
        <f>TEXT(Table1[[#This Row],[Order Date]],"mmm")</f>
        <v>Apr</v>
      </c>
      <c r="S276" s="4" t="str">
        <f>TEXT(Table1[[#This Row],[Order Date]],"mm")</f>
        <v>04</v>
      </c>
      <c r="T276" s="4" t="str">
        <f>IF(Table1[[#This Row],[Sales]]&lt;0,"loss","profit")</f>
        <v>profit</v>
      </c>
      <c r="U276" s="4" t="str" cm="1">
        <f t="array" ref="U276">_xlfn.IFS(Table1[[#This Row],[Sales]]&gt;2000,"large",Table1[[#This Row],[Sales]]&gt;=500,"medium",Table1[[#This Row],[Sales]]&lt;500,"small")</f>
        <v>medium</v>
      </c>
      <c r="V276" s="22">
        <f>Table1[[#This Row],[Profit]]/Table1[[#This Row],[Sales]]*100</f>
        <v>20.132004187719065</v>
      </c>
    </row>
    <row r="277" spans="1:22" x14ac:dyDescent="0.35">
      <c r="A277" s="4" t="s">
        <v>554</v>
      </c>
      <c r="B277" s="5">
        <v>45765</v>
      </c>
      <c r="C277" s="4" t="s">
        <v>431</v>
      </c>
      <c r="D277" s="4" t="s">
        <v>47</v>
      </c>
      <c r="E277" s="4" t="s">
        <v>36</v>
      </c>
      <c r="F277" s="4" t="s">
        <v>37</v>
      </c>
      <c r="G277" s="4" t="s">
        <v>67</v>
      </c>
      <c r="H277" s="4" t="s">
        <v>121</v>
      </c>
      <c r="I277" s="4">
        <v>1</v>
      </c>
      <c r="J277" s="6">
        <v>324.61</v>
      </c>
      <c r="K277" s="7">
        <v>0.1</v>
      </c>
      <c r="L277" s="6">
        <f t="shared" si="8"/>
        <v>292.149</v>
      </c>
      <c r="M277" s="6">
        <v>232.77</v>
      </c>
      <c r="N277" s="8">
        <f t="shared" si="9"/>
        <v>59.378999999999991</v>
      </c>
      <c r="O277" s="4" t="s">
        <v>51</v>
      </c>
      <c r="P277" s="4" t="s">
        <v>61</v>
      </c>
      <c r="Q277" s="4">
        <v>4</v>
      </c>
      <c r="R277" s="4" t="str">
        <f>TEXT(Table1[[#This Row],[Order Date]],"mmm")</f>
        <v>Apr</v>
      </c>
      <c r="S277" s="4" t="str">
        <f>TEXT(Table1[[#This Row],[Order Date]],"mm")</f>
        <v>04</v>
      </c>
      <c r="T277" s="4" t="str">
        <f>IF(Table1[[#This Row],[Sales]]&lt;0,"loss","profit")</f>
        <v>profit</v>
      </c>
      <c r="U277" s="4" t="str" cm="1">
        <f t="array" ref="U277">_xlfn.IFS(Table1[[#This Row],[Sales]]&gt;2000,"large",Table1[[#This Row],[Sales]]&gt;=500,"medium",Table1[[#This Row],[Sales]]&lt;500,"small")</f>
        <v>small</v>
      </c>
      <c r="V277" s="22">
        <f>Table1[[#This Row],[Profit]]/Table1[[#This Row],[Sales]]*100</f>
        <v>20.324902703757324</v>
      </c>
    </row>
    <row r="278" spans="1:22" x14ac:dyDescent="0.35">
      <c r="A278" s="4" t="s">
        <v>555</v>
      </c>
      <c r="B278" s="5">
        <v>45765</v>
      </c>
      <c r="C278" s="4" t="s">
        <v>556</v>
      </c>
      <c r="D278" s="4" t="s">
        <v>47</v>
      </c>
      <c r="E278" s="4" t="s">
        <v>87</v>
      </c>
      <c r="F278" s="4" t="s">
        <v>88</v>
      </c>
      <c r="G278" s="4" t="s">
        <v>23</v>
      </c>
      <c r="H278" s="4" t="s">
        <v>24</v>
      </c>
      <c r="I278" s="4">
        <v>3</v>
      </c>
      <c r="J278" s="6">
        <v>27.8</v>
      </c>
      <c r="K278" s="7">
        <v>0</v>
      </c>
      <c r="L278" s="6">
        <f t="shared" si="8"/>
        <v>83.4</v>
      </c>
      <c r="M278" s="6">
        <v>14.08</v>
      </c>
      <c r="N278" s="8">
        <f t="shared" si="9"/>
        <v>41.160000000000004</v>
      </c>
      <c r="O278" s="4" t="s">
        <v>60</v>
      </c>
      <c r="P278" s="4" t="s">
        <v>61</v>
      </c>
      <c r="Q278" s="4">
        <v>3</v>
      </c>
      <c r="R278" s="4" t="str">
        <f>TEXT(Table1[[#This Row],[Order Date]],"mmm")</f>
        <v>Apr</v>
      </c>
      <c r="S278" s="4" t="str">
        <f>TEXT(Table1[[#This Row],[Order Date]],"mm")</f>
        <v>04</v>
      </c>
      <c r="T278" s="4" t="str">
        <f>IF(Table1[[#This Row],[Sales]]&lt;0,"loss","profit")</f>
        <v>profit</v>
      </c>
      <c r="U278" s="4" t="str" cm="1">
        <f t="array" ref="U278">_xlfn.IFS(Table1[[#This Row],[Sales]]&gt;2000,"large",Table1[[#This Row],[Sales]]&gt;=500,"medium",Table1[[#This Row],[Sales]]&lt;500,"small")</f>
        <v>small</v>
      </c>
      <c r="V278" s="22">
        <f>Table1[[#This Row],[Profit]]/Table1[[#This Row],[Sales]]*100</f>
        <v>49.352517985611513</v>
      </c>
    </row>
    <row r="279" spans="1:22" x14ac:dyDescent="0.35">
      <c r="A279" s="4" t="s">
        <v>557</v>
      </c>
      <c r="B279" s="5">
        <v>45765</v>
      </c>
      <c r="C279" s="4" t="s">
        <v>139</v>
      </c>
      <c r="D279" s="4" t="s">
        <v>47</v>
      </c>
      <c r="E279" s="4" t="s">
        <v>21</v>
      </c>
      <c r="F279" s="4" t="s">
        <v>59</v>
      </c>
      <c r="G279" s="4" t="s">
        <v>38</v>
      </c>
      <c r="H279" s="4" t="s">
        <v>96</v>
      </c>
      <c r="I279" s="4">
        <v>4</v>
      </c>
      <c r="J279" s="6">
        <v>479.65</v>
      </c>
      <c r="K279" s="7">
        <v>0.15</v>
      </c>
      <c r="L279" s="6">
        <f t="shared" si="8"/>
        <v>1630.81</v>
      </c>
      <c r="M279" s="6">
        <v>391.14</v>
      </c>
      <c r="N279" s="8">
        <f t="shared" si="9"/>
        <v>66.25</v>
      </c>
      <c r="O279" s="4" t="s">
        <v>40</v>
      </c>
      <c r="P279" s="4" t="s">
        <v>26</v>
      </c>
      <c r="Q279" s="4">
        <v>5</v>
      </c>
      <c r="R279" s="4" t="str">
        <f>TEXT(Table1[[#This Row],[Order Date]],"mmm")</f>
        <v>Apr</v>
      </c>
      <c r="S279" s="4" t="str">
        <f>TEXT(Table1[[#This Row],[Order Date]],"mm")</f>
        <v>04</v>
      </c>
      <c r="T279" s="4" t="str">
        <f>IF(Table1[[#This Row],[Sales]]&lt;0,"loss","profit")</f>
        <v>profit</v>
      </c>
      <c r="U279" s="4" t="str" cm="1">
        <f t="array" ref="U279">_xlfn.IFS(Table1[[#This Row],[Sales]]&gt;2000,"large",Table1[[#This Row],[Sales]]&gt;=500,"medium",Table1[[#This Row],[Sales]]&lt;500,"small")</f>
        <v>medium</v>
      </c>
      <c r="V279" s="22">
        <f>Table1[[#This Row],[Profit]]/Table1[[#This Row],[Sales]]*100</f>
        <v>4.062398440038999</v>
      </c>
    </row>
    <row r="280" spans="1:22" x14ac:dyDescent="0.35">
      <c r="A280" s="4" t="s">
        <v>558</v>
      </c>
      <c r="B280" s="5">
        <v>45766</v>
      </c>
      <c r="C280" s="4" t="s">
        <v>256</v>
      </c>
      <c r="D280" s="4" t="s">
        <v>20</v>
      </c>
      <c r="E280" s="4" t="s">
        <v>87</v>
      </c>
      <c r="F280" s="4" t="s">
        <v>124</v>
      </c>
      <c r="G280" s="4" t="s">
        <v>38</v>
      </c>
      <c r="H280" s="4" t="s">
        <v>96</v>
      </c>
      <c r="I280" s="4">
        <v>3</v>
      </c>
      <c r="J280" s="6">
        <v>480.46</v>
      </c>
      <c r="K280" s="7">
        <v>0</v>
      </c>
      <c r="L280" s="6">
        <f t="shared" si="8"/>
        <v>1441.3799999999999</v>
      </c>
      <c r="M280" s="6">
        <v>375.15</v>
      </c>
      <c r="N280" s="8">
        <f t="shared" si="9"/>
        <v>315.93000000000006</v>
      </c>
      <c r="O280" s="4" t="s">
        <v>25</v>
      </c>
      <c r="P280" s="4" t="s">
        <v>26</v>
      </c>
      <c r="Q280" s="4">
        <v>4</v>
      </c>
      <c r="R280" s="4" t="str">
        <f>TEXT(Table1[[#This Row],[Order Date]],"mmm")</f>
        <v>Apr</v>
      </c>
      <c r="S280" s="4" t="str">
        <f>TEXT(Table1[[#This Row],[Order Date]],"mm")</f>
        <v>04</v>
      </c>
      <c r="T280" s="4" t="str">
        <f>IF(Table1[[#This Row],[Sales]]&lt;0,"loss","profit")</f>
        <v>profit</v>
      </c>
      <c r="U280" s="4" t="str" cm="1">
        <f t="array" ref="U280">_xlfn.IFS(Table1[[#This Row],[Sales]]&gt;2000,"large",Table1[[#This Row],[Sales]]&gt;=500,"medium",Table1[[#This Row],[Sales]]&lt;500,"small")</f>
        <v>medium</v>
      </c>
      <c r="V280" s="22">
        <f>Table1[[#This Row],[Profit]]/Table1[[#This Row],[Sales]]*100</f>
        <v>21.91857802938851</v>
      </c>
    </row>
    <row r="281" spans="1:22" x14ac:dyDescent="0.35">
      <c r="A281" s="4" t="s">
        <v>559</v>
      </c>
      <c r="B281" s="5">
        <v>45766</v>
      </c>
      <c r="C281" s="4" t="s">
        <v>149</v>
      </c>
      <c r="D281" s="4" t="s">
        <v>47</v>
      </c>
      <c r="E281" s="4" t="s">
        <v>87</v>
      </c>
      <c r="F281" s="4" t="s">
        <v>124</v>
      </c>
      <c r="G281" s="4" t="s">
        <v>38</v>
      </c>
      <c r="H281" s="4" t="s">
        <v>96</v>
      </c>
      <c r="I281" s="4">
        <v>5</v>
      </c>
      <c r="J281" s="6">
        <v>362</v>
      </c>
      <c r="K281" s="7">
        <v>0.05</v>
      </c>
      <c r="L281" s="6">
        <f t="shared" si="8"/>
        <v>1719.5</v>
      </c>
      <c r="M281" s="6">
        <v>319.89999999999998</v>
      </c>
      <c r="N281" s="8">
        <f t="shared" si="9"/>
        <v>120</v>
      </c>
      <c r="O281" s="4" t="s">
        <v>51</v>
      </c>
      <c r="P281" s="4" t="s">
        <v>56</v>
      </c>
      <c r="Q281" s="4">
        <v>3</v>
      </c>
      <c r="R281" s="4" t="str">
        <f>TEXT(Table1[[#This Row],[Order Date]],"mmm")</f>
        <v>Apr</v>
      </c>
      <c r="S281" s="4" t="str">
        <f>TEXT(Table1[[#This Row],[Order Date]],"mm")</f>
        <v>04</v>
      </c>
      <c r="T281" s="4" t="str">
        <f>IF(Table1[[#This Row],[Sales]]&lt;0,"loss","profit")</f>
        <v>profit</v>
      </c>
      <c r="U281" s="4" t="str" cm="1">
        <f t="array" ref="U281">_xlfn.IFS(Table1[[#This Row],[Sales]]&gt;2000,"large",Table1[[#This Row],[Sales]]&gt;=500,"medium",Table1[[#This Row],[Sales]]&lt;500,"small")</f>
        <v>medium</v>
      </c>
      <c r="V281" s="22">
        <f>Table1[[#This Row],[Profit]]/Table1[[#This Row],[Sales]]*100</f>
        <v>6.9787728990985745</v>
      </c>
    </row>
    <row r="282" spans="1:22" x14ac:dyDescent="0.35">
      <c r="A282" s="4" t="s">
        <v>560</v>
      </c>
      <c r="B282" s="5">
        <v>45766</v>
      </c>
      <c r="C282" s="4" t="s">
        <v>509</v>
      </c>
      <c r="D282" s="4" t="s">
        <v>20</v>
      </c>
      <c r="E282" s="4" t="s">
        <v>21</v>
      </c>
      <c r="F282" s="4" t="s">
        <v>22</v>
      </c>
      <c r="G282" s="4" t="s">
        <v>49</v>
      </c>
      <c r="H282" s="4" t="s">
        <v>50</v>
      </c>
      <c r="I282" s="4">
        <v>2</v>
      </c>
      <c r="J282" s="6">
        <v>45.35</v>
      </c>
      <c r="K282" s="7">
        <v>0</v>
      </c>
      <c r="L282" s="6">
        <f t="shared" si="8"/>
        <v>90.7</v>
      </c>
      <c r="M282" s="6">
        <v>29.19</v>
      </c>
      <c r="N282" s="8">
        <f t="shared" si="9"/>
        <v>32.32</v>
      </c>
      <c r="O282" s="4" t="s">
        <v>60</v>
      </c>
      <c r="P282" s="4" t="s">
        <v>97</v>
      </c>
      <c r="Q282" s="4">
        <v>4</v>
      </c>
      <c r="R282" s="4" t="str">
        <f>TEXT(Table1[[#This Row],[Order Date]],"mmm")</f>
        <v>Apr</v>
      </c>
      <c r="S282" s="4" t="str">
        <f>TEXT(Table1[[#This Row],[Order Date]],"mm")</f>
        <v>04</v>
      </c>
      <c r="T282" s="4" t="str">
        <f>IF(Table1[[#This Row],[Sales]]&lt;0,"loss","profit")</f>
        <v>profit</v>
      </c>
      <c r="U282" s="4" t="str" cm="1">
        <f t="array" ref="U282">_xlfn.IFS(Table1[[#This Row],[Sales]]&gt;2000,"large",Table1[[#This Row],[Sales]]&gt;=500,"medium",Table1[[#This Row],[Sales]]&lt;500,"small")</f>
        <v>small</v>
      </c>
      <c r="V282" s="22">
        <f>Table1[[#This Row],[Profit]]/Table1[[#This Row],[Sales]]*100</f>
        <v>35.633958103638371</v>
      </c>
    </row>
    <row r="283" spans="1:22" x14ac:dyDescent="0.35">
      <c r="A283" s="4" t="s">
        <v>561</v>
      </c>
      <c r="B283" s="5">
        <v>45766</v>
      </c>
      <c r="C283" s="4" t="s">
        <v>296</v>
      </c>
      <c r="D283" s="4" t="s">
        <v>20</v>
      </c>
      <c r="E283" s="4" t="s">
        <v>29</v>
      </c>
      <c r="F283" s="4" t="s">
        <v>30</v>
      </c>
      <c r="G283" s="4" t="s">
        <v>67</v>
      </c>
      <c r="H283" s="4" t="s">
        <v>121</v>
      </c>
      <c r="I283" s="4">
        <v>2</v>
      </c>
      <c r="J283" s="6">
        <v>338.13</v>
      </c>
      <c r="K283" s="7">
        <v>0.15</v>
      </c>
      <c r="L283" s="6">
        <f t="shared" si="8"/>
        <v>574.82100000000003</v>
      </c>
      <c r="M283" s="6">
        <v>241.5</v>
      </c>
      <c r="N283" s="8">
        <f t="shared" si="9"/>
        <v>91.821000000000026</v>
      </c>
      <c r="O283" s="4" t="s">
        <v>51</v>
      </c>
      <c r="P283" s="4" t="s">
        <v>56</v>
      </c>
      <c r="Q283" s="4">
        <v>4</v>
      </c>
      <c r="R283" s="4" t="str">
        <f>TEXT(Table1[[#This Row],[Order Date]],"mmm")</f>
        <v>Apr</v>
      </c>
      <c r="S283" s="4" t="str">
        <f>TEXT(Table1[[#This Row],[Order Date]],"mm")</f>
        <v>04</v>
      </c>
      <c r="T283" s="4" t="str">
        <f>IF(Table1[[#This Row],[Sales]]&lt;0,"loss","profit")</f>
        <v>profit</v>
      </c>
      <c r="U283" s="4" t="str" cm="1">
        <f t="array" ref="U283">_xlfn.IFS(Table1[[#This Row],[Sales]]&gt;2000,"large",Table1[[#This Row],[Sales]]&gt;=500,"medium",Table1[[#This Row],[Sales]]&lt;500,"small")</f>
        <v>medium</v>
      </c>
      <c r="V283" s="22">
        <f>Table1[[#This Row],[Profit]]/Table1[[#This Row],[Sales]]*100</f>
        <v>15.973842291774313</v>
      </c>
    </row>
    <row r="284" spans="1:22" x14ac:dyDescent="0.35">
      <c r="A284" s="4" t="s">
        <v>562</v>
      </c>
      <c r="B284" s="5">
        <v>45766</v>
      </c>
      <c r="C284" s="4" t="s">
        <v>563</v>
      </c>
      <c r="D284" s="4" t="s">
        <v>20</v>
      </c>
      <c r="E284" s="4" t="s">
        <v>29</v>
      </c>
      <c r="F284" s="4" t="s">
        <v>30</v>
      </c>
      <c r="G284" s="4" t="s">
        <v>67</v>
      </c>
      <c r="H284" s="4" t="s">
        <v>93</v>
      </c>
      <c r="I284" s="4">
        <v>1</v>
      </c>
      <c r="J284" s="6">
        <v>556.84</v>
      </c>
      <c r="K284" s="7">
        <v>0.1</v>
      </c>
      <c r="L284" s="6">
        <f t="shared" si="8"/>
        <v>501.15600000000006</v>
      </c>
      <c r="M284" s="6">
        <v>436.14</v>
      </c>
      <c r="N284" s="8">
        <f t="shared" si="9"/>
        <v>65.016000000000076</v>
      </c>
      <c r="O284" s="4" t="s">
        <v>51</v>
      </c>
      <c r="P284" s="4" t="s">
        <v>56</v>
      </c>
      <c r="Q284" s="4">
        <v>4</v>
      </c>
      <c r="R284" s="4" t="str">
        <f>TEXT(Table1[[#This Row],[Order Date]],"mmm")</f>
        <v>Apr</v>
      </c>
      <c r="S284" s="4" t="str">
        <f>TEXT(Table1[[#This Row],[Order Date]],"mm")</f>
        <v>04</v>
      </c>
      <c r="T284" s="4" t="str">
        <f>IF(Table1[[#This Row],[Sales]]&lt;0,"loss","profit")</f>
        <v>profit</v>
      </c>
      <c r="U284" s="4" t="str" cm="1">
        <f t="array" ref="U284">_xlfn.IFS(Table1[[#This Row],[Sales]]&gt;2000,"large",Table1[[#This Row],[Sales]]&gt;=500,"medium",Table1[[#This Row],[Sales]]&lt;500,"small")</f>
        <v>medium</v>
      </c>
      <c r="V284" s="22">
        <f>Table1[[#This Row],[Profit]]/Table1[[#This Row],[Sales]]*100</f>
        <v>12.973205947848587</v>
      </c>
    </row>
    <row r="285" spans="1:22" x14ac:dyDescent="0.35">
      <c r="A285" s="4" t="s">
        <v>564</v>
      </c>
      <c r="B285" s="5">
        <v>45766</v>
      </c>
      <c r="C285" s="4" t="s">
        <v>565</v>
      </c>
      <c r="D285" s="4" t="s">
        <v>43</v>
      </c>
      <c r="E285" s="4" t="s">
        <v>36</v>
      </c>
      <c r="F285" s="4" t="s">
        <v>48</v>
      </c>
      <c r="G285" s="4" t="s">
        <v>67</v>
      </c>
      <c r="H285" s="4" t="s">
        <v>93</v>
      </c>
      <c r="I285" s="4">
        <v>1</v>
      </c>
      <c r="J285" s="6">
        <v>450.13</v>
      </c>
      <c r="K285" s="7">
        <v>0.1</v>
      </c>
      <c r="L285" s="6">
        <f t="shared" si="8"/>
        <v>405.11700000000002</v>
      </c>
      <c r="M285" s="6">
        <v>331.66</v>
      </c>
      <c r="N285" s="8">
        <f t="shared" si="9"/>
        <v>73.456999999999994</v>
      </c>
      <c r="O285" s="4" t="s">
        <v>51</v>
      </c>
      <c r="P285" s="4" t="s">
        <v>97</v>
      </c>
      <c r="Q285" s="4">
        <v>4</v>
      </c>
      <c r="R285" s="4" t="str">
        <f>TEXT(Table1[[#This Row],[Order Date]],"mmm")</f>
        <v>Apr</v>
      </c>
      <c r="S285" s="4" t="str">
        <f>TEXT(Table1[[#This Row],[Order Date]],"mm")</f>
        <v>04</v>
      </c>
      <c r="T285" s="4" t="str">
        <f>IF(Table1[[#This Row],[Sales]]&lt;0,"loss","profit")</f>
        <v>profit</v>
      </c>
      <c r="U285" s="4" t="str" cm="1">
        <f t="array" ref="U285">_xlfn.IFS(Table1[[#This Row],[Sales]]&gt;2000,"large",Table1[[#This Row],[Sales]]&gt;=500,"medium",Table1[[#This Row],[Sales]]&lt;500,"small")</f>
        <v>small</v>
      </c>
      <c r="V285" s="22">
        <f>Table1[[#This Row],[Profit]]/Table1[[#This Row],[Sales]]*100</f>
        <v>18.132292646321922</v>
      </c>
    </row>
    <row r="286" spans="1:22" x14ac:dyDescent="0.35">
      <c r="A286" s="4" t="s">
        <v>566</v>
      </c>
      <c r="B286" s="5">
        <v>45767</v>
      </c>
      <c r="C286" s="4" t="s">
        <v>565</v>
      </c>
      <c r="D286" s="4" t="s">
        <v>43</v>
      </c>
      <c r="E286" s="4" t="s">
        <v>29</v>
      </c>
      <c r="F286" s="4" t="s">
        <v>54</v>
      </c>
      <c r="G286" s="4" t="s">
        <v>23</v>
      </c>
      <c r="H286" s="4" t="s">
        <v>44</v>
      </c>
      <c r="I286" s="4">
        <v>2</v>
      </c>
      <c r="J286" s="6">
        <v>130.6</v>
      </c>
      <c r="K286" s="7">
        <v>0.05</v>
      </c>
      <c r="L286" s="6">
        <f t="shared" si="8"/>
        <v>248.14</v>
      </c>
      <c r="M286" s="6">
        <v>71.400000000000006</v>
      </c>
      <c r="N286" s="8">
        <f t="shared" si="9"/>
        <v>105.33999999999997</v>
      </c>
      <c r="O286" s="4" t="s">
        <v>51</v>
      </c>
      <c r="P286" s="4" t="s">
        <v>118</v>
      </c>
      <c r="Q286" s="4">
        <v>5</v>
      </c>
      <c r="R286" s="4" t="str">
        <f>TEXT(Table1[[#This Row],[Order Date]],"mmm")</f>
        <v>Apr</v>
      </c>
      <c r="S286" s="4" t="str">
        <f>TEXT(Table1[[#This Row],[Order Date]],"mm")</f>
        <v>04</v>
      </c>
      <c r="T286" s="4" t="str">
        <f>IF(Table1[[#This Row],[Sales]]&lt;0,"loss","profit")</f>
        <v>profit</v>
      </c>
      <c r="U286" s="4" t="str" cm="1">
        <f t="array" ref="U286">_xlfn.IFS(Table1[[#This Row],[Sales]]&gt;2000,"large",Table1[[#This Row],[Sales]]&gt;=500,"medium",Table1[[#This Row],[Sales]]&lt;500,"small")</f>
        <v>small</v>
      </c>
      <c r="V286" s="22">
        <f>Table1[[#This Row],[Profit]]/Table1[[#This Row],[Sales]]*100</f>
        <v>42.451841702264844</v>
      </c>
    </row>
    <row r="287" spans="1:22" x14ac:dyDescent="0.35">
      <c r="A287" s="4" t="s">
        <v>567</v>
      </c>
      <c r="B287" s="5">
        <v>45767</v>
      </c>
      <c r="C287" s="4" t="s">
        <v>83</v>
      </c>
      <c r="D287" s="4" t="s">
        <v>47</v>
      </c>
      <c r="E287" s="4" t="s">
        <v>87</v>
      </c>
      <c r="F287" s="4" t="s">
        <v>92</v>
      </c>
      <c r="G287" s="4" t="s">
        <v>67</v>
      </c>
      <c r="H287" s="4" t="s">
        <v>93</v>
      </c>
      <c r="I287" s="4">
        <v>4</v>
      </c>
      <c r="J287" s="6">
        <v>530.4</v>
      </c>
      <c r="K287" s="7">
        <v>0.2</v>
      </c>
      <c r="L287" s="6">
        <f t="shared" si="8"/>
        <v>1697.28</v>
      </c>
      <c r="M287" s="6">
        <v>354.38</v>
      </c>
      <c r="N287" s="8">
        <f t="shared" si="9"/>
        <v>279.76</v>
      </c>
      <c r="O287" s="4" t="s">
        <v>51</v>
      </c>
      <c r="P287" s="4" t="s">
        <v>97</v>
      </c>
      <c r="Q287" s="4">
        <v>5</v>
      </c>
      <c r="R287" s="4" t="str">
        <f>TEXT(Table1[[#This Row],[Order Date]],"mmm")</f>
        <v>Apr</v>
      </c>
      <c r="S287" s="4" t="str">
        <f>TEXT(Table1[[#This Row],[Order Date]],"mm")</f>
        <v>04</v>
      </c>
      <c r="T287" s="4" t="str">
        <f>IF(Table1[[#This Row],[Sales]]&lt;0,"loss","profit")</f>
        <v>profit</v>
      </c>
      <c r="U287" s="4" t="str" cm="1">
        <f t="array" ref="U287">_xlfn.IFS(Table1[[#This Row],[Sales]]&gt;2000,"large",Table1[[#This Row],[Sales]]&gt;=500,"medium",Table1[[#This Row],[Sales]]&lt;500,"small")</f>
        <v>medium</v>
      </c>
      <c r="V287" s="22">
        <f>Table1[[#This Row],[Profit]]/Table1[[#This Row],[Sales]]*100</f>
        <v>16.482843137254903</v>
      </c>
    </row>
    <row r="288" spans="1:22" x14ac:dyDescent="0.35">
      <c r="A288" s="4" t="s">
        <v>568</v>
      </c>
      <c r="B288" s="5">
        <v>45767</v>
      </c>
      <c r="C288" s="4" t="s">
        <v>501</v>
      </c>
      <c r="D288" s="4" t="s">
        <v>43</v>
      </c>
      <c r="E288" s="4" t="s">
        <v>21</v>
      </c>
      <c r="F288" s="4" t="s">
        <v>22</v>
      </c>
      <c r="G288" s="4" t="s">
        <v>31</v>
      </c>
      <c r="H288" s="4" t="s">
        <v>147</v>
      </c>
      <c r="I288" s="4">
        <v>5</v>
      </c>
      <c r="J288" s="6">
        <v>40.270000000000003</v>
      </c>
      <c r="K288" s="7">
        <v>0.05</v>
      </c>
      <c r="L288" s="6">
        <f t="shared" si="8"/>
        <v>191.2825</v>
      </c>
      <c r="M288" s="6">
        <v>22.43</v>
      </c>
      <c r="N288" s="8">
        <f t="shared" si="9"/>
        <v>79.132499999999993</v>
      </c>
      <c r="O288" s="4" t="s">
        <v>60</v>
      </c>
      <c r="P288" s="4" t="s">
        <v>56</v>
      </c>
      <c r="Q288" s="4">
        <v>3</v>
      </c>
      <c r="R288" s="4" t="str">
        <f>TEXT(Table1[[#This Row],[Order Date]],"mmm")</f>
        <v>Apr</v>
      </c>
      <c r="S288" s="4" t="str">
        <f>TEXT(Table1[[#This Row],[Order Date]],"mm")</f>
        <v>04</v>
      </c>
      <c r="T288" s="4" t="str">
        <f>IF(Table1[[#This Row],[Sales]]&lt;0,"loss","profit")</f>
        <v>profit</v>
      </c>
      <c r="U288" s="4" t="str" cm="1">
        <f t="array" ref="U288">_xlfn.IFS(Table1[[#This Row],[Sales]]&gt;2000,"large",Table1[[#This Row],[Sales]]&gt;=500,"medium",Table1[[#This Row],[Sales]]&lt;500,"small")</f>
        <v>small</v>
      </c>
      <c r="V288" s="22">
        <f>Table1[[#This Row],[Profit]]/Table1[[#This Row],[Sales]]*100</f>
        <v>41.369440487237455</v>
      </c>
    </row>
    <row r="289" spans="1:22" x14ac:dyDescent="0.35">
      <c r="A289" s="4" t="s">
        <v>569</v>
      </c>
      <c r="B289" s="5">
        <v>45767</v>
      </c>
      <c r="C289" s="4" t="s">
        <v>570</v>
      </c>
      <c r="D289" s="4" t="s">
        <v>47</v>
      </c>
      <c r="E289" s="4" t="s">
        <v>29</v>
      </c>
      <c r="F289" s="4" t="s">
        <v>108</v>
      </c>
      <c r="G289" s="4" t="s">
        <v>67</v>
      </c>
      <c r="H289" s="4" t="s">
        <v>121</v>
      </c>
      <c r="I289" s="4">
        <v>3</v>
      </c>
      <c r="J289" s="6">
        <v>348.06</v>
      </c>
      <c r="K289" s="7">
        <v>0</v>
      </c>
      <c r="L289" s="6">
        <f t="shared" si="8"/>
        <v>1044.18</v>
      </c>
      <c r="M289" s="6">
        <v>213.66</v>
      </c>
      <c r="N289" s="8">
        <f t="shared" si="9"/>
        <v>403.20000000000005</v>
      </c>
      <c r="O289" s="4" t="s">
        <v>84</v>
      </c>
      <c r="P289" s="4" t="s">
        <v>26</v>
      </c>
      <c r="Q289" s="4">
        <v>4</v>
      </c>
      <c r="R289" s="4" t="str">
        <f>TEXT(Table1[[#This Row],[Order Date]],"mmm")</f>
        <v>Apr</v>
      </c>
      <c r="S289" s="4" t="str">
        <f>TEXT(Table1[[#This Row],[Order Date]],"mm")</f>
        <v>04</v>
      </c>
      <c r="T289" s="4" t="str">
        <f>IF(Table1[[#This Row],[Sales]]&lt;0,"loss","profit")</f>
        <v>profit</v>
      </c>
      <c r="U289" s="4" t="str" cm="1">
        <f t="array" ref="U289">_xlfn.IFS(Table1[[#This Row],[Sales]]&gt;2000,"large",Table1[[#This Row],[Sales]]&gt;=500,"medium",Table1[[#This Row],[Sales]]&lt;500,"small")</f>
        <v>medium</v>
      </c>
      <c r="V289" s="22">
        <f>Table1[[#This Row],[Profit]]/Table1[[#This Row],[Sales]]*100</f>
        <v>38.614032063437342</v>
      </c>
    </row>
    <row r="290" spans="1:22" x14ac:dyDescent="0.35">
      <c r="A290" s="4" t="s">
        <v>571</v>
      </c>
      <c r="B290" s="5">
        <v>45767</v>
      </c>
      <c r="C290" s="4" t="s">
        <v>70</v>
      </c>
      <c r="D290" s="4" t="s">
        <v>20</v>
      </c>
      <c r="E290" s="4" t="s">
        <v>87</v>
      </c>
      <c r="F290" s="4" t="s">
        <v>124</v>
      </c>
      <c r="G290" s="4" t="s">
        <v>38</v>
      </c>
      <c r="H290" s="4" t="s">
        <v>39</v>
      </c>
      <c r="I290" s="4">
        <v>1</v>
      </c>
      <c r="J290" s="6">
        <v>185.82</v>
      </c>
      <c r="K290" s="7">
        <v>0</v>
      </c>
      <c r="L290" s="6">
        <f t="shared" si="8"/>
        <v>185.82</v>
      </c>
      <c r="M290" s="6">
        <v>166.3</v>
      </c>
      <c r="N290" s="8">
        <f t="shared" si="9"/>
        <v>19.519999999999982</v>
      </c>
      <c r="O290" s="4" t="s">
        <v>60</v>
      </c>
      <c r="P290" s="4" t="s">
        <v>61</v>
      </c>
      <c r="Q290" s="4">
        <v>2</v>
      </c>
      <c r="R290" s="4" t="str">
        <f>TEXT(Table1[[#This Row],[Order Date]],"mmm")</f>
        <v>Apr</v>
      </c>
      <c r="S290" s="4" t="str">
        <f>TEXT(Table1[[#This Row],[Order Date]],"mm")</f>
        <v>04</v>
      </c>
      <c r="T290" s="4" t="str">
        <f>IF(Table1[[#This Row],[Sales]]&lt;0,"loss","profit")</f>
        <v>profit</v>
      </c>
      <c r="U290" s="4" t="str" cm="1">
        <f t="array" ref="U290">_xlfn.IFS(Table1[[#This Row],[Sales]]&gt;2000,"large",Table1[[#This Row],[Sales]]&gt;=500,"medium",Table1[[#This Row],[Sales]]&lt;500,"small")</f>
        <v>small</v>
      </c>
      <c r="V290" s="22">
        <f>Table1[[#This Row],[Profit]]/Table1[[#This Row],[Sales]]*100</f>
        <v>10.504789581315242</v>
      </c>
    </row>
    <row r="291" spans="1:22" x14ac:dyDescent="0.35">
      <c r="A291" s="4" t="s">
        <v>572</v>
      </c>
      <c r="B291" s="5">
        <v>45768</v>
      </c>
      <c r="C291" s="4" t="s">
        <v>573</v>
      </c>
      <c r="D291" s="4" t="s">
        <v>20</v>
      </c>
      <c r="E291" s="4" t="s">
        <v>87</v>
      </c>
      <c r="F291" s="4" t="s">
        <v>124</v>
      </c>
      <c r="G291" s="4" t="s">
        <v>67</v>
      </c>
      <c r="H291" s="4" t="s">
        <v>68</v>
      </c>
      <c r="I291" s="4">
        <v>1</v>
      </c>
      <c r="J291" s="6">
        <v>617.80999999999995</v>
      </c>
      <c r="K291" s="7">
        <v>0.1</v>
      </c>
      <c r="L291" s="6">
        <f t="shared" si="8"/>
        <v>556.029</v>
      </c>
      <c r="M291" s="6">
        <v>445.42</v>
      </c>
      <c r="N291" s="8">
        <f t="shared" si="9"/>
        <v>110.60899999999998</v>
      </c>
      <c r="O291" s="4" t="s">
        <v>25</v>
      </c>
      <c r="P291" s="4" t="s">
        <v>118</v>
      </c>
      <c r="Q291" s="4">
        <v>4</v>
      </c>
      <c r="R291" s="4" t="str">
        <f>TEXT(Table1[[#This Row],[Order Date]],"mmm")</f>
        <v>Apr</v>
      </c>
      <c r="S291" s="4" t="str">
        <f>TEXT(Table1[[#This Row],[Order Date]],"mm")</f>
        <v>04</v>
      </c>
      <c r="T291" s="4" t="str">
        <f>IF(Table1[[#This Row],[Sales]]&lt;0,"loss","profit")</f>
        <v>profit</v>
      </c>
      <c r="U291" s="4" t="str" cm="1">
        <f t="array" ref="U291">_xlfn.IFS(Table1[[#This Row],[Sales]]&gt;2000,"large",Table1[[#This Row],[Sales]]&gt;=500,"medium",Table1[[#This Row],[Sales]]&lt;500,"small")</f>
        <v>medium</v>
      </c>
      <c r="V291" s="22">
        <f>Table1[[#This Row],[Profit]]/Table1[[#This Row],[Sales]]*100</f>
        <v>19.892667468783099</v>
      </c>
    </row>
    <row r="292" spans="1:22" x14ac:dyDescent="0.35">
      <c r="A292" s="4" t="s">
        <v>574</v>
      </c>
      <c r="B292" s="5">
        <v>45768</v>
      </c>
      <c r="C292" s="4" t="s">
        <v>545</v>
      </c>
      <c r="D292" s="4" t="s">
        <v>47</v>
      </c>
      <c r="E292" s="4" t="s">
        <v>29</v>
      </c>
      <c r="F292" s="4" t="s">
        <v>108</v>
      </c>
      <c r="G292" s="4" t="s">
        <v>31</v>
      </c>
      <c r="H292" s="4" t="s">
        <v>125</v>
      </c>
      <c r="I292" s="4">
        <v>1</v>
      </c>
      <c r="J292" s="6">
        <v>133.08000000000001</v>
      </c>
      <c r="K292" s="7">
        <v>0</v>
      </c>
      <c r="L292" s="6">
        <f t="shared" si="8"/>
        <v>133.08000000000001</v>
      </c>
      <c r="M292" s="6">
        <v>94.63</v>
      </c>
      <c r="N292" s="8">
        <f t="shared" si="9"/>
        <v>38.450000000000017</v>
      </c>
      <c r="O292" s="4" t="s">
        <v>51</v>
      </c>
      <c r="P292" s="4" t="s">
        <v>56</v>
      </c>
      <c r="Q292" s="4">
        <v>4</v>
      </c>
      <c r="R292" s="4" t="str">
        <f>TEXT(Table1[[#This Row],[Order Date]],"mmm")</f>
        <v>Apr</v>
      </c>
      <c r="S292" s="4" t="str">
        <f>TEXT(Table1[[#This Row],[Order Date]],"mm")</f>
        <v>04</v>
      </c>
      <c r="T292" s="4" t="str">
        <f>IF(Table1[[#This Row],[Sales]]&lt;0,"loss","profit")</f>
        <v>profit</v>
      </c>
      <c r="U292" s="4" t="str" cm="1">
        <f t="array" ref="U292">_xlfn.IFS(Table1[[#This Row],[Sales]]&gt;2000,"large",Table1[[#This Row],[Sales]]&gt;=500,"medium",Table1[[#This Row],[Sales]]&lt;500,"small")</f>
        <v>small</v>
      </c>
      <c r="V292" s="22">
        <f>Table1[[#This Row],[Profit]]/Table1[[#This Row],[Sales]]*100</f>
        <v>28.892395551547949</v>
      </c>
    </row>
    <row r="293" spans="1:22" x14ac:dyDescent="0.35">
      <c r="A293" s="4" t="s">
        <v>575</v>
      </c>
      <c r="B293" s="5">
        <v>45769</v>
      </c>
      <c r="C293" s="4" t="s">
        <v>576</v>
      </c>
      <c r="D293" s="4" t="s">
        <v>47</v>
      </c>
      <c r="E293" s="4" t="s">
        <v>36</v>
      </c>
      <c r="F293" s="4" t="s">
        <v>37</v>
      </c>
      <c r="G293" s="4" t="s">
        <v>67</v>
      </c>
      <c r="H293" s="4" t="s">
        <v>121</v>
      </c>
      <c r="I293" s="4">
        <v>2</v>
      </c>
      <c r="J293" s="6">
        <v>377.09</v>
      </c>
      <c r="K293" s="7">
        <v>0</v>
      </c>
      <c r="L293" s="6">
        <f t="shared" si="8"/>
        <v>754.18</v>
      </c>
      <c r="M293" s="6">
        <v>229.52</v>
      </c>
      <c r="N293" s="8">
        <f t="shared" si="9"/>
        <v>295.13999999999993</v>
      </c>
      <c r="O293" s="4" t="s">
        <v>25</v>
      </c>
      <c r="P293" s="4" t="s">
        <v>26</v>
      </c>
      <c r="Q293" s="4">
        <v>4</v>
      </c>
      <c r="R293" s="4" t="str">
        <f>TEXT(Table1[[#This Row],[Order Date]],"mmm")</f>
        <v>Apr</v>
      </c>
      <c r="S293" s="4" t="str">
        <f>TEXT(Table1[[#This Row],[Order Date]],"mm")</f>
        <v>04</v>
      </c>
      <c r="T293" s="4" t="str">
        <f>IF(Table1[[#This Row],[Sales]]&lt;0,"loss","profit")</f>
        <v>profit</v>
      </c>
      <c r="U293" s="4" t="str" cm="1">
        <f t="array" ref="U293">_xlfn.IFS(Table1[[#This Row],[Sales]]&gt;2000,"large",Table1[[#This Row],[Sales]]&gt;=500,"medium",Table1[[#This Row],[Sales]]&lt;500,"small")</f>
        <v>medium</v>
      </c>
      <c r="V293" s="22">
        <f>Table1[[#This Row],[Profit]]/Table1[[#This Row],[Sales]]*100</f>
        <v>39.133893765414086</v>
      </c>
    </row>
    <row r="294" spans="1:22" x14ac:dyDescent="0.35">
      <c r="A294" s="4" t="s">
        <v>577</v>
      </c>
      <c r="B294" s="5">
        <v>45769</v>
      </c>
      <c r="C294" s="4" t="s">
        <v>425</v>
      </c>
      <c r="D294" s="4" t="s">
        <v>47</v>
      </c>
      <c r="E294" s="4" t="s">
        <v>29</v>
      </c>
      <c r="F294" s="4" t="s">
        <v>108</v>
      </c>
      <c r="G294" s="4" t="s">
        <v>49</v>
      </c>
      <c r="H294" s="4" t="s">
        <v>50</v>
      </c>
      <c r="I294" s="4">
        <v>4</v>
      </c>
      <c r="J294" s="6">
        <v>30.31</v>
      </c>
      <c r="K294" s="7">
        <v>0</v>
      </c>
      <c r="L294" s="6">
        <f t="shared" si="8"/>
        <v>121.24</v>
      </c>
      <c r="M294" s="6">
        <v>21.17</v>
      </c>
      <c r="N294" s="8">
        <f t="shared" si="9"/>
        <v>36.559999999999988</v>
      </c>
      <c r="O294" s="4" t="s">
        <v>25</v>
      </c>
      <c r="P294" s="4" t="s">
        <v>97</v>
      </c>
      <c r="Q294" s="4">
        <v>5</v>
      </c>
      <c r="R294" s="4" t="str">
        <f>TEXT(Table1[[#This Row],[Order Date]],"mmm")</f>
        <v>Apr</v>
      </c>
      <c r="S294" s="4" t="str">
        <f>TEXT(Table1[[#This Row],[Order Date]],"mm")</f>
        <v>04</v>
      </c>
      <c r="T294" s="4" t="str">
        <f>IF(Table1[[#This Row],[Sales]]&lt;0,"loss","profit")</f>
        <v>profit</v>
      </c>
      <c r="U294" s="4" t="str" cm="1">
        <f t="array" ref="U294">_xlfn.IFS(Table1[[#This Row],[Sales]]&gt;2000,"large",Table1[[#This Row],[Sales]]&gt;=500,"medium",Table1[[#This Row],[Sales]]&lt;500,"small")</f>
        <v>small</v>
      </c>
      <c r="V294" s="22">
        <f>Table1[[#This Row],[Profit]]/Table1[[#This Row],[Sales]]*100</f>
        <v>30.155064335202898</v>
      </c>
    </row>
    <row r="295" spans="1:22" x14ac:dyDescent="0.35">
      <c r="A295" s="4" t="s">
        <v>578</v>
      </c>
      <c r="B295" s="5">
        <v>45769</v>
      </c>
      <c r="C295" s="4" t="s">
        <v>579</v>
      </c>
      <c r="D295" s="4" t="s">
        <v>47</v>
      </c>
      <c r="E295" s="4" t="s">
        <v>36</v>
      </c>
      <c r="F295" s="4" t="s">
        <v>48</v>
      </c>
      <c r="G295" s="4" t="s">
        <v>23</v>
      </c>
      <c r="H295" s="4" t="s">
        <v>135</v>
      </c>
      <c r="I295" s="4">
        <v>2</v>
      </c>
      <c r="J295" s="6">
        <v>26.92</v>
      </c>
      <c r="K295" s="7">
        <v>0.1</v>
      </c>
      <c r="L295" s="6">
        <f t="shared" si="8"/>
        <v>48.456000000000003</v>
      </c>
      <c r="M295" s="6">
        <v>15.73</v>
      </c>
      <c r="N295" s="8">
        <f t="shared" si="9"/>
        <v>16.996000000000002</v>
      </c>
      <c r="O295" s="4" t="s">
        <v>51</v>
      </c>
      <c r="P295" s="4" t="s">
        <v>61</v>
      </c>
      <c r="Q295" s="4">
        <v>4</v>
      </c>
      <c r="R295" s="4" t="str">
        <f>TEXT(Table1[[#This Row],[Order Date]],"mmm")</f>
        <v>Apr</v>
      </c>
      <c r="S295" s="4" t="str">
        <f>TEXT(Table1[[#This Row],[Order Date]],"mm")</f>
        <v>04</v>
      </c>
      <c r="T295" s="4" t="str">
        <f>IF(Table1[[#This Row],[Sales]]&lt;0,"loss","profit")</f>
        <v>profit</v>
      </c>
      <c r="U295" s="4" t="str" cm="1">
        <f t="array" ref="U295">_xlfn.IFS(Table1[[#This Row],[Sales]]&gt;2000,"large",Table1[[#This Row],[Sales]]&gt;=500,"medium",Table1[[#This Row],[Sales]]&lt;500,"small")</f>
        <v>small</v>
      </c>
      <c r="V295" s="22">
        <f>Table1[[#This Row],[Profit]]/Table1[[#This Row],[Sales]]*100</f>
        <v>35.075119696219254</v>
      </c>
    </row>
    <row r="296" spans="1:22" x14ac:dyDescent="0.35">
      <c r="A296" s="4" t="s">
        <v>580</v>
      </c>
      <c r="B296" s="5">
        <v>45770</v>
      </c>
      <c r="C296" s="4" t="s">
        <v>193</v>
      </c>
      <c r="D296" s="4" t="s">
        <v>43</v>
      </c>
      <c r="E296" s="4" t="s">
        <v>87</v>
      </c>
      <c r="F296" s="4" t="s">
        <v>92</v>
      </c>
      <c r="G296" s="4" t="s">
        <v>67</v>
      </c>
      <c r="H296" s="4" t="s">
        <v>140</v>
      </c>
      <c r="I296" s="4">
        <v>4</v>
      </c>
      <c r="J296" s="6">
        <v>94.73</v>
      </c>
      <c r="K296" s="7">
        <v>0</v>
      </c>
      <c r="L296" s="6">
        <f t="shared" si="8"/>
        <v>378.92</v>
      </c>
      <c r="M296" s="6">
        <v>61.65</v>
      </c>
      <c r="N296" s="8">
        <f t="shared" si="9"/>
        <v>132.32000000000002</v>
      </c>
      <c r="O296" s="4" t="s">
        <v>84</v>
      </c>
      <c r="P296" s="4" t="s">
        <v>72</v>
      </c>
      <c r="Q296" s="4">
        <v>3</v>
      </c>
      <c r="R296" s="4" t="str">
        <f>TEXT(Table1[[#This Row],[Order Date]],"mmm")</f>
        <v>Apr</v>
      </c>
      <c r="S296" s="4" t="str">
        <f>TEXT(Table1[[#This Row],[Order Date]],"mm")</f>
        <v>04</v>
      </c>
      <c r="T296" s="4" t="str">
        <f>IF(Table1[[#This Row],[Sales]]&lt;0,"loss","profit")</f>
        <v>profit</v>
      </c>
      <c r="U296" s="4" t="str" cm="1">
        <f t="array" ref="U296">_xlfn.IFS(Table1[[#This Row],[Sales]]&gt;2000,"large",Table1[[#This Row],[Sales]]&gt;=500,"medium",Table1[[#This Row],[Sales]]&lt;500,"small")</f>
        <v>small</v>
      </c>
      <c r="V296" s="22">
        <f>Table1[[#This Row],[Profit]]/Table1[[#This Row],[Sales]]*100</f>
        <v>34.920299799429969</v>
      </c>
    </row>
    <row r="297" spans="1:22" x14ac:dyDescent="0.35">
      <c r="A297" s="4" t="s">
        <v>581</v>
      </c>
      <c r="B297" s="5">
        <v>45770</v>
      </c>
      <c r="C297" s="4" t="s">
        <v>346</v>
      </c>
      <c r="D297" s="4" t="s">
        <v>47</v>
      </c>
      <c r="E297" s="4" t="s">
        <v>21</v>
      </c>
      <c r="F297" s="4" t="s">
        <v>22</v>
      </c>
      <c r="G297" s="4" t="s">
        <v>38</v>
      </c>
      <c r="H297" s="4" t="s">
        <v>39</v>
      </c>
      <c r="I297" s="4">
        <v>3</v>
      </c>
      <c r="J297" s="6">
        <v>211.73</v>
      </c>
      <c r="K297" s="7">
        <v>0.1</v>
      </c>
      <c r="L297" s="6">
        <f t="shared" si="8"/>
        <v>571.67099999999994</v>
      </c>
      <c r="M297" s="6">
        <v>165.82</v>
      </c>
      <c r="N297" s="8">
        <f t="shared" si="9"/>
        <v>74.210999999999956</v>
      </c>
      <c r="O297" s="4" t="s">
        <v>51</v>
      </c>
      <c r="P297" s="4" t="s">
        <v>75</v>
      </c>
      <c r="Q297" s="4">
        <v>5</v>
      </c>
      <c r="R297" s="4" t="str">
        <f>TEXT(Table1[[#This Row],[Order Date]],"mmm")</f>
        <v>Apr</v>
      </c>
      <c r="S297" s="4" t="str">
        <f>TEXT(Table1[[#This Row],[Order Date]],"mm")</f>
        <v>04</v>
      </c>
      <c r="T297" s="4" t="str">
        <f>IF(Table1[[#This Row],[Sales]]&lt;0,"loss","profit")</f>
        <v>profit</v>
      </c>
      <c r="U297" s="4" t="str" cm="1">
        <f t="array" ref="U297">_xlfn.IFS(Table1[[#This Row],[Sales]]&gt;2000,"large",Table1[[#This Row],[Sales]]&gt;=500,"medium",Table1[[#This Row],[Sales]]&lt;500,"small")</f>
        <v>medium</v>
      </c>
      <c r="V297" s="22">
        <f>Table1[[#This Row],[Profit]]/Table1[[#This Row],[Sales]]*100</f>
        <v>12.981417633568954</v>
      </c>
    </row>
    <row r="298" spans="1:22" x14ac:dyDescent="0.35">
      <c r="A298" s="4" t="s">
        <v>582</v>
      </c>
      <c r="B298" s="5">
        <v>45770</v>
      </c>
      <c r="C298" s="4" t="s">
        <v>335</v>
      </c>
      <c r="D298" s="4" t="s">
        <v>43</v>
      </c>
      <c r="E298" s="4" t="s">
        <v>36</v>
      </c>
      <c r="F298" s="4" t="s">
        <v>201</v>
      </c>
      <c r="G298" s="4" t="s">
        <v>67</v>
      </c>
      <c r="H298" s="4" t="s">
        <v>140</v>
      </c>
      <c r="I298" s="4">
        <v>1</v>
      </c>
      <c r="J298" s="6">
        <v>153.54</v>
      </c>
      <c r="K298" s="7">
        <v>0.1</v>
      </c>
      <c r="L298" s="6">
        <f t="shared" si="8"/>
        <v>138.18600000000001</v>
      </c>
      <c r="M298" s="6">
        <v>92.57</v>
      </c>
      <c r="N298" s="8">
        <f t="shared" si="9"/>
        <v>45.616000000000014</v>
      </c>
      <c r="O298" s="4" t="s">
        <v>40</v>
      </c>
      <c r="P298" s="4" t="s">
        <v>72</v>
      </c>
      <c r="Q298" s="4">
        <v>5</v>
      </c>
      <c r="R298" s="4" t="str">
        <f>TEXT(Table1[[#This Row],[Order Date]],"mmm")</f>
        <v>Apr</v>
      </c>
      <c r="S298" s="4" t="str">
        <f>TEXT(Table1[[#This Row],[Order Date]],"mm")</f>
        <v>04</v>
      </c>
      <c r="T298" s="4" t="str">
        <f>IF(Table1[[#This Row],[Sales]]&lt;0,"loss","profit")</f>
        <v>profit</v>
      </c>
      <c r="U298" s="4" t="str" cm="1">
        <f t="array" ref="U298">_xlfn.IFS(Table1[[#This Row],[Sales]]&gt;2000,"large",Table1[[#This Row],[Sales]]&gt;=500,"medium",Table1[[#This Row],[Sales]]&lt;500,"small")</f>
        <v>small</v>
      </c>
      <c r="V298" s="22">
        <f>Table1[[#This Row],[Profit]]/Table1[[#This Row],[Sales]]*100</f>
        <v>33.010579942975419</v>
      </c>
    </row>
    <row r="299" spans="1:22" x14ac:dyDescent="0.35">
      <c r="A299" s="4" t="s">
        <v>583</v>
      </c>
      <c r="B299" s="5">
        <v>45770</v>
      </c>
      <c r="C299" s="4" t="s">
        <v>294</v>
      </c>
      <c r="D299" s="4" t="s">
        <v>47</v>
      </c>
      <c r="E299" s="4" t="s">
        <v>21</v>
      </c>
      <c r="F299" s="4" t="s">
        <v>59</v>
      </c>
      <c r="G299" s="4" t="s">
        <v>38</v>
      </c>
      <c r="H299" s="4" t="s">
        <v>39</v>
      </c>
      <c r="I299" s="4">
        <v>2</v>
      </c>
      <c r="J299" s="6">
        <v>375.73</v>
      </c>
      <c r="K299" s="7">
        <v>0.15</v>
      </c>
      <c r="L299" s="6">
        <f t="shared" si="8"/>
        <v>638.74099999999999</v>
      </c>
      <c r="M299" s="6">
        <v>311.2</v>
      </c>
      <c r="N299" s="8">
        <f t="shared" si="9"/>
        <v>16.341000000000008</v>
      </c>
      <c r="O299" s="4" t="s">
        <v>40</v>
      </c>
      <c r="P299" s="4" t="s">
        <v>56</v>
      </c>
      <c r="Q299" s="4">
        <v>4</v>
      </c>
      <c r="R299" s="4" t="str">
        <f>TEXT(Table1[[#This Row],[Order Date]],"mmm")</f>
        <v>Apr</v>
      </c>
      <c r="S299" s="4" t="str">
        <f>TEXT(Table1[[#This Row],[Order Date]],"mm")</f>
        <v>04</v>
      </c>
      <c r="T299" s="4" t="str">
        <f>IF(Table1[[#This Row],[Sales]]&lt;0,"loss","profit")</f>
        <v>profit</v>
      </c>
      <c r="U299" s="4" t="str" cm="1">
        <f t="array" ref="U299">_xlfn.IFS(Table1[[#This Row],[Sales]]&gt;2000,"large",Table1[[#This Row],[Sales]]&gt;=500,"medium",Table1[[#This Row],[Sales]]&lt;500,"small")</f>
        <v>medium</v>
      </c>
      <c r="V299" s="22">
        <f>Table1[[#This Row],[Profit]]/Table1[[#This Row],[Sales]]*100</f>
        <v>2.5583139331904494</v>
      </c>
    </row>
    <row r="300" spans="1:22" x14ac:dyDescent="0.35">
      <c r="A300" s="4" t="s">
        <v>584</v>
      </c>
      <c r="B300" s="5">
        <v>45770</v>
      </c>
      <c r="C300" s="4" t="s">
        <v>317</v>
      </c>
      <c r="D300" s="4" t="s">
        <v>20</v>
      </c>
      <c r="E300" s="4" t="s">
        <v>21</v>
      </c>
      <c r="F300" s="4" t="s">
        <v>81</v>
      </c>
      <c r="G300" s="4" t="s">
        <v>23</v>
      </c>
      <c r="H300" s="4" t="s">
        <v>135</v>
      </c>
      <c r="I300" s="4">
        <v>2</v>
      </c>
      <c r="J300" s="6">
        <v>8.32</v>
      </c>
      <c r="K300" s="7">
        <v>0.15</v>
      </c>
      <c r="L300" s="6">
        <f t="shared" si="8"/>
        <v>14.144</v>
      </c>
      <c r="M300" s="6">
        <v>4.97</v>
      </c>
      <c r="N300" s="8">
        <f t="shared" si="9"/>
        <v>4.2040000000000006</v>
      </c>
      <c r="O300" s="4" t="s">
        <v>25</v>
      </c>
      <c r="P300" s="4" t="s">
        <v>72</v>
      </c>
      <c r="Q300" s="4">
        <v>3</v>
      </c>
      <c r="R300" s="4" t="str">
        <f>TEXT(Table1[[#This Row],[Order Date]],"mmm")</f>
        <v>Apr</v>
      </c>
      <c r="S300" s="4" t="str">
        <f>TEXT(Table1[[#This Row],[Order Date]],"mm")</f>
        <v>04</v>
      </c>
      <c r="T300" s="4" t="str">
        <f>IF(Table1[[#This Row],[Sales]]&lt;0,"loss","profit")</f>
        <v>profit</v>
      </c>
      <c r="U300" s="4" t="str" cm="1">
        <f t="array" ref="U300">_xlfn.IFS(Table1[[#This Row],[Sales]]&gt;2000,"large",Table1[[#This Row],[Sales]]&gt;=500,"medium",Table1[[#This Row],[Sales]]&lt;500,"small")</f>
        <v>small</v>
      </c>
      <c r="V300" s="22">
        <f>Table1[[#This Row],[Profit]]/Table1[[#This Row],[Sales]]*100</f>
        <v>29.722850678733039</v>
      </c>
    </row>
    <row r="301" spans="1:22" x14ac:dyDescent="0.35">
      <c r="A301" s="4" t="s">
        <v>585</v>
      </c>
      <c r="B301" s="5">
        <v>45770</v>
      </c>
      <c r="C301" s="4" t="s">
        <v>331</v>
      </c>
      <c r="D301" s="4" t="s">
        <v>43</v>
      </c>
      <c r="E301" s="4" t="s">
        <v>87</v>
      </c>
      <c r="F301" s="4" t="s">
        <v>92</v>
      </c>
      <c r="G301" s="4" t="s">
        <v>49</v>
      </c>
      <c r="H301" s="4" t="s">
        <v>78</v>
      </c>
      <c r="I301" s="4">
        <v>4</v>
      </c>
      <c r="J301" s="6">
        <v>387.85</v>
      </c>
      <c r="K301" s="7">
        <v>0</v>
      </c>
      <c r="L301" s="6">
        <f t="shared" si="8"/>
        <v>1551.4</v>
      </c>
      <c r="M301" s="6">
        <v>252.2</v>
      </c>
      <c r="N301" s="8">
        <f t="shared" si="9"/>
        <v>542.60000000000014</v>
      </c>
      <c r="O301" s="4" t="s">
        <v>40</v>
      </c>
      <c r="P301" s="4" t="s">
        <v>61</v>
      </c>
      <c r="Q301" s="4">
        <v>4</v>
      </c>
      <c r="R301" s="4" t="str">
        <f>TEXT(Table1[[#This Row],[Order Date]],"mmm")</f>
        <v>Apr</v>
      </c>
      <c r="S301" s="4" t="str">
        <f>TEXT(Table1[[#This Row],[Order Date]],"mm")</f>
        <v>04</v>
      </c>
      <c r="T301" s="4" t="str">
        <f>IF(Table1[[#This Row],[Sales]]&lt;0,"loss","profit")</f>
        <v>profit</v>
      </c>
      <c r="U301" s="4" t="str" cm="1">
        <f t="array" ref="U301">_xlfn.IFS(Table1[[#This Row],[Sales]]&gt;2000,"large",Table1[[#This Row],[Sales]]&gt;=500,"medium",Table1[[#This Row],[Sales]]&lt;500,"small")</f>
        <v>medium</v>
      </c>
      <c r="V301" s="22">
        <f>Table1[[#This Row],[Profit]]/Table1[[#This Row],[Sales]]*100</f>
        <v>34.974861415495688</v>
      </c>
    </row>
    <row r="302" spans="1:22" x14ac:dyDescent="0.35">
      <c r="A302" s="4" t="s">
        <v>586</v>
      </c>
      <c r="B302" s="5">
        <v>45770</v>
      </c>
      <c r="C302" s="4" t="s">
        <v>587</v>
      </c>
      <c r="D302" s="4" t="s">
        <v>20</v>
      </c>
      <c r="E302" s="4" t="s">
        <v>87</v>
      </c>
      <c r="F302" s="4" t="s">
        <v>124</v>
      </c>
      <c r="G302" s="4" t="s">
        <v>49</v>
      </c>
      <c r="H302" s="4" t="s">
        <v>128</v>
      </c>
      <c r="I302" s="4">
        <v>2</v>
      </c>
      <c r="J302" s="6">
        <v>126.77</v>
      </c>
      <c r="K302" s="7">
        <v>0</v>
      </c>
      <c r="L302" s="6">
        <f t="shared" si="8"/>
        <v>253.54</v>
      </c>
      <c r="M302" s="6">
        <v>76.8</v>
      </c>
      <c r="N302" s="8">
        <f t="shared" si="9"/>
        <v>99.94</v>
      </c>
      <c r="O302" s="4" t="s">
        <v>84</v>
      </c>
      <c r="P302" s="4" t="s">
        <v>26</v>
      </c>
      <c r="Q302" s="4">
        <v>5</v>
      </c>
      <c r="R302" s="4" t="str">
        <f>TEXT(Table1[[#This Row],[Order Date]],"mmm")</f>
        <v>Apr</v>
      </c>
      <c r="S302" s="4" t="str">
        <f>TEXT(Table1[[#This Row],[Order Date]],"mm")</f>
        <v>04</v>
      </c>
      <c r="T302" s="4" t="str">
        <f>IF(Table1[[#This Row],[Sales]]&lt;0,"loss","profit")</f>
        <v>profit</v>
      </c>
      <c r="U302" s="4" t="str" cm="1">
        <f t="array" ref="U302">_xlfn.IFS(Table1[[#This Row],[Sales]]&gt;2000,"large",Table1[[#This Row],[Sales]]&gt;=500,"medium",Table1[[#This Row],[Sales]]&lt;500,"small")</f>
        <v>small</v>
      </c>
      <c r="V302" s="22">
        <f>Table1[[#This Row],[Profit]]/Table1[[#This Row],[Sales]]*100</f>
        <v>39.417843338329256</v>
      </c>
    </row>
    <row r="303" spans="1:22" x14ac:dyDescent="0.35">
      <c r="A303" s="4" t="s">
        <v>588</v>
      </c>
      <c r="B303" s="5">
        <v>45771</v>
      </c>
      <c r="C303" s="4" t="s">
        <v>589</v>
      </c>
      <c r="D303" s="4" t="s">
        <v>47</v>
      </c>
      <c r="E303" s="4" t="s">
        <v>36</v>
      </c>
      <c r="F303" s="4" t="s">
        <v>201</v>
      </c>
      <c r="G303" s="4" t="s">
        <v>38</v>
      </c>
      <c r="H303" s="4" t="s">
        <v>96</v>
      </c>
      <c r="I303" s="4">
        <v>2</v>
      </c>
      <c r="J303" s="6">
        <v>223.96</v>
      </c>
      <c r="K303" s="7">
        <v>0.05</v>
      </c>
      <c r="L303" s="6">
        <f t="shared" si="8"/>
        <v>425.524</v>
      </c>
      <c r="M303" s="6">
        <v>171.56</v>
      </c>
      <c r="N303" s="8">
        <f t="shared" si="9"/>
        <v>82.403999999999996</v>
      </c>
      <c r="O303" s="4" t="s">
        <v>40</v>
      </c>
      <c r="P303" s="4" t="s">
        <v>56</v>
      </c>
      <c r="Q303" s="4">
        <v>4</v>
      </c>
      <c r="R303" s="4" t="str">
        <f>TEXT(Table1[[#This Row],[Order Date]],"mmm")</f>
        <v>Apr</v>
      </c>
      <c r="S303" s="4" t="str">
        <f>TEXT(Table1[[#This Row],[Order Date]],"mm")</f>
        <v>04</v>
      </c>
      <c r="T303" s="4" t="str">
        <f>IF(Table1[[#This Row],[Sales]]&lt;0,"loss","profit")</f>
        <v>profit</v>
      </c>
      <c r="U303" s="4" t="str" cm="1">
        <f t="array" ref="U303">_xlfn.IFS(Table1[[#This Row],[Sales]]&gt;2000,"large",Table1[[#This Row],[Sales]]&gt;=500,"medium",Table1[[#This Row],[Sales]]&lt;500,"small")</f>
        <v>small</v>
      </c>
      <c r="V303" s="22">
        <f>Table1[[#This Row],[Profit]]/Table1[[#This Row],[Sales]]*100</f>
        <v>19.365300194583618</v>
      </c>
    </row>
    <row r="304" spans="1:22" x14ac:dyDescent="0.35">
      <c r="A304" s="4" t="s">
        <v>590</v>
      </c>
      <c r="B304" s="5">
        <v>45771</v>
      </c>
      <c r="C304" s="4" t="s">
        <v>341</v>
      </c>
      <c r="D304" s="4" t="s">
        <v>20</v>
      </c>
      <c r="E304" s="4" t="s">
        <v>29</v>
      </c>
      <c r="F304" s="4" t="s">
        <v>108</v>
      </c>
      <c r="G304" s="4" t="s">
        <v>38</v>
      </c>
      <c r="H304" s="4" t="s">
        <v>55</v>
      </c>
      <c r="I304" s="4">
        <v>2</v>
      </c>
      <c r="J304" s="6">
        <v>158.66999999999999</v>
      </c>
      <c r="K304" s="7">
        <v>0</v>
      </c>
      <c r="L304" s="6">
        <f t="shared" si="8"/>
        <v>317.33999999999997</v>
      </c>
      <c r="M304" s="6">
        <v>127.81</v>
      </c>
      <c r="N304" s="8">
        <f t="shared" si="9"/>
        <v>61.71999999999997</v>
      </c>
      <c r="O304" s="4" t="s">
        <v>25</v>
      </c>
      <c r="P304" s="4" t="s">
        <v>118</v>
      </c>
      <c r="Q304" s="4">
        <v>1</v>
      </c>
      <c r="R304" s="4" t="str">
        <f>TEXT(Table1[[#This Row],[Order Date]],"mmm")</f>
        <v>Apr</v>
      </c>
      <c r="S304" s="4" t="str">
        <f>TEXT(Table1[[#This Row],[Order Date]],"mm")</f>
        <v>04</v>
      </c>
      <c r="T304" s="4" t="str">
        <f>IF(Table1[[#This Row],[Sales]]&lt;0,"loss","profit")</f>
        <v>profit</v>
      </c>
      <c r="U304" s="4" t="str" cm="1">
        <f t="array" ref="U304">_xlfn.IFS(Table1[[#This Row],[Sales]]&gt;2000,"large",Table1[[#This Row],[Sales]]&gt;=500,"medium",Table1[[#This Row],[Sales]]&lt;500,"small")</f>
        <v>small</v>
      </c>
      <c r="V304" s="22">
        <f>Table1[[#This Row],[Profit]]/Table1[[#This Row],[Sales]]*100</f>
        <v>19.449171235898397</v>
      </c>
    </row>
    <row r="305" spans="1:22" x14ac:dyDescent="0.35">
      <c r="A305" s="4" t="s">
        <v>591</v>
      </c>
      <c r="B305" s="5">
        <v>45772</v>
      </c>
      <c r="C305" s="4" t="s">
        <v>592</v>
      </c>
      <c r="D305" s="4" t="s">
        <v>20</v>
      </c>
      <c r="E305" s="4" t="s">
        <v>87</v>
      </c>
      <c r="F305" s="4" t="s">
        <v>92</v>
      </c>
      <c r="G305" s="4" t="s">
        <v>38</v>
      </c>
      <c r="H305" s="4" t="s">
        <v>39</v>
      </c>
      <c r="I305" s="4">
        <v>2</v>
      </c>
      <c r="J305" s="6">
        <v>153.61000000000001</v>
      </c>
      <c r="K305" s="7">
        <v>0.1</v>
      </c>
      <c r="L305" s="6">
        <f t="shared" si="8"/>
        <v>276.49800000000005</v>
      </c>
      <c r="M305" s="6">
        <v>124.98</v>
      </c>
      <c r="N305" s="8">
        <f t="shared" si="9"/>
        <v>26.538000000000039</v>
      </c>
      <c r="O305" s="4" t="s">
        <v>40</v>
      </c>
      <c r="P305" s="4" t="s">
        <v>56</v>
      </c>
      <c r="Q305" s="4">
        <v>4</v>
      </c>
      <c r="R305" s="4" t="str">
        <f>TEXT(Table1[[#This Row],[Order Date]],"mmm")</f>
        <v>Apr</v>
      </c>
      <c r="S305" s="4" t="str">
        <f>TEXT(Table1[[#This Row],[Order Date]],"mm")</f>
        <v>04</v>
      </c>
      <c r="T305" s="4" t="str">
        <f>IF(Table1[[#This Row],[Sales]]&lt;0,"loss","profit")</f>
        <v>profit</v>
      </c>
      <c r="U305" s="4" t="str" cm="1">
        <f t="array" ref="U305">_xlfn.IFS(Table1[[#This Row],[Sales]]&gt;2000,"large",Table1[[#This Row],[Sales]]&gt;=500,"medium",Table1[[#This Row],[Sales]]&lt;500,"small")</f>
        <v>small</v>
      </c>
      <c r="V305" s="22">
        <f>Table1[[#This Row],[Profit]]/Table1[[#This Row],[Sales]]*100</f>
        <v>9.5978994423106254</v>
      </c>
    </row>
    <row r="306" spans="1:22" x14ac:dyDescent="0.35">
      <c r="A306" s="4" t="s">
        <v>593</v>
      </c>
      <c r="B306" s="5">
        <v>45772</v>
      </c>
      <c r="C306" s="4" t="s">
        <v>594</v>
      </c>
      <c r="D306" s="4" t="s">
        <v>47</v>
      </c>
      <c r="E306" s="4" t="s">
        <v>36</v>
      </c>
      <c r="F306" s="4" t="s">
        <v>201</v>
      </c>
      <c r="G306" s="4" t="s">
        <v>67</v>
      </c>
      <c r="H306" s="4" t="s">
        <v>93</v>
      </c>
      <c r="I306" s="4">
        <v>3</v>
      </c>
      <c r="J306" s="6">
        <v>536.76</v>
      </c>
      <c r="K306" s="7">
        <v>0.05</v>
      </c>
      <c r="L306" s="6">
        <f t="shared" si="8"/>
        <v>1529.7659999999998</v>
      </c>
      <c r="M306" s="6">
        <v>360.64</v>
      </c>
      <c r="N306" s="8">
        <f t="shared" si="9"/>
        <v>447.84599999999978</v>
      </c>
      <c r="O306" s="4" t="s">
        <v>84</v>
      </c>
      <c r="P306" s="4" t="s">
        <v>118</v>
      </c>
      <c r="Q306" s="4">
        <v>3</v>
      </c>
      <c r="R306" s="4" t="str">
        <f>TEXT(Table1[[#This Row],[Order Date]],"mmm")</f>
        <v>Apr</v>
      </c>
      <c r="S306" s="4" t="str">
        <f>TEXT(Table1[[#This Row],[Order Date]],"mm")</f>
        <v>04</v>
      </c>
      <c r="T306" s="4" t="str">
        <f>IF(Table1[[#This Row],[Sales]]&lt;0,"loss","profit")</f>
        <v>profit</v>
      </c>
      <c r="U306" s="4" t="str" cm="1">
        <f t="array" ref="U306">_xlfn.IFS(Table1[[#This Row],[Sales]]&gt;2000,"large",Table1[[#This Row],[Sales]]&gt;=500,"medium",Table1[[#This Row],[Sales]]&lt;500,"small")</f>
        <v>medium</v>
      </c>
      <c r="V306" s="22">
        <f>Table1[[#This Row],[Profit]]/Table1[[#This Row],[Sales]]*100</f>
        <v>29.275457815116813</v>
      </c>
    </row>
    <row r="307" spans="1:22" x14ac:dyDescent="0.35">
      <c r="A307" s="4" t="s">
        <v>595</v>
      </c>
      <c r="B307" s="5">
        <v>45772</v>
      </c>
      <c r="C307" s="4" t="s">
        <v>596</v>
      </c>
      <c r="D307" s="4" t="s">
        <v>20</v>
      </c>
      <c r="E307" s="4" t="s">
        <v>29</v>
      </c>
      <c r="F307" s="4" t="s">
        <v>30</v>
      </c>
      <c r="G307" s="4" t="s">
        <v>67</v>
      </c>
      <c r="H307" s="4" t="s">
        <v>140</v>
      </c>
      <c r="I307" s="4">
        <v>6</v>
      </c>
      <c r="J307" s="6">
        <v>194.98</v>
      </c>
      <c r="K307" s="7">
        <v>0.1</v>
      </c>
      <c r="L307" s="6">
        <f t="shared" si="8"/>
        <v>1052.8919999999998</v>
      </c>
      <c r="M307" s="6">
        <v>132.38</v>
      </c>
      <c r="N307" s="8">
        <f t="shared" si="9"/>
        <v>258.61199999999985</v>
      </c>
      <c r="O307" s="4" t="s">
        <v>51</v>
      </c>
      <c r="P307" s="4" t="s">
        <v>26</v>
      </c>
      <c r="Q307" s="4">
        <v>4</v>
      </c>
      <c r="R307" s="4" t="str">
        <f>TEXT(Table1[[#This Row],[Order Date]],"mmm")</f>
        <v>Apr</v>
      </c>
      <c r="S307" s="4" t="str">
        <f>TEXT(Table1[[#This Row],[Order Date]],"mm")</f>
        <v>04</v>
      </c>
      <c r="T307" s="4" t="str">
        <f>IF(Table1[[#This Row],[Sales]]&lt;0,"loss","profit")</f>
        <v>profit</v>
      </c>
      <c r="U307" s="4" t="str" cm="1">
        <f t="array" ref="U307">_xlfn.IFS(Table1[[#This Row],[Sales]]&gt;2000,"large",Table1[[#This Row],[Sales]]&gt;=500,"medium",Table1[[#This Row],[Sales]]&lt;500,"small")</f>
        <v>medium</v>
      </c>
      <c r="V307" s="22">
        <f>Table1[[#This Row],[Profit]]/Table1[[#This Row],[Sales]]*100</f>
        <v>24.562063345528308</v>
      </c>
    </row>
    <row r="308" spans="1:22" x14ac:dyDescent="0.35">
      <c r="A308" s="4" t="s">
        <v>597</v>
      </c>
      <c r="B308" s="5">
        <v>45773</v>
      </c>
      <c r="C308" s="4" t="s">
        <v>598</v>
      </c>
      <c r="D308" s="4" t="s">
        <v>43</v>
      </c>
      <c r="E308" s="4" t="s">
        <v>36</v>
      </c>
      <c r="F308" s="4" t="s">
        <v>37</v>
      </c>
      <c r="G308" s="4" t="s">
        <v>38</v>
      </c>
      <c r="H308" s="4" t="s">
        <v>89</v>
      </c>
      <c r="I308" s="4">
        <v>4</v>
      </c>
      <c r="J308" s="6">
        <v>743.78</v>
      </c>
      <c r="K308" s="7">
        <v>0</v>
      </c>
      <c r="L308" s="6">
        <f t="shared" si="8"/>
        <v>2975.12</v>
      </c>
      <c r="M308" s="6">
        <v>643.23</v>
      </c>
      <c r="N308" s="8">
        <f t="shared" si="9"/>
        <v>402.19999999999982</v>
      </c>
      <c r="O308" s="4" t="s">
        <v>60</v>
      </c>
      <c r="P308" s="4" t="s">
        <v>56</v>
      </c>
      <c r="Q308" s="4">
        <v>2</v>
      </c>
      <c r="R308" s="4" t="str">
        <f>TEXT(Table1[[#This Row],[Order Date]],"mmm")</f>
        <v>Apr</v>
      </c>
      <c r="S308" s="4" t="str">
        <f>TEXT(Table1[[#This Row],[Order Date]],"mm")</f>
        <v>04</v>
      </c>
      <c r="T308" s="4" t="str">
        <f>IF(Table1[[#This Row],[Sales]]&lt;0,"loss","profit")</f>
        <v>profit</v>
      </c>
      <c r="U308" s="4" t="str" cm="1">
        <f t="array" ref="U308">_xlfn.IFS(Table1[[#This Row],[Sales]]&gt;2000,"large",Table1[[#This Row],[Sales]]&gt;=500,"medium",Table1[[#This Row],[Sales]]&lt;500,"small")</f>
        <v>large</v>
      </c>
      <c r="V308" s="22">
        <f>Table1[[#This Row],[Profit]]/Table1[[#This Row],[Sales]]*100</f>
        <v>13.518782435666454</v>
      </c>
    </row>
    <row r="309" spans="1:22" x14ac:dyDescent="0.35">
      <c r="A309" s="4" t="s">
        <v>599</v>
      </c>
      <c r="B309" s="5">
        <v>45773</v>
      </c>
      <c r="C309" s="4" t="s">
        <v>200</v>
      </c>
      <c r="D309" s="4" t="s">
        <v>43</v>
      </c>
      <c r="E309" s="4" t="s">
        <v>21</v>
      </c>
      <c r="F309" s="4" t="s">
        <v>22</v>
      </c>
      <c r="G309" s="4" t="s">
        <v>49</v>
      </c>
      <c r="H309" s="4" t="s">
        <v>50</v>
      </c>
      <c r="I309" s="4">
        <v>1</v>
      </c>
      <c r="J309" s="6">
        <v>13</v>
      </c>
      <c r="K309" s="7">
        <v>0</v>
      </c>
      <c r="L309" s="6">
        <f t="shared" si="8"/>
        <v>13</v>
      </c>
      <c r="M309" s="6">
        <v>8.7200000000000006</v>
      </c>
      <c r="N309" s="8">
        <f t="shared" si="9"/>
        <v>4.2799999999999994</v>
      </c>
      <c r="O309" s="4" t="s">
        <v>25</v>
      </c>
      <c r="P309" s="4" t="s">
        <v>72</v>
      </c>
      <c r="Q309" s="4">
        <v>3</v>
      </c>
      <c r="R309" s="4" t="str">
        <f>TEXT(Table1[[#This Row],[Order Date]],"mmm")</f>
        <v>Apr</v>
      </c>
      <c r="S309" s="4" t="str">
        <f>TEXT(Table1[[#This Row],[Order Date]],"mm")</f>
        <v>04</v>
      </c>
      <c r="T309" s="4" t="str">
        <f>IF(Table1[[#This Row],[Sales]]&lt;0,"loss","profit")</f>
        <v>profit</v>
      </c>
      <c r="U309" s="4" t="str" cm="1">
        <f t="array" ref="U309">_xlfn.IFS(Table1[[#This Row],[Sales]]&gt;2000,"large",Table1[[#This Row],[Sales]]&gt;=500,"medium",Table1[[#This Row],[Sales]]&lt;500,"small")</f>
        <v>small</v>
      </c>
      <c r="V309" s="22">
        <f>Table1[[#This Row],[Profit]]/Table1[[#This Row],[Sales]]*100</f>
        <v>32.923076923076913</v>
      </c>
    </row>
    <row r="310" spans="1:22" x14ac:dyDescent="0.35">
      <c r="A310" s="4" t="s">
        <v>600</v>
      </c>
      <c r="B310" s="5">
        <v>45773</v>
      </c>
      <c r="C310" s="4" t="s">
        <v>247</v>
      </c>
      <c r="D310" s="4" t="s">
        <v>43</v>
      </c>
      <c r="E310" s="4" t="s">
        <v>21</v>
      </c>
      <c r="F310" s="4" t="s">
        <v>22</v>
      </c>
      <c r="G310" s="4" t="s">
        <v>67</v>
      </c>
      <c r="H310" s="4" t="s">
        <v>93</v>
      </c>
      <c r="I310" s="4">
        <v>3</v>
      </c>
      <c r="J310" s="6">
        <v>183.01</v>
      </c>
      <c r="K310" s="7">
        <v>0.15</v>
      </c>
      <c r="L310" s="6">
        <f t="shared" si="8"/>
        <v>466.67549999999994</v>
      </c>
      <c r="M310" s="6">
        <v>115.72</v>
      </c>
      <c r="N310" s="8">
        <f t="shared" si="9"/>
        <v>119.51549999999997</v>
      </c>
      <c r="O310" s="4" t="s">
        <v>40</v>
      </c>
      <c r="P310" s="4" t="s">
        <v>33</v>
      </c>
      <c r="Q310" s="4">
        <v>4</v>
      </c>
      <c r="R310" s="4" t="str">
        <f>TEXT(Table1[[#This Row],[Order Date]],"mmm")</f>
        <v>Apr</v>
      </c>
      <c r="S310" s="4" t="str">
        <f>TEXT(Table1[[#This Row],[Order Date]],"mm")</f>
        <v>04</v>
      </c>
      <c r="T310" s="4" t="str">
        <f>IF(Table1[[#This Row],[Sales]]&lt;0,"loss","profit")</f>
        <v>profit</v>
      </c>
      <c r="U310" s="4" t="str" cm="1">
        <f t="array" ref="U310">_xlfn.IFS(Table1[[#This Row],[Sales]]&gt;2000,"large",Table1[[#This Row],[Sales]]&gt;=500,"medium",Table1[[#This Row],[Sales]]&lt;500,"small")</f>
        <v>small</v>
      </c>
      <c r="V310" s="22">
        <f>Table1[[#This Row],[Profit]]/Table1[[#This Row],[Sales]]*100</f>
        <v>25.609979525387555</v>
      </c>
    </row>
    <row r="311" spans="1:22" x14ac:dyDescent="0.35">
      <c r="A311" s="4" t="s">
        <v>601</v>
      </c>
      <c r="B311" s="5">
        <v>45774</v>
      </c>
      <c r="C311" s="4" t="s">
        <v>427</v>
      </c>
      <c r="D311" s="4" t="s">
        <v>43</v>
      </c>
      <c r="E311" s="4" t="s">
        <v>29</v>
      </c>
      <c r="F311" s="4" t="s">
        <v>108</v>
      </c>
      <c r="G311" s="4" t="s">
        <v>38</v>
      </c>
      <c r="H311" s="4" t="s">
        <v>39</v>
      </c>
      <c r="I311" s="4">
        <v>3</v>
      </c>
      <c r="J311" s="6">
        <v>145.5</v>
      </c>
      <c r="K311" s="7">
        <v>0.05</v>
      </c>
      <c r="L311" s="6">
        <f t="shared" si="8"/>
        <v>414.67499999999995</v>
      </c>
      <c r="M311" s="6">
        <v>117.91</v>
      </c>
      <c r="N311" s="8">
        <f t="shared" si="9"/>
        <v>60.944999999999936</v>
      </c>
      <c r="O311" s="4" t="s">
        <v>51</v>
      </c>
      <c r="P311" s="4" t="s">
        <v>72</v>
      </c>
      <c r="Q311" s="4">
        <v>5</v>
      </c>
      <c r="R311" s="4" t="str">
        <f>TEXT(Table1[[#This Row],[Order Date]],"mmm")</f>
        <v>Apr</v>
      </c>
      <c r="S311" s="4" t="str">
        <f>TEXT(Table1[[#This Row],[Order Date]],"mm")</f>
        <v>04</v>
      </c>
      <c r="T311" s="4" t="str">
        <f>IF(Table1[[#This Row],[Sales]]&lt;0,"loss","profit")</f>
        <v>profit</v>
      </c>
      <c r="U311" s="4" t="str" cm="1">
        <f t="array" ref="U311">_xlfn.IFS(Table1[[#This Row],[Sales]]&gt;2000,"large",Table1[[#This Row],[Sales]]&gt;=500,"medium",Table1[[#This Row],[Sales]]&lt;500,"small")</f>
        <v>small</v>
      </c>
      <c r="V311" s="22">
        <f>Table1[[#This Row],[Profit]]/Table1[[#This Row],[Sales]]*100</f>
        <v>14.697051908120804</v>
      </c>
    </row>
    <row r="312" spans="1:22" x14ac:dyDescent="0.35">
      <c r="A312" s="4" t="s">
        <v>602</v>
      </c>
      <c r="B312" s="5">
        <v>45774</v>
      </c>
      <c r="C312" s="4" t="s">
        <v>603</v>
      </c>
      <c r="D312" s="4" t="s">
        <v>43</v>
      </c>
      <c r="E312" s="4" t="s">
        <v>21</v>
      </c>
      <c r="F312" s="4" t="s">
        <v>22</v>
      </c>
      <c r="G312" s="4" t="s">
        <v>23</v>
      </c>
      <c r="H312" s="4" t="s">
        <v>71</v>
      </c>
      <c r="I312" s="4">
        <v>2</v>
      </c>
      <c r="J312" s="6">
        <v>117.14</v>
      </c>
      <c r="K312" s="7">
        <v>0.1</v>
      </c>
      <c r="L312" s="6">
        <f t="shared" si="8"/>
        <v>210.852</v>
      </c>
      <c r="M312" s="6">
        <v>71.58</v>
      </c>
      <c r="N312" s="8">
        <f t="shared" si="9"/>
        <v>67.692000000000007</v>
      </c>
      <c r="O312" s="4" t="s">
        <v>25</v>
      </c>
      <c r="P312" s="4" t="s">
        <v>26</v>
      </c>
      <c r="Q312" s="4">
        <v>4</v>
      </c>
      <c r="R312" s="4" t="str">
        <f>TEXT(Table1[[#This Row],[Order Date]],"mmm")</f>
        <v>Apr</v>
      </c>
      <c r="S312" s="4" t="str">
        <f>TEXT(Table1[[#This Row],[Order Date]],"mm")</f>
        <v>04</v>
      </c>
      <c r="T312" s="4" t="str">
        <f>IF(Table1[[#This Row],[Sales]]&lt;0,"loss","profit")</f>
        <v>profit</v>
      </c>
      <c r="U312" s="4" t="str" cm="1">
        <f t="array" ref="U312">_xlfn.IFS(Table1[[#This Row],[Sales]]&gt;2000,"large",Table1[[#This Row],[Sales]]&gt;=500,"medium",Table1[[#This Row],[Sales]]&lt;500,"small")</f>
        <v>small</v>
      </c>
      <c r="V312" s="22">
        <f>Table1[[#This Row],[Profit]]/Table1[[#This Row],[Sales]]*100</f>
        <v>32.104035057765643</v>
      </c>
    </row>
    <row r="313" spans="1:22" x14ac:dyDescent="0.35">
      <c r="A313" s="4" t="s">
        <v>604</v>
      </c>
      <c r="B313" s="5">
        <v>45774</v>
      </c>
      <c r="C313" s="4" t="s">
        <v>563</v>
      </c>
      <c r="D313" s="4" t="s">
        <v>20</v>
      </c>
      <c r="E313" s="4" t="s">
        <v>21</v>
      </c>
      <c r="F313" s="4" t="s">
        <v>81</v>
      </c>
      <c r="G313" s="4" t="s">
        <v>31</v>
      </c>
      <c r="H313" s="4" t="s">
        <v>32</v>
      </c>
      <c r="I313" s="4">
        <v>4</v>
      </c>
      <c r="J313" s="6">
        <v>382.5</v>
      </c>
      <c r="K313" s="7">
        <v>0.05</v>
      </c>
      <c r="L313" s="6">
        <f t="shared" si="8"/>
        <v>1453.5</v>
      </c>
      <c r="M313" s="6">
        <v>250.38</v>
      </c>
      <c r="N313" s="8">
        <f t="shared" si="9"/>
        <v>451.98</v>
      </c>
      <c r="O313" s="4" t="s">
        <v>25</v>
      </c>
      <c r="P313" s="4" t="s">
        <v>72</v>
      </c>
      <c r="Q313" s="4">
        <v>4</v>
      </c>
      <c r="R313" s="4" t="str">
        <f>TEXT(Table1[[#This Row],[Order Date]],"mmm")</f>
        <v>Apr</v>
      </c>
      <c r="S313" s="4" t="str">
        <f>TEXT(Table1[[#This Row],[Order Date]],"mm")</f>
        <v>04</v>
      </c>
      <c r="T313" s="4" t="str">
        <f>IF(Table1[[#This Row],[Sales]]&lt;0,"loss","profit")</f>
        <v>profit</v>
      </c>
      <c r="U313" s="4" t="str" cm="1">
        <f t="array" ref="U313">_xlfn.IFS(Table1[[#This Row],[Sales]]&gt;2000,"large",Table1[[#This Row],[Sales]]&gt;=500,"medium",Table1[[#This Row],[Sales]]&lt;500,"small")</f>
        <v>medium</v>
      </c>
      <c r="V313" s="22">
        <f>Table1[[#This Row],[Profit]]/Table1[[#This Row],[Sales]]*100</f>
        <v>31.095975232198143</v>
      </c>
    </row>
    <row r="314" spans="1:22" x14ac:dyDescent="0.35">
      <c r="A314" s="4" t="s">
        <v>605</v>
      </c>
      <c r="B314" s="5">
        <v>45775</v>
      </c>
      <c r="C314" s="4" t="s">
        <v>606</v>
      </c>
      <c r="D314" s="4" t="s">
        <v>47</v>
      </c>
      <c r="E314" s="4" t="s">
        <v>29</v>
      </c>
      <c r="F314" s="4" t="s">
        <v>30</v>
      </c>
      <c r="G314" s="4" t="s">
        <v>23</v>
      </c>
      <c r="H314" s="4" t="s">
        <v>44</v>
      </c>
      <c r="I314" s="4">
        <v>1</v>
      </c>
      <c r="J314" s="6">
        <v>69.989999999999995</v>
      </c>
      <c r="K314" s="7">
        <v>0</v>
      </c>
      <c r="L314" s="6">
        <f t="shared" si="8"/>
        <v>69.989999999999995</v>
      </c>
      <c r="M314" s="6">
        <v>32.979999999999997</v>
      </c>
      <c r="N314" s="8">
        <f t="shared" si="9"/>
        <v>37.01</v>
      </c>
      <c r="O314" s="4" t="s">
        <v>51</v>
      </c>
      <c r="P314" s="4" t="s">
        <v>33</v>
      </c>
      <c r="Q314" s="4">
        <v>3</v>
      </c>
      <c r="R314" s="4" t="str">
        <f>TEXT(Table1[[#This Row],[Order Date]],"mmm")</f>
        <v>Apr</v>
      </c>
      <c r="S314" s="4" t="str">
        <f>TEXT(Table1[[#This Row],[Order Date]],"mm")</f>
        <v>04</v>
      </c>
      <c r="T314" s="4" t="str">
        <f>IF(Table1[[#This Row],[Sales]]&lt;0,"loss","profit")</f>
        <v>profit</v>
      </c>
      <c r="U314" s="4" t="str" cm="1">
        <f t="array" ref="U314">_xlfn.IFS(Table1[[#This Row],[Sales]]&gt;2000,"large",Table1[[#This Row],[Sales]]&gt;=500,"medium",Table1[[#This Row],[Sales]]&lt;500,"small")</f>
        <v>small</v>
      </c>
      <c r="V314" s="22">
        <f>Table1[[#This Row],[Profit]]/Table1[[#This Row],[Sales]]*100</f>
        <v>52.878982711815972</v>
      </c>
    </row>
    <row r="315" spans="1:22" x14ac:dyDescent="0.35">
      <c r="A315" s="4" t="s">
        <v>607</v>
      </c>
      <c r="B315" s="5">
        <v>45775</v>
      </c>
      <c r="C315" s="4" t="s">
        <v>158</v>
      </c>
      <c r="D315" s="4" t="s">
        <v>43</v>
      </c>
      <c r="E315" s="4" t="s">
        <v>87</v>
      </c>
      <c r="F315" s="4" t="s">
        <v>88</v>
      </c>
      <c r="G315" s="4" t="s">
        <v>31</v>
      </c>
      <c r="H315" s="4" t="s">
        <v>64</v>
      </c>
      <c r="I315" s="4">
        <v>1</v>
      </c>
      <c r="J315" s="6">
        <v>126.71</v>
      </c>
      <c r="K315" s="7">
        <v>0.1</v>
      </c>
      <c r="L315" s="6">
        <f t="shared" si="8"/>
        <v>114.039</v>
      </c>
      <c r="M315" s="6">
        <v>73.400000000000006</v>
      </c>
      <c r="N315" s="8">
        <f t="shared" si="9"/>
        <v>40.638999999999996</v>
      </c>
      <c r="O315" s="4" t="s">
        <v>25</v>
      </c>
      <c r="P315" s="4" t="s">
        <v>26</v>
      </c>
      <c r="Q315" s="4">
        <v>3</v>
      </c>
      <c r="R315" s="4" t="str">
        <f>TEXT(Table1[[#This Row],[Order Date]],"mmm")</f>
        <v>Apr</v>
      </c>
      <c r="S315" s="4" t="str">
        <f>TEXT(Table1[[#This Row],[Order Date]],"mm")</f>
        <v>04</v>
      </c>
      <c r="T315" s="4" t="str">
        <f>IF(Table1[[#This Row],[Sales]]&lt;0,"loss","profit")</f>
        <v>profit</v>
      </c>
      <c r="U315" s="4" t="str" cm="1">
        <f t="array" ref="U315">_xlfn.IFS(Table1[[#This Row],[Sales]]&gt;2000,"large",Table1[[#This Row],[Sales]]&gt;=500,"medium",Table1[[#This Row],[Sales]]&lt;500,"small")</f>
        <v>small</v>
      </c>
      <c r="V315" s="22">
        <f>Table1[[#This Row],[Profit]]/Table1[[#This Row],[Sales]]*100</f>
        <v>35.636054332289824</v>
      </c>
    </row>
    <row r="316" spans="1:22" x14ac:dyDescent="0.35">
      <c r="A316" s="4" t="s">
        <v>608</v>
      </c>
      <c r="B316" s="5">
        <v>45775</v>
      </c>
      <c r="C316" s="4" t="s">
        <v>609</v>
      </c>
      <c r="D316" s="4" t="s">
        <v>47</v>
      </c>
      <c r="E316" s="4" t="s">
        <v>21</v>
      </c>
      <c r="F316" s="4" t="s">
        <v>81</v>
      </c>
      <c r="G316" s="4" t="s">
        <v>38</v>
      </c>
      <c r="H316" s="4" t="s">
        <v>89</v>
      </c>
      <c r="I316" s="4">
        <v>1</v>
      </c>
      <c r="J316" s="6">
        <v>1377.29</v>
      </c>
      <c r="K316" s="7">
        <v>0.1</v>
      </c>
      <c r="L316" s="6">
        <f t="shared" si="8"/>
        <v>1239.5609999999999</v>
      </c>
      <c r="M316" s="6">
        <v>1234.99</v>
      </c>
      <c r="N316" s="8">
        <f t="shared" si="9"/>
        <v>4.5709999999999127</v>
      </c>
      <c r="O316" s="4" t="s">
        <v>84</v>
      </c>
      <c r="P316" s="4" t="s">
        <v>56</v>
      </c>
      <c r="Q316" s="4">
        <v>3</v>
      </c>
      <c r="R316" s="4" t="str">
        <f>TEXT(Table1[[#This Row],[Order Date]],"mmm")</f>
        <v>Apr</v>
      </c>
      <c r="S316" s="4" t="str">
        <f>TEXT(Table1[[#This Row],[Order Date]],"mm")</f>
        <v>04</v>
      </c>
      <c r="T316" s="4" t="str">
        <f>IF(Table1[[#This Row],[Sales]]&lt;0,"loss","profit")</f>
        <v>profit</v>
      </c>
      <c r="U316" s="4" t="str" cm="1">
        <f t="array" ref="U316">_xlfn.IFS(Table1[[#This Row],[Sales]]&gt;2000,"large",Table1[[#This Row],[Sales]]&gt;=500,"medium",Table1[[#This Row],[Sales]]&lt;500,"small")</f>
        <v>medium</v>
      </c>
      <c r="V316" s="22">
        <f>Table1[[#This Row],[Profit]]/Table1[[#This Row],[Sales]]*100</f>
        <v>0.36875958504663453</v>
      </c>
    </row>
    <row r="317" spans="1:22" x14ac:dyDescent="0.35">
      <c r="A317" s="4" t="s">
        <v>610</v>
      </c>
      <c r="B317" s="5">
        <v>45776</v>
      </c>
      <c r="C317" s="4" t="s">
        <v>309</v>
      </c>
      <c r="D317" s="4" t="s">
        <v>47</v>
      </c>
      <c r="E317" s="4" t="s">
        <v>29</v>
      </c>
      <c r="F317" s="4" t="s">
        <v>30</v>
      </c>
      <c r="G317" s="4" t="s">
        <v>23</v>
      </c>
      <c r="H317" s="4" t="s">
        <v>71</v>
      </c>
      <c r="I317" s="4">
        <v>2</v>
      </c>
      <c r="J317" s="6">
        <v>118.54</v>
      </c>
      <c r="K317" s="7">
        <v>0.1</v>
      </c>
      <c r="L317" s="6">
        <f t="shared" si="8"/>
        <v>213.37200000000001</v>
      </c>
      <c r="M317" s="6">
        <v>53.77</v>
      </c>
      <c r="N317" s="8">
        <f t="shared" si="9"/>
        <v>105.83200000000001</v>
      </c>
      <c r="O317" s="4" t="s">
        <v>84</v>
      </c>
      <c r="P317" s="4" t="s">
        <v>75</v>
      </c>
      <c r="Q317" s="4">
        <v>3</v>
      </c>
      <c r="R317" s="4" t="str">
        <f>TEXT(Table1[[#This Row],[Order Date]],"mmm")</f>
        <v>Apr</v>
      </c>
      <c r="S317" s="4" t="str">
        <f>TEXT(Table1[[#This Row],[Order Date]],"mm")</f>
        <v>04</v>
      </c>
      <c r="T317" s="4" t="str">
        <f>IF(Table1[[#This Row],[Sales]]&lt;0,"loss","profit")</f>
        <v>profit</v>
      </c>
      <c r="U317" s="4" t="str" cm="1">
        <f t="array" ref="U317">_xlfn.IFS(Table1[[#This Row],[Sales]]&gt;2000,"large",Table1[[#This Row],[Sales]]&gt;=500,"medium",Table1[[#This Row],[Sales]]&lt;500,"small")</f>
        <v>small</v>
      </c>
      <c r="V317" s="22">
        <f>Table1[[#This Row],[Profit]]/Table1[[#This Row],[Sales]]*100</f>
        <v>49.599760043492118</v>
      </c>
    </row>
    <row r="318" spans="1:22" x14ac:dyDescent="0.35">
      <c r="A318" s="4" t="s">
        <v>611</v>
      </c>
      <c r="B318" s="5">
        <v>45776</v>
      </c>
      <c r="C318" s="4" t="s">
        <v>612</v>
      </c>
      <c r="D318" s="4" t="s">
        <v>20</v>
      </c>
      <c r="E318" s="4" t="s">
        <v>36</v>
      </c>
      <c r="F318" s="4" t="s">
        <v>201</v>
      </c>
      <c r="G318" s="4" t="s">
        <v>67</v>
      </c>
      <c r="H318" s="4" t="s">
        <v>68</v>
      </c>
      <c r="I318" s="4">
        <v>5</v>
      </c>
      <c r="J318" s="6">
        <v>463.44</v>
      </c>
      <c r="K318" s="7">
        <v>0</v>
      </c>
      <c r="L318" s="6">
        <f t="shared" si="8"/>
        <v>2317.1999999999998</v>
      </c>
      <c r="M318" s="6">
        <v>287.73</v>
      </c>
      <c r="N318" s="8">
        <f t="shared" si="9"/>
        <v>878.54999999999973</v>
      </c>
      <c r="O318" s="4" t="s">
        <v>84</v>
      </c>
      <c r="P318" s="4" t="s">
        <v>97</v>
      </c>
      <c r="Q318" s="4">
        <v>5</v>
      </c>
      <c r="R318" s="4" t="str">
        <f>TEXT(Table1[[#This Row],[Order Date]],"mmm")</f>
        <v>Apr</v>
      </c>
      <c r="S318" s="4" t="str">
        <f>TEXT(Table1[[#This Row],[Order Date]],"mm")</f>
        <v>04</v>
      </c>
      <c r="T318" s="4" t="str">
        <f>IF(Table1[[#This Row],[Sales]]&lt;0,"loss","profit")</f>
        <v>profit</v>
      </c>
      <c r="U318" s="4" t="str" cm="1">
        <f t="array" ref="U318">_xlfn.IFS(Table1[[#This Row],[Sales]]&gt;2000,"large",Table1[[#This Row],[Sales]]&gt;=500,"medium",Table1[[#This Row],[Sales]]&lt;500,"small")</f>
        <v>large</v>
      </c>
      <c r="V318" s="22">
        <f>Table1[[#This Row],[Profit]]/Table1[[#This Row],[Sales]]*100</f>
        <v>37.914293112376996</v>
      </c>
    </row>
    <row r="319" spans="1:22" x14ac:dyDescent="0.35">
      <c r="A319" s="4" t="s">
        <v>613</v>
      </c>
      <c r="B319" s="5">
        <v>45776</v>
      </c>
      <c r="C319" s="4" t="s">
        <v>614</v>
      </c>
      <c r="D319" s="4" t="s">
        <v>20</v>
      </c>
      <c r="E319" s="4" t="s">
        <v>21</v>
      </c>
      <c r="F319" s="4" t="s">
        <v>59</v>
      </c>
      <c r="G319" s="4" t="s">
        <v>23</v>
      </c>
      <c r="H319" s="4" t="s">
        <v>135</v>
      </c>
      <c r="I319" s="4">
        <v>3</v>
      </c>
      <c r="J319" s="6">
        <v>13.38</v>
      </c>
      <c r="K319" s="7">
        <v>0</v>
      </c>
      <c r="L319" s="6">
        <f t="shared" si="8"/>
        <v>40.14</v>
      </c>
      <c r="M319" s="6">
        <v>6.24</v>
      </c>
      <c r="N319" s="8">
        <f t="shared" si="9"/>
        <v>21.42</v>
      </c>
      <c r="O319" s="4" t="s">
        <v>25</v>
      </c>
      <c r="P319" s="4" t="s">
        <v>118</v>
      </c>
      <c r="Q319" s="4">
        <v>3</v>
      </c>
      <c r="R319" s="4" t="str">
        <f>TEXT(Table1[[#This Row],[Order Date]],"mmm")</f>
        <v>Apr</v>
      </c>
      <c r="S319" s="4" t="str">
        <f>TEXT(Table1[[#This Row],[Order Date]],"mm")</f>
        <v>04</v>
      </c>
      <c r="T319" s="4" t="str">
        <f>IF(Table1[[#This Row],[Sales]]&lt;0,"loss","profit")</f>
        <v>profit</v>
      </c>
      <c r="U319" s="4" t="str" cm="1">
        <f t="array" ref="U319">_xlfn.IFS(Table1[[#This Row],[Sales]]&gt;2000,"large",Table1[[#This Row],[Sales]]&gt;=500,"medium",Table1[[#This Row],[Sales]]&lt;500,"small")</f>
        <v>small</v>
      </c>
      <c r="V319" s="22">
        <f>Table1[[#This Row],[Profit]]/Table1[[#This Row],[Sales]]*100</f>
        <v>53.36322869955157</v>
      </c>
    </row>
    <row r="320" spans="1:22" x14ac:dyDescent="0.35">
      <c r="A320" s="4" t="s">
        <v>615</v>
      </c>
      <c r="B320" s="5">
        <v>45777</v>
      </c>
      <c r="C320" s="4" t="s">
        <v>616</v>
      </c>
      <c r="D320" s="4" t="s">
        <v>47</v>
      </c>
      <c r="E320" s="4" t="s">
        <v>87</v>
      </c>
      <c r="F320" s="4" t="s">
        <v>92</v>
      </c>
      <c r="G320" s="4" t="s">
        <v>31</v>
      </c>
      <c r="H320" s="4" t="s">
        <v>147</v>
      </c>
      <c r="I320" s="4">
        <v>6</v>
      </c>
      <c r="J320" s="6">
        <v>49.06</v>
      </c>
      <c r="K320" s="7">
        <v>0.15</v>
      </c>
      <c r="L320" s="6">
        <f t="shared" si="8"/>
        <v>250.20600000000002</v>
      </c>
      <c r="M320" s="6">
        <v>30.53</v>
      </c>
      <c r="N320" s="8">
        <f t="shared" si="9"/>
        <v>67.02600000000001</v>
      </c>
      <c r="O320" s="4" t="s">
        <v>84</v>
      </c>
      <c r="P320" s="4" t="s">
        <v>97</v>
      </c>
      <c r="Q320" s="4">
        <v>4</v>
      </c>
      <c r="R320" s="4" t="str">
        <f>TEXT(Table1[[#This Row],[Order Date]],"mmm")</f>
        <v>Apr</v>
      </c>
      <c r="S320" s="4" t="str">
        <f>TEXT(Table1[[#This Row],[Order Date]],"mm")</f>
        <v>04</v>
      </c>
      <c r="T320" s="4" t="str">
        <f>IF(Table1[[#This Row],[Sales]]&lt;0,"loss","profit")</f>
        <v>profit</v>
      </c>
      <c r="U320" s="4" t="str" cm="1">
        <f t="array" ref="U320">_xlfn.IFS(Table1[[#This Row],[Sales]]&gt;2000,"large",Table1[[#This Row],[Sales]]&gt;=500,"medium",Table1[[#This Row],[Sales]]&lt;500,"small")</f>
        <v>small</v>
      </c>
      <c r="V320" s="22">
        <f>Table1[[#This Row],[Profit]]/Table1[[#This Row],[Sales]]*100</f>
        <v>26.788326419030721</v>
      </c>
    </row>
    <row r="321" spans="1:22" x14ac:dyDescent="0.35">
      <c r="A321" s="4" t="s">
        <v>617</v>
      </c>
      <c r="B321" s="5">
        <v>45777</v>
      </c>
      <c r="C321" s="4" t="s">
        <v>618</v>
      </c>
      <c r="D321" s="4" t="s">
        <v>43</v>
      </c>
      <c r="E321" s="4" t="s">
        <v>87</v>
      </c>
      <c r="F321" s="4" t="s">
        <v>88</v>
      </c>
      <c r="G321" s="4" t="s">
        <v>38</v>
      </c>
      <c r="H321" s="4" t="s">
        <v>55</v>
      </c>
      <c r="I321" s="4">
        <v>8</v>
      </c>
      <c r="J321" s="6">
        <v>187.87</v>
      </c>
      <c r="K321" s="7">
        <v>0.05</v>
      </c>
      <c r="L321" s="6">
        <f t="shared" si="8"/>
        <v>1427.8119999999999</v>
      </c>
      <c r="M321" s="6">
        <v>157.93</v>
      </c>
      <c r="N321" s="8">
        <f t="shared" si="9"/>
        <v>164.37199999999984</v>
      </c>
      <c r="O321" s="4" t="s">
        <v>51</v>
      </c>
      <c r="P321" s="4" t="s">
        <v>61</v>
      </c>
      <c r="Q321" s="4">
        <v>4</v>
      </c>
      <c r="R321" s="4" t="str">
        <f>TEXT(Table1[[#This Row],[Order Date]],"mmm")</f>
        <v>Apr</v>
      </c>
      <c r="S321" s="4" t="str">
        <f>TEXT(Table1[[#This Row],[Order Date]],"mm")</f>
        <v>04</v>
      </c>
      <c r="T321" s="4" t="str">
        <f>IF(Table1[[#This Row],[Sales]]&lt;0,"loss","profit")</f>
        <v>profit</v>
      </c>
      <c r="U321" s="4" t="str" cm="1">
        <f t="array" ref="U321">_xlfn.IFS(Table1[[#This Row],[Sales]]&gt;2000,"large",Table1[[#This Row],[Sales]]&gt;=500,"medium",Table1[[#This Row],[Sales]]&lt;500,"small")</f>
        <v>medium</v>
      </c>
      <c r="V321" s="22">
        <f>Table1[[#This Row],[Profit]]/Table1[[#This Row],[Sales]]*100</f>
        <v>11.51215986418379</v>
      </c>
    </row>
    <row r="322" spans="1:22" x14ac:dyDescent="0.35">
      <c r="A322" s="4" t="s">
        <v>619</v>
      </c>
      <c r="B322" s="5">
        <v>45777</v>
      </c>
      <c r="C322" s="4" t="s">
        <v>620</v>
      </c>
      <c r="D322" s="4" t="s">
        <v>20</v>
      </c>
      <c r="E322" s="4" t="s">
        <v>36</v>
      </c>
      <c r="F322" s="4" t="s">
        <v>37</v>
      </c>
      <c r="G322" s="4" t="s">
        <v>38</v>
      </c>
      <c r="H322" s="4" t="s">
        <v>109</v>
      </c>
      <c r="I322" s="4">
        <v>1</v>
      </c>
      <c r="J322" s="6">
        <v>699.94</v>
      </c>
      <c r="K322" s="7">
        <v>0</v>
      </c>
      <c r="L322" s="6">
        <f t="shared" ref="L322:L385" si="10">I322*J322*(1-K322)</f>
        <v>699.94</v>
      </c>
      <c r="M322" s="6">
        <v>557.92999999999995</v>
      </c>
      <c r="N322" s="8">
        <f t="shared" ref="N322:N385" si="11">L322-I322*M322</f>
        <v>142.0100000000001</v>
      </c>
      <c r="O322" s="4" t="s">
        <v>51</v>
      </c>
      <c r="P322" s="4" t="s">
        <v>56</v>
      </c>
      <c r="Q322" s="4">
        <v>3</v>
      </c>
      <c r="R322" s="4" t="str">
        <f>TEXT(Table1[[#This Row],[Order Date]],"mmm")</f>
        <v>Apr</v>
      </c>
      <c r="S322" s="4" t="str">
        <f>TEXT(Table1[[#This Row],[Order Date]],"mm")</f>
        <v>04</v>
      </c>
      <c r="T322" s="4" t="str">
        <f>IF(Table1[[#This Row],[Sales]]&lt;0,"loss","profit")</f>
        <v>profit</v>
      </c>
      <c r="U322" s="4" t="str" cm="1">
        <f t="array" ref="U322">_xlfn.IFS(Table1[[#This Row],[Sales]]&gt;2000,"large",Table1[[#This Row],[Sales]]&gt;=500,"medium",Table1[[#This Row],[Sales]]&lt;500,"small")</f>
        <v>medium</v>
      </c>
      <c r="V322" s="22">
        <f>Table1[[#This Row],[Profit]]/Table1[[#This Row],[Sales]]*100</f>
        <v>20.28888190416323</v>
      </c>
    </row>
    <row r="323" spans="1:22" x14ac:dyDescent="0.35">
      <c r="A323" s="4" t="s">
        <v>621</v>
      </c>
      <c r="B323" s="5">
        <v>45778</v>
      </c>
      <c r="C323" s="4" t="s">
        <v>127</v>
      </c>
      <c r="D323" s="4" t="s">
        <v>20</v>
      </c>
      <c r="E323" s="4" t="s">
        <v>29</v>
      </c>
      <c r="F323" s="4" t="s">
        <v>108</v>
      </c>
      <c r="G323" s="4" t="s">
        <v>38</v>
      </c>
      <c r="H323" s="4" t="s">
        <v>39</v>
      </c>
      <c r="I323" s="4">
        <v>1</v>
      </c>
      <c r="J323" s="6">
        <v>371.77</v>
      </c>
      <c r="K323" s="7">
        <v>0.1</v>
      </c>
      <c r="L323" s="6">
        <f t="shared" si="10"/>
        <v>334.59300000000002</v>
      </c>
      <c r="M323" s="6">
        <v>292.39999999999998</v>
      </c>
      <c r="N323" s="8">
        <f t="shared" si="11"/>
        <v>42.19300000000004</v>
      </c>
      <c r="O323" s="4" t="s">
        <v>84</v>
      </c>
      <c r="P323" s="4" t="s">
        <v>33</v>
      </c>
      <c r="Q323" s="4">
        <v>5</v>
      </c>
      <c r="R323" s="4" t="str">
        <f>TEXT(Table1[[#This Row],[Order Date]],"mmm")</f>
        <v>May</v>
      </c>
      <c r="S323" s="4" t="str">
        <f>TEXT(Table1[[#This Row],[Order Date]],"mm")</f>
        <v>05</v>
      </c>
      <c r="T323" s="4" t="str">
        <f>IF(Table1[[#This Row],[Sales]]&lt;0,"loss","profit")</f>
        <v>profit</v>
      </c>
      <c r="U323" s="4" t="str" cm="1">
        <f t="array" ref="U323">_xlfn.IFS(Table1[[#This Row],[Sales]]&gt;2000,"large",Table1[[#This Row],[Sales]]&gt;=500,"medium",Table1[[#This Row],[Sales]]&lt;500,"small")</f>
        <v>small</v>
      </c>
      <c r="V323" s="22">
        <f>Table1[[#This Row],[Profit]]/Table1[[#This Row],[Sales]]*100</f>
        <v>12.610245880816407</v>
      </c>
    </row>
    <row r="324" spans="1:22" x14ac:dyDescent="0.35">
      <c r="A324" s="4" t="s">
        <v>622</v>
      </c>
      <c r="B324" s="5">
        <v>45778</v>
      </c>
      <c r="C324" s="4" t="s">
        <v>221</v>
      </c>
      <c r="D324" s="4" t="s">
        <v>20</v>
      </c>
      <c r="E324" s="4" t="s">
        <v>29</v>
      </c>
      <c r="F324" s="4" t="s">
        <v>54</v>
      </c>
      <c r="G324" s="4" t="s">
        <v>23</v>
      </c>
      <c r="H324" s="4" t="s">
        <v>44</v>
      </c>
      <c r="I324" s="4">
        <v>3</v>
      </c>
      <c r="J324" s="6">
        <v>107.08</v>
      </c>
      <c r="K324" s="7">
        <v>0.05</v>
      </c>
      <c r="L324" s="6">
        <f t="shared" si="10"/>
        <v>305.178</v>
      </c>
      <c r="M324" s="6">
        <v>55.07</v>
      </c>
      <c r="N324" s="8">
        <f t="shared" si="11"/>
        <v>139.96799999999999</v>
      </c>
      <c r="O324" s="4" t="s">
        <v>40</v>
      </c>
      <c r="P324" s="4" t="s">
        <v>33</v>
      </c>
      <c r="Q324" s="4">
        <v>5</v>
      </c>
      <c r="R324" s="4" t="str">
        <f>TEXT(Table1[[#This Row],[Order Date]],"mmm")</f>
        <v>May</v>
      </c>
      <c r="S324" s="4" t="str">
        <f>TEXT(Table1[[#This Row],[Order Date]],"mm")</f>
        <v>05</v>
      </c>
      <c r="T324" s="4" t="str">
        <f>IF(Table1[[#This Row],[Sales]]&lt;0,"loss","profit")</f>
        <v>profit</v>
      </c>
      <c r="U324" s="4" t="str" cm="1">
        <f t="array" ref="U324">_xlfn.IFS(Table1[[#This Row],[Sales]]&gt;2000,"large",Table1[[#This Row],[Sales]]&gt;=500,"medium",Table1[[#This Row],[Sales]]&lt;500,"small")</f>
        <v>small</v>
      </c>
      <c r="V324" s="22">
        <f>Table1[[#This Row],[Profit]]/Table1[[#This Row],[Sales]]*100</f>
        <v>45.864380787605917</v>
      </c>
    </row>
    <row r="325" spans="1:22" x14ac:dyDescent="0.35">
      <c r="A325" s="4" t="s">
        <v>623</v>
      </c>
      <c r="B325" s="5">
        <v>45778</v>
      </c>
      <c r="C325" s="4" t="s">
        <v>294</v>
      </c>
      <c r="D325" s="4" t="s">
        <v>20</v>
      </c>
      <c r="E325" s="4" t="s">
        <v>36</v>
      </c>
      <c r="F325" s="4" t="s">
        <v>201</v>
      </c>
      <c r="G325" s="4" t="s">
        <v>23</v>
      </c>
      <c r="H325" s="4" t="s">
        <v>24</v>
      </c>
      <c r="I325" s="4">
        <v>2</v>
      </c>
      <c r="J325" s="6">
        <v>29.48</v>
      </c>
      <c r="K325" s="7">
        <v>0.05</v>
      </c>
      <c r="L325" s="6">
        <f t="shared" si="10"/>
        <v>56.012</v>
      </c>
      <c r="M325" s="6">
        <v>18.02</v>
      </c>
      <c r="N325" s="8">
        <f t="shared" si="11"/>
        <v>19.972000000000001</v>
      </c>
      <c r="O325" s="4" t="s">
        <v>51</v>
      </c>
      <c r="P325" s="4" t="s">
        <v>97</v>
      </c>
      <c r="Q325" s="4">
        <v>5</v>
      </c>
      <c r="R325" s="4" t="str">
        <f>TEXT(Table1[[#This Row],[Order Date]],"mmm")</f>
        <v>May</v>
      </c>
      <c r="S325" s="4" t="str">
        <f>TEXT(Table1[[#This Row],[Order Date]],"mm")</f>
        <v>05</v>
      </c>
      <c r="T325" s="4" t="str">
        <f>IF(Table1[[#This Row],[Sales]]&lt;0,"loss","profit")</f>
        <v>profit</v>
      </c>
      <c r="U325" s="4" t="str" cm="1">
        <f t="array" ref="U325">_xlfn.IFS(Table1[[#This Row],[Sales]]&gt;2000,"large",Table1[[#This Row],[Sales]]&gt;=500,"medium",Table1[[#This Row],[Sales]]&lt;500,"small")</f>
        <v>small</v>
      </c>
      <c r="V325" s="22">
        <f>Table1[[#This Row],[Profit]]/Table1[[#This Row],[Sales]]*100</f>
        <v>35.656645004641859</v>
      </c>
    </row>
    <row r="326" spans="1:22" x14ac:dyDescent="0.35">
      <c r="A326" s="4" t="s">
        <v>624</v>
      </c>
      <c r="B326" s="5">
        <v>45779</v>
      </c>
      <c r="C326" s="4" t="s">
        <v>63</v>
      </c>
      <c r="D326" s="4" t="s">
        <v>20</v>
      </c>
      <c r="E326" s="4" t="s">
        <v>21</v>
      </c>
      <c r="F326" s="4" t="s">
        <v>59</v>
      </c>
      <c r="G326" s="4" t="s">
        <v>49</v>
      </c>
      <c r="H326" s="4" t="s">
        <v>78</v>
      </c>
      <c r="I326" s="4">
        <v>8</v>
      </c>
      <c r="J326" s="6">
        <v>654.41</v>
      </c>
      <c r="K326" s="7">
        <v>0.15</v>
      </c>
      <c r="L326" s="6">
        <f t="shared" si="10"/>
        <v>4449.9879999999994</v>
      </c>
      <c r="M326" s="6">
        <v>459.55</v>
      </c>
      <c r="N326" s="8">
        <f t="shared" si="11"/>
        <v>773.58799999999928</v>
      </c>
      <c r="O326" s="4" t="s">
        <v>40</v>
      </c>
      <c r="P326" s="4" t="s">
        <v>61</v>
      </c>
      <c r="Q326" s="4">
        <v>4</v>
      </c>
      <c r="R326" s="4" t="str">
        <f>TEXT(Table1[[#This Row],[Order Date]],"mmm")</f>
        <v>May</v>
      </c>
      <c r="S326" s="4" t="str">
        <f>TEXT(Table1[[#This Row],[Order Date]],"mm")</f>
        <v>05</v>
      </c>
      <c r="T326" s="4" t="str">
        <f>IF(Table1[[#This Row],[Sales]]&lt;0,"loss","profit")</f>
        <v>profit</v>
      </c>
      <c r="U326" s="4" t="str" cm="1">
        <f t="array" ref="U326">_xlfn.IFS(Table1[[#This Row],[Sales]]&gt;2000,"large",Table1[[#This Row],[Sales]]&gt;=500,"medium",Table1[[#This Row],[Sales]]&lt;500,"small")</f>
        <v>large</v>
      </c>
      <c r="V326" s="22">
        <f>Table1[[#This Row],[Profit]]/Table1[[#This Row],[Sales]]*100</f>
        <v>17.384046878328647</v>
      </c>
    </row>
    <row r="327" spans="1:22" x14ac:dyDescent="0.35">
      <c r="A327" s="4" t="s">
        <v>625</v>
      </c>
      <c r="B327" s="5">
        <v>45779</v>
      </c>
      <c r="C327" s="4" t="s">
        <v>626</v>
      </c>
      <c r="D327" s="4" t="s">
        <v>47</v>
      </c>
      <c r="E327" s="4" t="s">
        <v>21</v>
      </c>
      <c r="F327" s="4" t="s">
        <v>22</v>
      </c>
      <c r="G327" s="4" t="s">
        <v>67</v>
      </c>
      <c r="H327" s="4" t="s">
        <v>140</v>
      </c>
      <c r="I327" s="4">
        <v>5</v>
      </c>
      <c r="J327" s="6">
        <v>80.989999999999995</v>
      </c>
      <c r="K327" s="7">
        <v>0</v>
      </c>
      <c r="L327" s="6">
        <f t="shared" si="10"/>
        <v>404.95</v>
      </c>
      <c r="M327" s="6">
        <v>56.32</v>
      </c>
      <c r="N327" s="8">
        <f t="shared" si="11"/>
        <v>123.34999999999997</v>
      </c>
      <c r="O327" s="4" t="s">
        <v>60</v>
      </c>
      <c r="P327" s="4" t="s">
        <v>26</v>
      </c>
      <c r="Q327" s="4">
        <v>3</v>
      </c>
      <c r="R327" s="4" t="str">
        <f>TEXT(Table1[[#This Row],[Order Date]],"mmm")</f>
        <v>May</v>
      </c>
      <c r="S327" s="4" t="str">
        <f>TEXT(Table1[[#This Row],[Order Date]],"mm")</f>
        <v>05</v>
      </c>
      <c r="T327" s="4" t="str">
        <f>IF(Table1[[#This Row],[Sales]]&lt;0,"loss","profit")</f>
        <v>profit</v>
      </c>
      <c r="U327" s="4" t="str" cm="1">
        <f t="array" ref="U327">_xlfn.IFS(Table1[[#This Row],[Sales]]&gt;2000,"large",Table1[[#This Row],[Sales]]&gt;=500,"medium",Table1[[#This Row],[Sales]]&lt;500,"small")</f>
        <v>small</v>
      </c>
      <c r="V327" s="22">
        <f>Table1[[#This Row],[Profit]]/Table1[[#This Row],[Sales]]*100</f>
        <v>30.460550685269776</v>
      </c>
    </row>
    <row r="328" spans="1:22" x14ac:dyDescent="0.35">
      <c r="A328" s="4" t="s">
        <v>627</v>
      </c>
      <c r="B328" s="5">
        <v>45779</v>
      </c>
      <c r="C328" s="4" t="s">
        <v>594</v>
      </c>
      <c r="D328" s="4" t="s">
        <v>47</v>
      </c>
      <c r="E328" s="4" t="s">
        <v>36</v>
      </c>
      <c r="F328" s="4" t="s">
        <v>48</v>
      </c>
      <c r="G328" s="4" t="s">
        <v>38</v>
      </c>
      <c r="H328" s="4" t="s">
        <v>96</v>
      </c>
      <c r="I328" s="4">
        <v>2</v>
      </c>
      <c r="J328" s="6">
        <v>511.86</v>
      </c>
      <c r="K328" s="7">
        <v>0.1</v>
      </c>
      <c r="L328" s="6">
        <f t="shared" si="10"/>
        <v>921.34800000000007</v>
      </c>
      <c r="M328" s="6">
        <v>420.3</v>
      </c>
      <c r="N328" s="8">
        <f t="shared" si="11"/>
        <v>80.748000000000047</v>
      </c>
      <c r="O328" s="4" t="s">
        <v>84</v>
      </c>
      <c r="P328" s="4" t="s">
        <v>26</v>
      </c>
      <c r="Q328" s="4">
        <v>5</v>
      </c>
      <c r="R328" s="4" t="str">
        <f>TEXT(Table1[[#This Row],[Order Date]],"mmm")</f>
        <v>May</v>
      </c>
      <c r="S328" s="4" t="str">
        <f>TEXT(Table1[[#This Row],[Order Date]],"mm")</f>
        <v>05</v>
      </c>
      <c r="T328" s="4" t="str">
        <f>IF(Table1[[#This Row],[Sales]]&lt;0,"loss","profit")</f>
        <v>profit</v>
      </c>
      <c r="U328" s="4" t="str" cm="1">
        <f t="array" ref="U328">_xlfn.IFS(Table1[[#This Row],[Sales]]&gt;2000,"large",Table1[[#This Row],[Sales]]&gt;=500,"medium",Table1[[#This Row],[Sales]]&lt;500,"small")</f>
        <v>medium</v>
      </c>
      <c r="V328" s="22">
        <f>Table1[[#This Row],[Profit]]/Table1[[#This Row],[Sales]]*100</f>
        <v>8.7641151877466541</v>
      </c>
    </row>
    <row r="329" spans="1:22" x14ac:dyDescent="0.35">
      <c r="A329" s="4" t="s">
        <v>628</v>
      </c>
      <c r="B329" s="5">
        <v>45780</v>
      </c>
      <c r="C329" s="4" t="s">
        <v>357</v>
      </c>
      <c r="D329" s="4" t="s">
        <v>43</v>
      </c>
      <c r="E329" s="4" t="s">
        <v>29</v>
      </c>
      <c r="F329" s="4" t="s">
        <v>30</v>
      </c>
      <c r="G329" s="4" t="s">
        <v>31</v>
      </c>
      <c r="H329" s="4" t="s">
        <v>32</v>
      </c>
      <c r="I329" s="4">
        <v>4</v>
      </c>
      <c r="J329" s="6">
        <v>334.34</v>
      </c>
      <c r="K329" s="7">
        <v>0</v>
      </c>
      <c r="L329" s="6">
        <f t="shared" si="10"/>
        <v>1337.36</v>
      </c>
      <c r="M329" s="6">
        <v>246.7</v>
      </c>
      <c r="N329" s="8">
        <f t="shared" si="11"/>
        <v>350.55999999999995</v>
      </c>
      <c r="O329" s="4" t="s">
        <v>51</v>
      </c>
      <c r="P329" s="4" t="s">
        <v>75</v>
      </c>
      <c r="Q329" s="4">
        <v>5</v>
      </c>
      <c r="R329" s="4" t="str">
        <f>TEXT(Table1[[#This Row],[Order Date]],"mmm")</f>
        <v>May</v>
      </c>
      <c r="S329" s="4" t="str">
        <f>TEXT(Table1[[#This Row],[Order Date]],"mm")</f>
        <v>05</v>
      </c>
      <c r="T329" s="4" t="str">
        <f>IF(Table1[[#This Row],[Sales]]&lt;0,"loss","profit")</f>
        <v>profit</v>
      </c>
      <c r="U329" s="4" t="str" cm="1">
        <f t="array" ref="U329">_xlfn.IFS(Table1[[#This Row],[Sales]]&gt;2000,"large",Table1[[#This Row],[Sales]]&gt;=500,"medium",Table1[[#This Row],[Sales]]&lt;500,"small")</f>
        <v>medium</v>
      </c>
      <c r="V329" s="22">
        <f>Table1[[#This Row],[Profit]]/Table1[[#This Row],[Sales]]*100</f>
        <v>26.212837231560687</v>
      </c>
    </row>
    <row r="330" spans="1:22" x14ac:dyDescent="0.35">
      <c r="A330" s="4" t="s">
        <v>629</v>
      </c>
      <c r="B330" s="5">
        <v>45780</v>
      </c>
      <c r="C330" s="4" t="s">
        <v>63</v>
      </c>
      <c r="D330" s="4" t="s">
        <v>47</v>
      </c>
      <c r="E330" s="4" t="s">
        <v>21</v>
      </c>
      <c r="F330" s="4" t="s">
        <v>22</v>
      </c>
      <c r="G330" s="4" t="s">
        <v>31</v>
      </c>
      <c r="H330" s="4" t="s">
        <v>147</v>
      </c>
      <c r="I330" s="4">
        <v>4</v>
      </c>
      <c r="J330" s="6">
        <v>114.74</v>
      </c>
      <c r="K330" s="7">
        <v>0.05</v>
      </c>
      <c r="L330" s="6">
        <f t="shared" si="10"/>
        <v>436.01199999999994</v>
      </c>
      <c r="M330" s="6">
        <v>64.010000000000005</v>
      </c>
      <c r="N330" s="8">
        <f t="shared" si="11"/>
        <v>179.97199999999992</v>
      </c>
      <c r="O330" s="4" t="s">
        <v>51</v>
      </c>
      <c r="P330" s="4" t="s">
        <v>72</v>
      </c>
      <c r="Q330" s="4">
        <v>4</v>
      </c>
      <c r="R330" s="4" t="str">
        <f>TEXT(Table1[[#This Row],[Order Date]],"mmm")</f>
        <v>May</v>
      </c>
      <c r="S330" s="4" t="str">
        <f>TEXT(Table1[[#This Row],[Order Date]],"mm")</f>
        <v>05</v>
      </c>
      <c r="T330" s="4" t="str">
        <f>IF(Table1[[#This Row],[Sales]]&lt;0,"loss","profit")</f>
        <v>profit</v>
      </c>
      <c r="U330" s="4" t="str" cm="1">
        <f t="array" ref="U330">_xlfn.IFS(Table1[[#This Row],[Sales]]&gt;2000,"large",Table1[[#This Row],[Sales]]&gt;=500,"medium",Table1[[#This Row],[Sales]]&lt;500,"small")</f>
        <v>small</v>
      </c>
      <c r="V330" s="22">
        <f>Table1[[#This Row],[Profit]]/Table1[[#This Row],[Sales]]*100</f>
        <v>41.276845591405731</v>
      </c>
    </row>
    <row r="331" spans="1:22" x14ac:dyDescent="0.35">
      <c r="A331" s="4" t="s">
        <v>630</v>
      </c>
      <c r="B331" s="5">
        <v>45780</v>
      </c>
      <c r="C331" s="4" t="s">
        <v>631</v>
      </c>
      <c r="D331" s="4" t="s">
        <v>47</v>
      </c>
      <c r="E331" s="4" t="s">
        <v>36</v>
      </c>
      <c r="F331" s="4" t="s">
        <v>37</v>
      </c>
      <c r="G331" s="4" t="s">
        <v>49</v>
      </c>
      <c r="H331" s="4" t="s">
        <v>187</v>
      </c>
      <c r="I331" s="4">
        <v>2</v>
      </c>
      <c r="J331" s="6">
        <v>141.91999999999999</v>
      </c>
      <c r="K331" s="7">
        <v>0.1</v>
      </c>
      <c r="L331" s="6">
        <f t="shared" si="10"/>
        <v>255.45599999999999</v>
      </c>
      <c r="M331" s="6">
        <v>84.69</v>
      </c>
      <c r="N331" s="8">
        <f t="shared" si="11"/>
        <v>86.075999999999993</v>
      </c>
      <c r="O331" s="4" t="s">
        <v>84</v>
      </c>
      <c r="P331" s="4" t="s">
        <v>97</v>
      </c>
      <c r="Q331" s="4">
        <v>4</v>
      </c>
      <c r="R331" s="4" t="str">
        <f>TEXT(Table1[[#This Row],[Order Date]],"mmm")</f>
        <v>May</v>
      </c>
      <c r="S331" s="4" t="str">
        <f>TEXT(Table1[[#This Row],[Order Date]],"mm")</f>
        <v>05</v>
      </c>
      <c r="T331" s="4" t="str">
        <f>IF(Table1[[#This Row],[Sales]]&lt;0,"loss","profit")</f>
        <v>profit</v>
      </c>
      <c r="U331" s="4" t="str" cm="1">
        <f t="array" ref="U331">_xlfn.IFS(Table1[[#This Row],[Sales]]&gt;2000,"large",Table1[[#This Row],[Sales]]&gt;=500,"medium",Table1[[#This Row],[Sales]]&lt;500,"small")</f>
        <v>small</v>
      </c>
      <c r="V331" s="22">
        <f>Table1[[#This Row],[Profit]]/Table1[[#This Row],[Sales]]*100</f>
        <v>33.695039458850054</v>
      </c>
    </row>
    <row r="332" spans="1:22" x14ac:dyDescent="0.35">
      <c r="A332" s="4" t="s">
        <v>632</v>
      </c>
      <c r="B332" s="5">
        <v>45780</v>
      </c>
      <c r="C332" s="4" t="s">
        <v>633</v>
      </c>
      <c r="D332" s="4" t="s">
        <v>43</v>
      </c>
      <c r="E332" s="4" t="s">
        <v>36</v>
      </c>
      <c r="F332" s="4" t="s">
        <v>201</v>
      </c>
      <c r="G332" s="4" t="s">
        <v>31</v>
      </c>
      <c r="H332" s="4" t="s">
        <v>32</v>
      </c>
      <c r="I332" s="4">
        <v>2</v>
      </c>
      <c r="J332" s="6">
        <v>378.06</v>
      </c>
      <c r="K332" s="7">
        <v>0.1</v>
      </c>
      <c r="L332" s="6">
        <f t="shared" si="10"/>
        <v>680.50800000000004</v>
      </c>
      <c r="M332" s="6">
        <v>215.31</v>
      </c>
      <c r="N332" s="8">
        <f t="shared" si="11"/>
        <v>249.88800000000003</v>
      </c>
      <c r="O332" s="4" t="s">
        <v>51</v>
      </c>
      <c r="P332" s="4" t="s">
        <v>72</v>
      </c>
      <c r="Q332" s="4">
        <v>4</v>
      </c>
      <c r="R332" s="4" t="str">
        <f>TEXT(Table1[[#This Row],[Order Date]],"mmm")</f>
        <v>May</v>
      </c>
      <c r="S332" s="4" t="str">
        <f>TEXT(Table1[[#This Row],[Order Date]],"mm")</f>
        <v>05</v>
      </c>
      <c r="T332" s="4" t="str">
        <f>IF(Table1[[#This Row],[Sales]]&lt;0,"loss","profit")</f>
        <v>profit</v>
      </c>
      <c r="U332" s="4" t="str" cm="1">
        <f t="array" ref="U332">_xlfn.IFS(Table1[[#This Row],[Sales]]&gt;2000,"large",Table1[[#This Row],[Sales]]&gt;=500,"medium",Table1[[#This Row],[Sales]]&lt;500,"small")</f>
        <v>medium</v>
      </c>
      <c r="V332" s="22">
        <f>Table1[[#This Row],[Profit]]/Table1[[#This Row],[Sales]]*100</f>
        <v>36.720802694457674</v>
      </c>
    </row>
    <row r="333" spans="1:22" x14ac:dyDescent="0.35">
      <c r="A333" s="4" t="s">
        <v>634</v>
      </c>
      <c r="B333" s="5">
        <v>45780</v>
      </c>
      <c r="C333" s="4" t="s">
        <v>411</v>
      </c>
      <c r="D333" s="4" t="s">
        <v>43</v>
      </c>
      <c r="E333" s="4" t="s">
        <v>29</v>
      </c>
      <c r="F333" s="4" t="s">
        <v>30</v>
      </c>
      <c r="G333" s="4" t="s">
        <v>38</v>
      </c>
      <c r="H333" s="4" t="s">
        <v>39</v>
      </c>
      <c r="I333" s="4">
        <v>8</v>
      </c>
      <c r="J333" s="6">
        <v>422.67</v>
      </c>
      <c r="K333" s="7">
        <v>0</v>
      </c>
      <c r="L333" s="6">
        <f t="shared" si="10"/>
        <v>3381.36</v>
      </c>
      <c r="M333" s="6">
        <v>364.29</v>
      </c>
      <c r="N333" s="8">
        <f t="shared" si="11"/>
        <v>467.03999999999996</v>
      </c>
      <c r="O333" s="4" t="s">
        <v>51</v>
      </c>
      <c r="P333" s="4" t="s">
        <v>75</v>
      </c>
      <c r="Q333" s="4">
        <v>4</v>
      </c>
      <c r="R333" s="4" t="str">
        <f>TEXT(Table1[[#This Row],[Order Date]],"mmm")</f>
        <v>May</v>
      </c>
      <c r="S333" s="4" t="str">
        <f>TEXT(Table1[[#This Row],[Order Date]],"mm")</f>
        <v>05</v>
      </c>
      <c r="T333" s="4" t="str">
        <f>IF(Table1[[#This Row],[Sales]]&lt;0,"loss","profit")</f>
        <v>profit</v>
      </c>
      <c r="U333" s="4" t="str" cm="1">
        <f t="array" ref="U333">_xlfn.IFS(Table1[[#This Row],[Sales]]&gt;2000,"large",Table1[[#This Row],[Sales]]&gt;=500,"medium",Table1[[#This Row],[Sales]]&lt;500,"small")</f>
        <v>large</v>
      </c>
      <c r="V333" s="22">
        <f>Table1[[#This Row],[Profit]]/Table1[[#This Row],[Sales]]*100</f>
        <v>13.812193910142662</v>
      </c>
    </row>
    <row r="334" spans="1:22" x14ac:dyDescent="0.35">
      <c r="A334" s="4" t="s">
        <v>635</v>
      </c>
      <c r="B334" s="5">
        <v>45781</v>
      </c>
      <c r="C334" s="4" t="s">
        <v>618</v>
      </c>
      <c r="D334" s="4" t="s">
        <v>43</v>
      </c>
      <c r="E334" s="4" t="s">
        <v>87</v>
      </c>
      <c r="F334" s="4" t="s">
        <v>92</v>
      </c>
      <c r="G334" s="4" t="s">
        <v>49</v>
      </c>
      <c r="H334" s="4" t="s">
        <v>78</v>
      </c>
      <c r="I334" s="4">
        <v>1</v>
      </c>
      <c r="J334" s="6">
        <v>154.27000000000001</v>
      </c>
      <c r="K334" s="7">
        <v>0.15</v>
      </c>
      <c r="L334" s="6">
        <f t="shared" si="10"/>
        <v>131.12950000000001</v>
      </c>
      <c r="M334" s="6">
        <v>85.33</v>
      </c>
      <c r="N334" s="8">
        <f t="shared" si="11"/>
        <v>45.799500000000009</v>
      </c>
      <c r="O334" s="4" t="s">
        <v>51</v>
      </c>
      <c r="P334" s="4" t="s">
        <v>61</v>
      </c>
      <c r="Q334" s="4">
        <v>2</v>
      </c>
      <c r="R334" s="4" t="str">
        <f>TEXT(Table1[[#This Row],[Order Date]],"mmm")</f>
        <v>May</v>
      </c>
      <c r="S334" s="4" t="str">
        <f>TEXT(Table1[[#This Row],[Order Date]],"mm")</f>
        <v>05</v>
      </c>
      <c r="T334" s="4" t="str">
        <f>IF(Table1[[#This Row],[Sales]]&lt;0,"loss","profit")</f>
        <v>profit</v>
      </c>
      <c r="U334" s="4" t="str" cm="1">
        <f t="array" ref="U334">_xlfn.IFS(Table1[[#This Row],[Sales]]&gt;2000,"large",Table1[[#This Row],[Sales]]&gt;=500,"medium",Table1[[#This Row],[Sales]]&lt;500,"small")</f>
        <v>small</v>
      </c>
      <c r="V334" s="22">
        <f>Table1[[#This Row],[Profit]]/Table1[[#This Row],[Sales]]*100</f>
        <v>34.926923384898139</v>
      </c>
    </row>
    <row r="335" spans="1:22" x14ac:dyDescent="0.35">
      <c r="A335" s="4" t="s">
        <v>636</v>
      </c>
      <c r="B335" s="5">
        <v>45781</v>
      </c>
      <c r="C335" s="4" t="s">
        <v>637</v>
      </c>
      <c r="D335" s="4" t="s">
        <v>43</v>
      </c>
      <c r="E335" s="4" t="s">
        <v>87</v>
      </c>
      <c r="F335" s="4" t="s">
        <v>88</v>
      </c>
      <c r="G335" s="4" t="s">
        <v>23</v>
      </c>
      <c r="H335" s="4" t="s">
        <v>24</v>
      </c>
      <c r="I335" s="4">
        <v>1</v>
      </c>
      <c r="J335" s="6">
        <v>34</v>
      </c>
      <c r="K335" s="7">
        <v>0</v>
      </c>
      <c r="L335" s="6">
        <f t="shared" si="10"/>
        <v>34</v>
      </c>
      <c r="M335" s="6">
        <v>18.98</v>
      </c>
      <c r="N335" s="8">
        <f t="shared" si="11"/>
        <v>15.02</v>
      </c>
      <c r="O335" s="4" t="s">
        <v>51</v>
      </c>
      <c r="P335" s="4" t="s">
        <v>72</v>
      </c>
      <c r="Q335" s="4">
        <v>5</v>
      </c>
      <c r="R335" s="4" t="str">
        <f>TEXT(Table1[[#This Row],[Order Date]],"mmm")</f>
        <v>May</v>
      </c>
      <c r="S335" s="4" t="str">
        <f>TEXT(Table1[[#This Row],[Order Date]],"mm")</f>
        <v>05</v>
      </c>
      <c r="T335" s="4" t="str">
        <f>IF(Table1[[#This Row],[Sales]]&lt;0,"loss","profit")</f>
        <v>profit</v>
      </c>
      <c r="U335" s="4" t="str" cm="1">
        <f t="array" ref="U335">_xlfn.IFS(Table1[[#This Row],[Sales]]&gt;2000,"large",Table1[[#This Row],[Sales]]&gt;=500,"medium",Table1[[#This Row],[Sales]]&lt;500,"small")</f>
        <v>small</v>
      </c>
      <c r="V335" s="22">
        <f>Table1[[#This Row],[Profit]]/Table1[[#This Row],[Sales]]*100</f>
        <v>44.176470588235297</v>
      </c>
    </row>
    <row r="336" spans="1:22" x14ac:dyDescent="0.35">
      <c r="A336" s="4" t="s">
        <v>638</v>
      </c>
      <c r="B336" s="5">
        <v>45781</v>
      </c>
      <c r="C336" s="4" t="s">
        <v>225</v>
      </c>
      <c r="D336" s="4" t="s">
        <v>43</v>
      </c>
      <c r="E336" s="4" t="s">
        <v>21</v>
      </c>
      <c r="F336" s="4" t="s">
        <v>59</v>
      </c>
      <c r="G336" s="4" t="s">
        <v>31</v>
      </c>
      <c r="H336" s="4" t="s">
        <v>32</v>
      </c>
      <c r="I336" s="4">
        <v>3</v>
      </c>
      <c r="J336" s="6">
        <v>127.06</v>
      </c>
      <c r="K336" s="7">
        <v>0</v>
      </c>
      <c r="L336" s="6">
        <f t="shared" si="10"/>
        <v>381.18</v>
      </c>
      <c r="M336" s="6">
        <v>74.31</v>
      </c>
      <c r="N336" s="8">
        <f t="shared" si="11"/>
        <v>158.25</v>
      </c>
      <c r="O336" s="4" t="s">
        <v>60</v>
      </c>
      <c r="P336" s="4" t="s">
        <v>75</v>
      </c>
      <c r="Q336" s="4">
        <v>5</v>
      </c>
      <c r="R336" s="4" t="str">
        <f>TEXT(Table1[[#This Row],[Order Date]],"mmm")</f>
        <v>May</v>
      </c>
      <c r="S336" s="4" t="str">
        <f>TEXT(Table1[[#This Row],[Order Date]],"mm")</f>
        <v>05</v>
      </c>
      <c r="T336" s="4" t="str">
        <f>IF(Table1[[#This Row],[Sales]]&lt;0,"loss","profit")</f>
        <v>profit</v>
      </c>
      <c r="U336" s="4" t="str" cm="1">
        <f t="array" ref="U336">_xlfn.IFS(Table1[[#This Row],[Sales]]&gt;2000,"large",Table1[[#This Row],[Sales]]&gt;=500,"medium",Table1[[#This Row],[Sales]]&lt;500,"small")</f>
        <v>small</v>
      </c>
      <c r="V336" s="22">
        <f>Table1[[#This Row],[Profit]]/Table1[[#This Row],[Sales]]*100</f>
        <v>41.515819297969465</v>
      </c>
    </row>
    <row r="337" spans="1:22" x14ac:dyDescent="0.35">
      <c r="A337" s="4" t="s">
        <v>639</v>
      </c>
      <c r="B337" s="5">
        <v>45782</v>
      </c>
      <c r="C337" s="4" t="s">
        <v>640</v>
      </c>
      <c r="D337" s="4" t="s">
        <v>20</v>
      </c>
      <c r="E337" s="4" t="s">
        <v>87</v>
      </c>
      <c r="F337" s="4" t="s">
        <v>124</v>
      </c>
      <c r="G337" s="4" t="s">
        <v>67</v>
      </c>
      <c r="H337" s="4" t="s">
        <v>68</v>
      </c>
      <c r="I337" s="4">
        <v>3</v>
      </c>
      <c r="J337" s="6">
        <v>674.87</v>
      </c>
      <c r="K337" s="7">
        <v>0.1</v>
      </c>
      <c r="L337" s="6">
        <f t="shared" si="10"/>
        <v>1822.1490000000001</v>
      </c>
      <c r="M337" s="6">
        <v>422.76</v>
      </c>
      <c r="N337" s="8">
        <f t="shared" si="11"/>
        <v>553.86900000000014</v>
      </c>
      <c r="O337" s="4" t="s">
        <v>40</v>
      </c>
      <c r="P337" s="4" t="s">
        <v>75</v>
      </c>
      <c r="Q337" s="4">
        <v>3</v>
      </c>
      <c r="R337" s="4" t="str">
        <f>TEXT(Table1[[#This Row],[Order Date]],"mmm")</f>
        <v>May</v>
      </c>
      <c r="S337" s="4" t="str">
        <f>TEXT(Table1[[#This Row],[Order Date]],"mm")</f>
        <v>05</v>
      </c>
      <c r="T337" s="4" t="str">
        <f>IF(Table1[[#This Row],[Sales]]&lt;0,"loss","profit")</f>
        <v>profit</v>
      </c>
      <c r="U337" s="4" t="str" cm="1">
        <f t="array" ref="U337">_xlfn.IFS(Table1[[#This Row],[Sales]]&gt;2000,"large",Table1[[#This Row],[Sales]]&gt;=500,"medium",Table1[[#This Row],[Sales]]&lt;500,"small")</f>
        <v>medium</v>
      </c>
      <c r="V337" s="22">
        <f>Table1[[#This Row],[Profit]]/Table1[[#This Row],[Sales]]*100</f>
        <v>30.396471419186909</v>
      </c>
    </row>
    <row r="338" spans="1:22" x14ac:dyDescent="0.35">
      <c r="A338" s="4" t="s">
        <v>641</v>
      </c>
      <c r="B338" s="5">
        <v>45782</v>
      </c>
      <c r="C338" s="4" t="s">
        <v>328</v>
      </c>
      <c r="D338" s="4" t="s">
        <v>43</v>
      </c>
      <c r="E338" s="4" t="s">
        <v>87</v>
      </c>
      <c r="F338" s="4" t="s">
        <v>88</v>
      </c>
      <c r="G338" s="4" t="s">
        <v>38</v>
      </c>
      <c r="H338" s="4" t="s">
        <v>39</v>
      </c>
      <c r="I338" s="4">
        <v>1</v>
      </c>
      <c r="J338" s="6">
        <v>289.02</v>
      </c>
      <c r="K338" s="7">
        <v>0.1</v>
      </c>
      <c r="L338" s="6">
        <f t="shared" si="10"/>
        <v>260.11799999999999</v>
      </c>
      <c r="M338" s="6">
        <v>245.95</v>
      </c>
      <c r="N338" s="8">
        <f t="shared" si="11"/>
        <v>14.168000000000006</v>
      </c>
      <c r="O338" s="4" t="s">
        <v>51</v>
      </c>
      <c r="P338" s="4" t="s">
        <v>56</v>
      </c>
      <c r="Q338" s="4">
        <v>3</v>
      </c>
      <c r="R338" s="4" t="str">
        <f>TEXT(Table1[[#This Row],[Order Date]],"mmm")</f>
        <v>May</v>
      </c>
      <c r="S338" s="4" t="str">
        <f>TEXT(Table1[[#This Row],[Order Date]],"mm")</f>
        <v>05</v>
      </c>
      <c r="T338" s="4" t="str">
        <f>IF(Table1[[#This Row],[Sales]]&lt;0,"loss","profit")</f>
        <v>profit</v>
      </c>
      <c r="U338" s="4" t="str" cm="1">
        <f t="array" ref="U338">_xlfn.IFS(Table1[[#This Row],[Sales]]&gt;2000,"large",Table1[[#This Row],[Sales]]&gt;=500,"medium",Table1[[#This Row],[Sales]]&lt;500,"small")</f>
        <v>small</v>
      </c>
      <c r="V338" s="22">
        <f>Table1[[#This Row],[Profit]]/Table1[[#This Row],[Sales]]*100</f>
        <v>5.4467587787081273</v>
      </c>
    </row>
    <row r="339" spans="1:22" x14ac:dyDescent="0.35">
      <c r="A339" s="4" t="s">
        <v>642</v>
      </c>
      <c r="B339" s="5">
        <v>45782</v>
      </c>
      <c r="C339" s="4" t="s">
        <v>344</v>
      </c>
      <c r="D339" s="4" t="s">
        <v>47</v>
      </c>
      <c r="E339" s="4" t="s">
        <v>29</v>
      </c>
      <c r="F339" s="4" t="s">
        <v>108</v>
      </c>
      <c r="G339" s="4" t="s">
        <v>67</v>
      </c>
      <c r="H339" s="4" t="s">
        <v>68</v>
      </c>
      <c r="I339" s="4">
        <v>4</v>
      </c>
      <c r="J339" s="6">
        <v>433.21</v>
      </c>
      <c r="K339" s="7">
        <v>0.05</v>
      </c>
      <c r="L339" s="6">
        <f t="shared" si="10"/>
        <v>1646.1979999999999</v>
      </c>
      <c r="M339" s="6">
        <v>317.44</v>
      </c>
      <c r="N339" s="8">
        <f t="shared" si="11"/>
        <v>376.43799999999987</v>
      </c>
      <c r="O339" s="4" t="s">
        <v>40</v>
      </c>
      <c r="P339" s="4" t="s">
        <v>97</v>
      </c>
      <c r="Q339" s="4">
        <v>5</v>
      </c>
      <c r="R339" s="4" t="str">
        <f>TEXT(Table1[[#This Row],[Order Date]],"mmm")</f>
        <v>May</v>
      </c>
      <c r="S339" s="4" t="str">
        <f>TEXT(Table1[[#This Row],[Order Date]],"mm")</f>
        <v>05</v>
      </c>
      <c r="T339" s="4" t="str">
        <f>IF(Table1[[#This Row],[Sales]]&lt;0,"loss","profit")</f>
        <v>profit</v>
      </c>
      <c r="U339" s="4" t="str" cm="1">
        <f t="array" ref="U339">_xlfn.IFS(Table1[[#This Row],[Sales]]&gt;2000,"large",Table1[[#This Row],[Sales]]&gt;=500,"medium",Table1[[#This Row],[Sales]]&lt;500,"small")</f>
        <v>medium</v>
      </c>
      <c r="V339" s="22">
        <f>Table1[[#This Row],[Profit]]/Table1[[#This Row],[Sales]]*100</f>
        <v>22.867115620356721</v>
      </c>
    </row>
    <row r="340" spans="1:22" x14ac:dyDescent="0.35">
      <c r="A340" s="4" t="s">
        <v>643</v>
      </c>
      <c r="B340" s="5">
        <v>45782</v>
      </c>
      <c r="C340" s="4" t="s">
        <v>644</v>
      </c>
      <c r="D340" s="4" t="s">
        <v>20</v>
      </c>
      <c r="E340" s="4" t="s">
        <v>29</v>
      </c>
      <c r="F340" s="4" t="s">
        <v>108</v>
      </c>
      <c r="G340" s="4" t="s">
        <v>38</v>
      </c>
      <c r="H340" s="4" t="s">
        <v>109</v>
      </c>
      <c r="I340" s="4">
        <v>3</v>
      </c>
      <c r="J340" s="6">
        <v>684.74</v>
      </c>
      <c r="K340" s="7">
        <v>0.05</v>
      </c>
      <c r="L340" s="6">
        <f t="shared" si="10"/>
        <v>1951.5090000000002</v>
      </c>
      <c r="M340" s="6">
        <v>595.91999999999996</v>
      </c>
      <c r="N340" s="8">
        <f t="shared" si="11"/>
        <v>163.74900000000048</v>
      </c>
      <c r="O340" s="4" t="s">
        <v>84</v>
      </c>
      <c r="P340" s="4" t="s">
        <v>72</v>
      </c>
      <c r="Q340" s="4">
        <v>2</v>
      </c>
      <c r="R340" s="4" t="str">
        <f>TEXT(Table1[[#This Row],[Order Date]],"mmm")</f>
        <v>May</v>
      </c>
      <c r="S340" s="4" t="str">
        <f>TEXT(Table1[[#This Row],[Order Date]],"mm")</f>
        <v>05</v>
      </c>
      <c r="T340" s="4" t="str">
        <f>IF(Table1[[#This Row],[Sales]]&lt;0,"loss","profit")</f>
        <v>profit</v>
      </c>
      <c r="U340" s="4" t="str" cm="1">
        <f t="array" ref="U340">_xlfn.IFS(Table1[[#This Row],[Sales]]&gt;2000,"large",Table1[[#This Row],[Sales]]&gt;=500,"medium",Table1[[#This Row],[Sales]]&lt;500,"small")</f>
        <v>medium</v>
      </c>
      <c r="V340" s="22">
        <f>Table1[[#This Row],[Profit]]/Table1[[#This Row],[Sales]]*100</f>
        <v>8.3908913563811627</v>
      </c>
    </row>
    <row r="341" spans="1:22" x14ac:dyDescent="0.35">
      <c r="A341" s="4" t="s">
        <v>645</v>
      </c>
      <c r="B341" s="5">
        <v>45782</v>
      </c>
      <c r="C341" s="4" t="s">
        <v>63</v>
      </c>
      <c r="D341" s="4" t="s">
        <v>43</v>
      </c>
      <c r="E341" s="4" t="s">
        <v>21</v>
      </c>
      <c r="F341" s="4" t="s">
        <v>59</v>
      </c>
      <c r="G341" s="4" t="s">
        <v>31</v>
      </c>
      <c r="H341" s="4" t="s">
        <v>64</v>
      </c>
      <c r="I341" s="4">
        <v>2</v>
      </c>
      <c r="J341" s="6">
        <v>183.79</v>
      </c>
      <c r="K341" s="7">
        <v>0</v>
      </c>
      <c r="L341" s="6">
        <f t="shared" si="10"/>
        <v>367.58</v>
      </c>
      <c r="M341" s="6">
        <v>116.67</v>
      </c>
      <c r="N341" s="8">
        <f t="shared" si="11"/>
        <v>134.23999999999998</v>
      </c>
      <c r="O341" s="4" t="s">
        <v>25</v>
      </c>
      <c r="P341" s="4" t="s">
        <v>75</v>
      </c>
      <c r="Q341" s="4">
        <v>5</v>
      </c>
      <c r="R341" s="4" t="str">
        <f>TEXT(Table1[[#This Row],[Order Date]],"mmm")</f>
        <v>May</v>
      </c>
      <c r="S341" s="4" t="str">
        <f>TEXT(Table1[[#This Row],[Order Date]],"mm")</f>
        <v>05</v>
      </c>
      <c r="T341" s="4" t="str">
        <f>IF(Table1[[#This Row],[Sales]]&lt;0,"loss","profit")</f>
        <v>profit</v>
      </c>
      <c r="U341" s="4" t="str" cm="1">
        <f t="array" ref="U341">_xlfn.IFS(Table1[[#This Row],[Sales]]&gt;2000,"large",Table1[[#This Row],[Sales]]&gt;=500,"medium",Table1[[#This Row],[Sales]]&lt;500,"small")</f>
        <v>small</v>
      </c>
      <c r="V341" s="22">
        <f>Table1[[#This Row],[Profit]]/Table1[[#This Row],[Sales]]*100</f>
        <v>36.519941237281678</v>
      </c>
    </row>
    <row r="342" spans="1:22" x14ac:dyDescent="0.35">
      <c r="A342" s="4" t="s">
        <v>646</v>
      </c>
      <c r="B342" s="5">
        <v>45783</v>
      </c>
      <c r="C342" s="4" t="s">
        <v>283</v>
      </c>
      <c r="D342" s="4" t="s">
        <v>47</v>
      </c>
      <c r="E342" s="4" t="s">
        <v>29</v>
      </c>
      <c r="F342" s="4" t="s">
        <v>108</v>
      </c>
      <c r="G342" s="4" t="s">
        <v>38</v>
      </c>
      <c r="H342" s="4" t="s">
        <v>55</v>
      </c>
      <c r="I342" s="4">
        <v>1</v>
      </c>
      <c r="J342" s="6">
        <v>196.38</v>
      </c>
      <c r="K342" s="7">
        <v>0</v>
      </c>
      <c r="L342" s="6">
        <f t="shared" si="10"/>
        <v>196.38</v>
      </c>
      <c r="M342" s="6">
        <v>147.57</v>
      </c>
      <c r="N342" s="8">
        <f t="shared" si="11"/>
        <v>48.81</v>
      </c>
      <c r="O342" s="4" t="s">
        <v>25</v>
      </c>
      <c r="P342" s="4" t="s">
        <v>61</v>
      </c>
      <c r="Q342" s="4">
        <v>5</v>
      </c>
      <c r="R342" s="4" t="str">
        <f>TEXT(Table1[[#This Row],[Order Date]],"mmm")</f>
        <v>May</v>
      </c>
      <c r="S342" s="4" t="str">
        <f>TEXT(Table1[[#This Row],[Order Date]],"mm")</f>
        <v>05</v>
      </c>
      <c r="T342" s="4" t="str">
        <f>IF(Table1[[#This Row],[Sales]]&lt;0,"loss","profit")</f>
        <v>profit</v>
      </c>
      <c r="U342" s="4" t="str" cm="1">
        <f t="array" ref="U342">_xlfn.IFS(Table1[[#This Row],[Sales]]&gt;2000,"large",Table1[[#This Row],[Sales]]&gt;=500,"medium",Table1[[#This Row],[Sales]]&lt;500,"small")</f>
        <v>small</v>
      </c>
      <c r="V342" s="22">
        <f>Table1[[#This Row],[Profit]]/Table1[[#This Row],[Sales]]*100</f>
        <v>24.854873205010694</v>
      </c>
    </row>
    <row r="343" spans="1:22" x14ac:dyDescent="0.35">
      <c r="A343" s="4" t="s">
        <v>647</v>
      </c>
      <c r="B343" s="5">
        <v>45783</v>
      </c>
      <c r="C343" s="4" t="s">
        <v>648</v>
      </c>
      <c r="D343" s="4" t="s">
        <v>43</v>
      </c>
      <c r="E343" s="4" t="s">
        <v>87</v>
      </c>
      <c r="F343" s="4" t="s">
        <v>92</v>
      </c>
      <c r="G343" s="4" t="s">
        <v>49</v>
      </c>
      <c r="H343" s="4" t="s">
        <v>50</v>
      </c>
      <c r="I343" s="4">
        <v>1</v>
      </c>
      <c r="J343" s="6">
        <v>40.1</v>
      </c>
      <c r="K343" s="7">
        <v>0.1</v>
      </c>
      <c r="L343" s="6">
        <f t="shared" si="10"/>
        <v>36.090000000000003</v>
      </c>
      <c r="M343" s="6">
        <v>28.13</v>
      </c>
      <c r="N343" s="8">
        <f t="shared" si="11"/>
        <v>7.9600000000000044</v>
      </c>
      <c r="O343" s="4" t="s">
        <v>40</v>
      </c>
      <c r="P343" s="4" t="s">
        <v>26</v>
      </c>
      <c r="Q343" s="4">
        <v>1</v>
      </c>
      <c r="R343" s="4" t="str">
        <f>TEXT(Table1[[#This Row],[Order Date]],"mmm")</f>
        <v>May</v>
      </c>
      <c r="S343" s="4" t="str">
        <f>TEXT(Table1[[#This Row],[Order Date]],"mm")</f>
        <v>05</v>
      </c>
      <c r="T343" s="4" t="str">
        <f>IF(Table1[[#This Row],[Sales]]&lt;0,"loss","profit")</f>
        <v>profit</v>
      </c>
      <c r="U343" s="4" t="str" cm="1">
        <f t="array" ref="U343">_xlfn.IFS(Table1[[#This Row],[Sales]]&gt;2000,"large",Table1[[#This Row],[Sales]]&gt;=500,"medium",Table1[[#This Row],[Sales]]&lt;500,"small")</f>
        <v>small</v>
      </c>
      <c r="V343" s="22">
        <f>Table1[[#This Row],[Profit]]/Table1[[#This Row],[Sales]]*100</f>
        <v>22.05597118315324</v>
      </c>
    </row>
    <row r="344" spans="1:22" x14ac:dyDescent="0.35">
      <c r="A344" s="4" t="s">
        <v>649</v>
      </c>
      <c r="B344" s="5">
        <v>45783</v>
      </c>
      <c r="C344" s="4" t="s">
        <v>650</v>
      </c>
      <c r="D344" s="4" t="s">
        <v>20</v>
      </c>
      <c r="E344" s="4" t="s">
        <v>36</v>
      </c>
      <c r="F344" s="4" t="s">
        <v>37</v>
      </c>
      <c r="G344" s="4" t="s">
        <v>38</v>
      </c>
      <c r="H344" s="4" t="s">
        <v>39</v>
      </c>
      <c r="I344" s="4">
        <v>2</v>
      </c>
      <c r="J344" s="6">
        <v>158.38999999999999</v>
      </c>
      <c r="K344" s="7">
        <v>0.1</v>
      </c>
      <c r="L344" s="6">
        <f t="shared" si="10"/>
        <v>285.10199999999998</v>
      </c>
      <c r="M344" s="6">
        <v>129.57</v>
      </c>
      <c r="N344" s="8">
        <f t="shared" si="11"/>
        <v>25.961999999999989</v>
      </c>
      <c r="O344" s="4" t="s">
        <v>60</v>
      </c>
      <c r="P344" s="4" t="s">
        <v>97</v>
      </c>
      <c r="Q344" s="4">
        <v>4</v>
      </c>
      <c r="R344" s="4" t="str">
        <f>TEXT(Table1[[#This Row],[Order Date]],"mmm")</f>
        <v>May</v>
      </c>
      <c r="S344" s="4" t="str">
        <f>TEXT(Table1[[#This Row],[Order Date]],"mm")</f>
        <v>05</v>
      </c>
      <c r="T344" s="4" t="str">
        <f>IF(Table1[[#This Row],[Sales]]&lt;0,"loss","profit")</f>
        <v>profit</v>
      </c>
      <c r="U344" s="4" t="str" cm="1">
        <f t="array" ref="U344">_xlfn.IFS(Table1[[#This Row],[Sales]]&gt;2000,"large",Table1[[#This Row],[Sales]]&gt;=500,"medium",Table1[[#This Row],[Sales]]&lt;500,"small")</f>
        <v>small</v>
      </c>
      <c r="V344" s="22">
        <f>Table1[[#This Row],[Profit]]/Table1[[#This Row],[Sales]]*100</f>
        <v>9.1062146179262129</v>
      </c>
    </row>
    <row r="345" spans="1:22" x14ac:dyDescent="0.35">
      <c r="A345" s="4" t="s">
        <v>651</v>
      </c>
      <c r="B345" s="5">
        <v>45783</v>
      </c>
      <c r="C345" s="4" t="s">
        <v>200</v>
      </c>
      <c r="D345" s="4" t="s">
        <v>47</v>
      </c>
      <c r="E345" s="4" t="s">
        <v>87</v>
      </c>
      <c r="F345" s="4" t="s">
        <v>124</v>
      </c>
      <c r="G345" s="4" t="s">
        <v>31</v>
      </c>
      <c r="H345" s="4" t="s">
        <v>147</v>
      </c>
      <c r="I345" s="4">
        <v>3</v>
      </c>
      <c r="J345" s="6">
        <v>49.27</v>
      </c>
      <c r="K345" s="7">
        <v>0</v>
      </c>
      <c r="L345" s="6">
        <f t="shared" si="10"/>
        <v>147.81</v>
      </c>
      <c r="M345" s="6">
        <v>36.36</v>
      </c>
      <c r="N345" s="8">
        <f t="shared" si="11"/>
        <v>38.730000000000004</v>
      </c>
      <c r="O345" s="4" t="s">
        <v>60</v>
      </c>
      <c r="P345" s="4" t="s">
        <v>97</v>
      </c>
      <c r="Q345" s="4">
        <v>4</v>
      </c>
      <c r="R345" s="4" t="str">
        <f>TEXT(Table1[[#This Row],[Order Date]],"mmm")</f>
        <v>May</v>
      </c>
      <c r="S345" s="4" t="str">
        <f>TEXT(Table1[[#This Row],[Order Date]],"mm")</f>
        <v>05</v>
      </c>
      <c r="T345" s="4" t="str">
        <f>IF(Table1[[#This Row],[Sales]]&lt;0,"loss","profit")</f>
        <v>profit</v>
      </c>
      <c r="U345" s="4" t="str" cm="1">
        <f t="array" ref="U345">_xlfn.IFS(Table1[[#This Row],[Sales]]&gt;2000,"large",Table1[[#This Row],[Sales]]&gt;=500,"medium",Table1[[#This Row],[Sales]]&lt;500,"small")</f>
        <v>small</v>
      </c>
      <c r="V345" s="22">
        <f>Table1[[#This Row],[Profit]]/Table1[[#This Row],[Sales]]*100</f>
        <v>26.202557337121984</v>
      </c>
    </row>
    <row r="346" spans="1:22" x14ac:dyDescent="0.35">
      <c r="A346" s="4" t="s">
        <v>652</v>
      </c>
      <c r="B346" s="5">
        <v>45783</v>
      </c>
      <c r="C346" s="4" t="s">
        <v>653</v>
      </c>
      <c r="D346" s="4" t="s">
        <v>47</v>
      </c>
      <c r="E346" s="4" t="s">
        <v>29</v>
      </c>
      <c r="F346" s="4" t="s">
        <v>54</v>
      </c>
      <c r="G346" s="4" t="s">
        <v>31</v>
      </c>
      <c r="H346" s="4" t="s">
        <v>64</v>
      </c>
      <c r="I346" s="4">
        <v>10</v>
      </c>
      <c r="J346" s="6">
        <v>221.5</v>
      </c>
      <c r="K346" s="7">
        <v>0.05</v>
      </c>
      <c r="L346" s="6">
        <f t="shared" si="10"/>
        <v>2104.25</v>
      </c>
      <c r="M346" s="6">
        <v>165.28</v>
      </c>
      <c r="N346" s="8">
        <f t="shared" si="11"/>
        <v>451.45000000000005</v>
      </c>
      <c r="O346" s="4" t="s">
        <v>25</v>
      </c>
      <c r="P346" s="4" t="s">
        <v>26</v>
      </c>
      <c r="Q346" s="4">
        <v>5</v>
      </c>
      <c r="R346" s="4" t="str">
        <f>TEXT(Table1[[#This Row],[Order Date]],"mmm")</f>
        <v>May</v>
      </c>
      <c r="S346" s="4" t="str">
        <f>TEXT(Table1[[#This Row],[Order Date]],"mm")</f>
        <v>05</v>
      </c>
      <c r="T346" s="4" t="str">
        <f>IF(Table1[[#This Row],[Sales]]&lt;0,"loss","profit")</f>
        <v>profit</v>
      </c>
      <c r="U346" s="4" t="str" cm="1">
        <f t="array" ref="U346">_xlfn.IFS(Table1[[#This Row],[Sales]]&gt;2000,"large",Table1[[#This Row],[Sales]]&gt;=500,"medium",Table1[[#This Row],[Sales]]&lt;500,"small")</f>
        <v>large</v>
      </c>
      <c r="V346" s="22">
        <f>Table1[[#This Row],[Profit]]/Table1[[#This Row],[Sales]]*100</f>
        <v>21.454199833669957</v>
      </c>
    </row>
    <row r="347" spans="1:22" x14ac:dyDescent="0.35">
      <c r="A347" s="4" t="s">
        <v>654</v>
      </c>
      <c r="B347" s="5">
        <v>45784</v>
      </c>
      <c r="C347" s="4" t="s">
        <v>655</v>
      </c>
      <c r="D347" s="4" t="s">
        <v>43</v>
      </c>
      <c r="E347" s="4" t="s">
        <v>21</v>
      </c>
      <c r="F347" s="4" t="s">
        <v>22</v>
      </c>
      <c r="G347" s="4" t="s">
        <v>23</v>
      </c>
      <c r="H347" s="4" t="s">
        <v>24</v>
      </c>
      <c r="I347" s="4">
        <v>1</v>
      </c>
      <c r="J347" s="6">
        <v>37.93</v>
      </c>
      <c r="K347" s="7">
        <v>0.05</v>
      </c>
      <c r="L347" s="6">
        <f t="shared" si="10"/>
        <v>36.033499999999997</v>
      </c>
      <c r="M347" s="6">
        <v>15.49</v>
      </c>
      <c r="N347" s="8">
        <f t="shared" si="11"/>
        <v>20.543499999999995</v>
      </c>
      <c r="O347" s="4" t="s">
        <v>40</v>
      </c>
      <c r="P347" s="4" t="s">
        <v>61</v>
      </c>
      <c r="Q347" s="4">
        <v>1</v>
      </c>
      <c r="R347" s="4" t="str">
        <f>TEXT(Table1[[#This Row],[Order Date]],"mmm")</f>
        <v>May</v>
      </c>
      <c r="S347" s="4" t="str">
        <f>TEXT(Table1[[#This Row],[Order Date]],"mm")</f>
        <v>05</v>
      </c>
      <c r="T347" s="4" t="str">
        <f>IF(Table1[[#This Row],[Sales]]&lt;0,"loss","profit")</f>
        <v>profit</v>
      </c>
      <c r="U347" s="4" t="str" cm="1">
        <f t="array" ref="U347">_xlfn.IFS(Table1[[#This Row],[Sales]]&gt;2000,"large",Table1[[#This Row],[Sales]]&gt;=500,"medium",Table1[[#This Row],[Sales]]&lt;500,"small")</f>
        <v>small</v>
      </c>
      <c r="V347" s="22">
        <f>Table1[[#This Row],[Profit]]/Table1[[#This Row],[Sales]]*100</f>
        <v>57.012224735315741</v>
      </c>
    </row>
    <row r="348" spans="1:22" x14ac:dyDescent="0.35">
      <c r="A348" s="4" t="s">
        <v>656</v>
      </c>
      <c r="B348" s="5">
        <v>45784</v>
      </c>
      <c r="C348" s="4" t="s">
        <v>657</v>
      </c>
      <c r="D348" s="4" t="s">
        <v>20</v>
      </c>
      <c r="E348" s="4" t="s">
        <v>36</v>
      </c>
      <c r="F348" s="4" t="s">
        <v>48</v>
      </c>
      <c r="G348" s="4" t="s">
        <v>31</v>
      </c>
      <c r="H348" s="4" t="s">
        <v>64</v>
      </c>
      <c r="I348" s="4">
        <v>3</v>
      </c>
      <c r="J348" s="6">
        <v>171.3</v>
      </c>
      <c r="K348" s="7">
        <v>0.15</v>
      </c>
      <c r="L348" s="6">
        <f t="shared" si="10"/>
        <v>436.81500000000005</v>
      </c>
      <c r="M348" s="6">
        <v>120.38</v>
      </c>
      <c r="N348" s="8">
        <f t="shared" si="11"/>
        <v>75.675000000000068</v>
      </c>
      <c r="O348" s="4" t="s">
        <v>25</v>
      </c>
      <c r="P348" s="4" t="s">
        <v>72</v>
      </c>
      <c r="Q348" s="4">
        <v>3</v>
      </c>
      <c r="R348" s="4" t="str">
        <f>TEXT(Table1[[#This Row],[Order Date]],"mmm")</f>
        <v>May</v>
      </c>
      <c r="S348" s="4" t="str">
        <f>TEXT(Table1[[#This Row],[Order Date]],"mm")</f>
        <v>05</v>
      </c>
      <c r="T348" s="4" t="str">
        <f>IF(Table1[[#This Row],[Sales]]&lt;0,"loss","profit")</f>
        <v>profit</v>
      </c>
      <c r="U348" s="4" t="str" cm="1">
        <f t="array" ref="U348">_xlfn.IFS(Table1[[#This Row],[Sales]]&gt;2000,"large",Table1[[#This Row],[Sales]]&gt;=500,"medium",Table1[[#This Row],[Sales]]&lt;500,"small")</f>
        <v>small</v>
      </c>
      <c r="V348" s="22">
        <f>Table1[[#This Row],[Profit]]/Table1[[#This Row],[Sales]]*100</f>
        <v>17.324267710586874</v>
      </c>
    </row>
    <row r="349" spans="1:22" x14ac:dyDescent="0.35">
      <c r="A349" s="4" t="s">
        <v>658</v>
      </c>
      <c r="B349" s="5">
        <v>45784</v>
      </c>
      <c r="C349" s="4" t="s">
        <v>659</v>
      </c>
      <c r="D349" s="4" t="s">
        <v>20</v>
      </c>
      <c r="E349" s="4" t="s">
        <v>87</v>
      </c>
      <c r="F349" s="4" t="s">
        <v>92</v>
      </c>
      <c r="G349" s="4" t="s">
        <v>49</v>
      </c>
      <c r="H349" s="4" t="s">
        <v>128</v>
      </c>
      <c r="I349" s="4">
        <v>1</v>
      </c>
      <c r="J349" s="6">
        <v>35.97</v>
      </c>
      <c r="K349" s="7">
        <v>0</v>
      </c>
      <c r="L349" s="6">
        <f t="shared" si="10"/>
        <v>35.97</v>
      </c>
      <c r="M349" s="6">
        <v>24.23</v>
      </c>
      <c r="N349" s="8">
        <f t="shared" si="11"/>
        <v>11.739999999999998</v>
      </c>
      <c r="O349" s="4" t="s">
        <v>25</v>
      </c>
      <c r="P349" s="4" t="s">
        <v>26</v>
      </c>
      <c r="Q349" s="4">
        <v>4</v>
      </c>
      <c r="R349" s="4" t="str">
        <f>TEXT(Table1[[#This Row],[Order Date]],"mmm")</f>
        <v>May</v>
      </c>
      <c r="S349" s="4" t="str">
        <f>TEXT(Table1[[#This Row],[Order Date]],"mm")</f>
        <v>05</v>
      </c>
      <c r="T349" s="4" t="str">
        <f>IF(Table1[[#This Row],[Sales]]&lt;0,"loss","profit")</f>
        <v>profit</v>
      </c>
      <c r="U349" s="4" t="str" cm="1">
        <f t="array" ref="U349">_xlfn.IFS(Table1[[#This Row],[Sales]]&gt;2000,"large",Table1[[#This Row],[Sales]]&gt;=500,"medium",Table1[[#This Row],[Sales]]&lt;500,"small")</f>
        <v>small</v>
      </c>
      <c r="V349" s="22">
        <f>Table1[[#This Row],[Profit]]/Table1[[#This Row],[Sales]]*100</f>
        <v>32.638309702529881</v>
      </c>
    </row>
    <row r="350" spans="1:22" x14ac:dyDescent="0.35">
      <c r="A350" s="4" t="s">
        <v>660</v>
      </c>
      <c r="B350" s="5">
        <v>45784</v>
      </c>
      <c r="C350" s="4" t="s">
        <v>243</v>
      </c>
      <c r="D350" s="4" t="s">
        <v>47</v>
      </c>
      <c r="E350" s="4" t="s">
        <v>87</v>
      </c>
      <c r="F350" s="4" t="s">
        <v>88</v>
      </c>
      <c r="G350" s="4" t="s">
        <v>38</v>
      </c>
      <c r="H350" s="4" t="s">
        <v>109</v>
      </c>
      <c r="I350" s="4">
        <v>2</v>
      </c>
      <c r="J350" s="6">
        <v>764.82</v>
      </c>
      <c r="K350" s="7">
        <v>0.1</v>
      </c>
      <c r="L350" s="6">
        <f t="shared" si="10"/>
        <v>1376.6760000000002</v>
      </c>
      <c r="M350" s="6">
        <v>609.86</v>
      </c>
      <c r="N350" s="8">
        <f t="shared" si="11"/>
        <v>156.95600000000013</v>
      </c>
      <c r="O350" s="4" t="s">
        <v>40</v>
      </c>
      <c r="P350" s="4" t="s">
        <v>61</v>
      </c>
      <c r="Q350" s="4">
        <v>4</v>
      </c>
      <c r="R350" s="4" t="str">
        <f>TEXT(Table1[[#This Row],[Order Date]],"mmm")</f>
        <v>May</v>
      </c>
      <c r="S350" s="4" t="str">
        <f>TEXT(Table1[[#This Row],[Order Date]],"mm")</f>
        <v>05</v>
      </c>
      <c r="T350" s="4" t="str">
        <f>IF(Table1[[#This Row],[Sales]]&lt;0,"loss","profit")</f>
        <v>profit</v>
      </c>
      <c r="U350" s="4" t="str" cm="1">
        <f t="array" ref="U350">_xlfn.IFS(Table1[[#This Row],[Sales]]&gt;2000,"large",Table1[[#This Row],[Sales]]&gt;=500,"medium",Table1[[#This Row],[Sales]]&lt;500,"small")</f>
        <v>medium</v>
      </c>
      <c r="V350" s="22">
        <f>Table1[[#This Row],[Profit]]/Table1[[#This Row],[Sales]]*100</f>
        <v>11.40108493211185</v>
      </c>
    </row>
    <row r="351" spans="1:22" x14ac:dyDescent="0.35">
      <c r="A351" s="4" t="s">
        <v>661</v>
      </c>
      <c r="B351" s="5">
        <v>45784</v>
      </c>
      <c r="C351" s="4" t="s">
        <v>609</v>
      </c>
      <c r="D351" s="4" t="s">
        <v>47</v>
      </c>
      <c r="E351" s="4" t="s">
        <v>21</v>
      </c>
      <c r="F351" s="4" t="s">
        <v>22</v>
      </c>
      <c r="G351" s="4" t="s">
        <v>23</v>
      </c>
      <c r="H351" s="4" t="s">
        <v>24</v>
      </c>
      <c r="I351" s="4">
        <v>2</v>
      </c>
      <c r="J351" s="6">
        <v>45.64</v>
      </c>
      <c r="K351" s="7">
        <v>0.15</v>
      </c>
      <c r="L351" s="6">
        <f t="shared" si="10"/>
        <v>77.587999999999994</v>
      </c>
      <c r="M351" s="6">
        <v>23.31</v>
      </c>
      <c r="N351" s="8">
        <f t="shared" si="11"/>
        <v>30.967999999999996</v>
      </c>
      <c r="O351" s="4" t="s">
        <v>25</v>
      </c>
      <c r="P351" s="4" t="s">
        <v>97</v>
      </c>
      <c r="Q351" s="4">
        <v>5</v>
      </c>
      <c r="R351" s="4" t="str">
        <f>TEXT(Table1[[#This Row],[Order Date]],"mmm")</f>
        <v>May</v>
      </c>
      <c r="S351" s="4" t="str">
        <f>TEXT(Table1[[#This Row],[Order Date]],"mm")</f>
        <v>05</v>
      </c>
      <c r="T351" s="4" t="str">
        <f>IF(Table1[[#This Row],[Sales]]&lt;0,"loss","profit")</f>
        <v>profit</v>
      </c>
      <c r="U351" s="4" t="str" cm="1">
        <f t="array" ref="U351">_xlfn.IFS(Table1[[#This Row],[Sales]]&gt;2000,"large",Table1[[#This Row],[Sales]]&gt;=500,"medium",Table1[[#This Row],[Sales]]&lt;500,"small")</f>
        <v>small</v>
      </c>
      <c r="V351" s="22">
        <f>Table1[[#This Row],[Profit]]/Table1[[#This Row],[Sales]]*100</f>
        <v>39.913388668350777</v>
      </c>
    </row>
    <row r="352" spans="1:22" x14ac:dyDescent="0.35">
      <c r="A352" s="4" t="s">
        <v>662</v>
      </c>
      <c r="B352" s="5">
        <v>45785</v>
      </c>
      <c r="C352" s="4" t="s">
        <v>357</v>
      </c>
      <c r="D352" s="4" t="s">
        <v>43</v>
      </c>
      <c r="E352" s="4" t="s">
        <v>87</v>
      </c>
      <c r="F352" s="4" t="s">
        <v>88</v>
      </c>
      <c r="G352" s="4" t="s">
        <v>67</v>
      </c>
      <c r="H352" s="4" t="s">
        <v>140</v>
      </c>
      <c r="I352" s="4">
        <v>1</v>
      </c>
      <c r="J352" s="6">
        <v>88.87</v>
      </c>
      <c r="K352" s="7">
        <v>0.2</v>
      </c>
      <c r="L352" s="6">
        <f t="shared" si="10"/>
        <v>71.096000000000004</v>
      </c>
      <c r="M352" s="6">
        <v>67.760000000000005</v>
      </c>
      <c r="N352" s="8">
        <f t="shared" si="11"/>
        <v>3.3359999999999985</v>
      </c>
      <c r="O352" s="4" t="s">
        <v>51</v>
      </c>
      <c r="P352" s="4" t="s">
        <v>72</v>
      </c>
      <c r="Q352" s="4">
        <v>4</v>
      </c>
      <c r="R352" s="4" t="str">
        <f>TEXT(Table1[[#This Row],[Order Date]],"mmm")</f>
        <v>May</v>
      </c>
      <c r="S352" s="4" t="str">
        <f>TEXT(Table1[[#This Row],[Order Date]],"mm")</f>
        <v>05</v>
      </c>
      <c r="T352" s="4" t="str">
        <f>IF(Table1[[#This Row],[Sales]]&lt;0,"loss","profit")</f>
        <v>profit</v>
      </c>
      <c r="U352" s="4" t="str" cm="1">
        <f t="array" ref="U352">_xlfn.IFS(Table1[[#This Row],[Sales]]&gt;2000,"large",Table1[[#This Row],[Sales]]&gt;=500,"medium",Table1[[#This Row],[Sales]]&lt;500,"small")</f>
        <v>small</v>
      </c>
      <c r="V352" s="22">
        <f>Table1[[#This Row],[Profit]]/Table1[[#This Row],[Sales]]*100</f>
        <v>4.6922471025092811</v>
      </c>
    </row>
    <row r="353" spans="1:22" x14ac:dyDescent="0.35">
      <c r="A353" s="4" t="s">
        <v>663</v>
      </c>
      <c r="B353" s="5">
        <v>45785</v>
      </c>
      <c r="C353" s="4" t="s">
        <v>134</v>
      </c>
      <c r="D353" s="4" t="s">
        <v>20</v>
      </c>
      <c r="E353" s="4" t="s">
        <v>29</v>
      </c>
      <c r="F353" s="4" t="s">
        <v>54</v>
      </c>
      <c r="G353" s="4" t="s">
        <v>38</v>
      </c>
      <c r="H353" s="4" t="s">
        <v>89</v>
      </c>
      <c r="I353" s="4">
        <v>2</v>
      </c>
      <c r="J353" s="6">
        <v>919.45</v>
      </c>
      <c r="K353" s="7">
        <v>0.1</v>
      </c>
      <c r="L353" s="6">
        <f t="shared" si="10"/>
        <v>1655.0100000000002</v>
      </c>
      <c r="M353" s="6">
        <v>732.6</v>
      </c>
      <c r="N353" s="8">
        <f t="shared" si="11"/>
        <v>189.81000000000017</v>
      </c>
      <c r="O353" s="4" t="s">
        <v>25</v>
      </c>
      <c r="P353" s="4" t="s">
        <v>61</v>
      </c>
      <c r="Q353" s="4">
        <v>5</v>
      </c>
      <c r="R353" s="4" t="str">
        <f>TEXT(Table1[[#This Row],[Order Date]],"mmm")</f>
        <v>May</v>
      </c>
      <c r="S353" s="4" t="str">
        <f>TEXT(Table1[[#This Row],[Order Date]],"mm")</f>
        <v>05</v>
      </c>
      <c r="T353" s="4" t="str">
        <f>IF(Table1[[#This Row],[Sales]]&lt;0,"loss","profit")</f>
        <v>profit</v>
      </c>
      <c r="U353" s="4" t="str" cm="1">
        <f t="array" ref="U353">_xlfn.IFS(Table1[[#This Row],[Sales]]&gt;2000,"large",Table1[[#This Row],[Sales]]&gt;=500,"medium",Table1[[#This Row],[Sales]]&lt;500,"small")</f>
        <v>medium</v>
      </c>
      <c r="V353" s="22">
        <f>Table1[[#This Row],[Profit]]/Table1[[#This Row],[Sales]]*100</f>
        <v>11.46881287726359</v>
      </c>
    </row>
    <row r="354" spans="1:22" x14ac:dyDescent="0.35">
      <c r="A354" s="4" t="s">
        <v>664</v>
      </c>
      <c r="B354" s="5">
        <v>45785</v>
      </c>
      <c r="C354" s="4" t="s">
        <v>542</v>
      </c>
      <c r="D354" s="4" t="s">
        <v>20</v>
      </c>
      <c r="E354" s="4" t="s">
        <v>29</v>
      </c>
      <c r="F354" s="4" t="s">
        <v>54</v>
      </c>
      <c r="G354" s="4" t="s">
        <v>23</v>
      </c>
      <c r="H354" s="4" t="s">
        <v>24</v>
      </c>
      <c r="I354" s="4">
        <v>6</v>
      </c>
      <c r="J354" s="6">
        <v>35.65</v>
      </c>
      <c r="K354" s="7">
        <v>0.2</v>
      </c>
      <c r="L354" s="6">
        <f t="shared" si="10"/>
        <v>171.12</v>
      </c>
      <c r="M354" s="6">
        <v>21.16</v>
      </c>
      <c r="N354" s="8">
        <f t="shared" si="11"/>
        <v>44.16</v>
      </c>
      <c r="O354" s="4" t="s">
        <v>84</v>
      </c>
      <c r="P354" s="4" t="s">
        <v>72</v>
      </c>
      <c r="Q354" s="4">
        <v>2</v>
      </c>
      <c r="R354" s="4" t="str">
        <f>TEXT(Table1[[#This Row],[Order Date]],"mmm")</f>
        <v>May</v>
      </c>
      <c r="S354" s="4" t="str">
        <f>TEXT(Table1[[#This Row],[Order Date]],"mm")</f>
        <v>05</v>
      </c>
      <c r="T354" s="4" t="str">
        <f>IF(Table1[[#This Row],[Sales]]&lt;0,"loss","profit")</f>
        <v>profit</v>
      </c>
      <c r="U354" s="4" t="str" cm="1">
        <f t="array" ref="U354">_xlfn.IFS(Table1[[#This Row],[Sales]]&gt;2000,"large",Table1[[#This Row],[Sales]]&gt;=500,"medium",Table1[[#This Row],[Sales]]&lt;500,"small")</f>
        <v>small</v>
      </c>
      <c r="V354" s="22">
        <f>Table1[[#This Row],[Profit]]/Table1[[#This Row],[Sales]]*100</f>
        <v>25.806451612903224</v>
      </c>
    </row>
    <row r="355" spans="1:22" x14ac:dyDescent="0.35">
      <c r="A355" s="4" t="s">
        <v>665</v>
      </c>
      <c r="B355" s="5">
        <v>45785</v>
      </c>
      <c r="C355" s="4" t="s">
        <v>294</v>
      </c>
      <c r="D355" s="4" t="s">
        <v>47</v>
      </c>
      <c r="E355" s="4" t="s">
        <v>36</v>
      </c>
      <c r="F355" s="4" t="s">
        <v>201</v>
      </c>
      <c r="G355" s="4" t="s">
        <v>49</v>
      </c>
      <c r="H355" s="4" t="s">
        <v>187</v>
      </c>
      <c r="I355" s="4">
        <v>6</v>
      </c>
      <c r="J355" s="6">
        <v>160.07</v>
      </c>
      <c r="K355" s="7">
        <v>0.05</v>
      </c>
      <c r="L355" s="6">
        <f t="shared" si="10"/>
        <v>912.39899999999989</v>
      </c>
      <c r="M355" s="6">
        <v>104.37</v>
      </c>
      <c r="N355" s="8">
        <f t="shared" si="11"/>
        <v>286.17899999999986</v>
      </c>
      <c r="O355" s="4" t="s">
        <v>51</v>
      </c>
      <c r="P355" s="4" t="s">
        <v>97</v>
      </c>
      <c r="Q355" s="4">
        <v>5</v>
      </c>
      <c r="R355" s="4" t="str">
        <f>TEXT(Table1[[#This Row],[Order Date]],"mmm")</f>
        <v>May</v>
      </c>
      <c r="S355" s="4" t="str">
        <f>TEXT(Table1[[#This Row],[Order Date]],"mm")</f>
        <v>05</v>
      </c>
      <c r="T355" s="4" t="str">
        <f>IF(Table1[[#This Row],[Sales]]&lt;0,"loss","profit")</f>
        <v>profit</v>
      </c>
      <c r="U355" s="4" t="str" cm="1">
        <f t="array" ref="U355">_xlfn.IFS(Table1[[#This Row],[Sales]]&gt;2000,"large",Table1[[#This Row],[Sales]]&gt;=500,"medium",Table1[[#This Row],[Sales]]&lt;500,"small")</f>
        <v>medium</v>
      </c>
      <c r="V355" s="22">
        <f>Table1[[#This Row],[Profit]]/Table1[[#This Row],[Sales]]*100</f>
        <v>31.365553885964353</v>
      </c>
    </row>
    <row r="356" spans="1:22" x14ac:dyDescent="0.35">
      <c r="A356" s="4" t="s">
        <v>666</v>
      </c>
      <c r="B356" s="5">
        <v>45785</v>
      </c>
      <c r="C356" s="4" t="s">
        <v>644</v>
      </c>
      <c r="D356" s="4" t="s">
        <v>47</v>
      </c>
      <c r="E356" s="4" t="s">
        <v>21</v>
      </c>
      <c r="F356" s="4" t="s">
        <v>22</v>
      </c>
      <c r="G356" s="4" t="s">
        <v>67</v>
      </c>
      <c r="H356" s="4" t="s">
        <v>121</v>
      </c>
      <c r="I356" s="4">
        <v>2</v>
      </c>
      <c r="J356" s="6">
        <v>272.64</v>
      </c>
      <c r="K356" s="7">
        <v>0</v>
      </c>
      <c r="L356" s="6">
        <f t="shared" si="10"/>
        <v>545.28</v>
      </c>
      <c r="M356" s="6">
        <v>193.49</v>
      </c>
      <c r="N356" s="8">
        <f t="shared" si="11"/>
        <v>158.29999999999995</v>
      </c>
      <c r="O356" s="4" t="s">
        <v>51</v>
      </c>
      <c r="P356" s="4" t="s">
        <v>97</v>
      </c>
      <c r="Q356" s="4">
        <v>4</v>
      </c>
      <c r="R356" s="4" t="str">
        <f>TEXT(Table1[[#This Row],[Order Date]],"mmm")</f>
        <v>May</v>
      </c>
      <c r="S356" s="4" t="str">
        <f>TEXT(Table1[[#This Row],[Order Date]],"mm")</f>
        <v>05</v>
      </c>
      <c r="T356" s="4" t="str">
        <f>IF(Table1[[#This Row],[Sales]]&lt;0,"loss","profit")</f>
        <v>profit</v>
      </c>
      <c r="U356" s="4" t="str" cm="1">
        <f t="array" ref="U356">_xlfn.IFS(Table1[[#This Row],[Sales]]&gt;2000,"large",Table1[[#This Row],[Sales]]&gt;=500,"medium",Table1[[#This Row],[Sales]]&lt;500,"small")</f>
        <v>medium</v>
      </c>
      <c r="V356" s="22">
        <f>Table1[[#This Row],[Profit]]/Table1[[#This Row],[Sales]]*100</f>
        <v>29.030956572769945</v>
      </c>
    </row>
    <row r="357" spans="1:22" x14ac:dyDescent="0.35">
      <c r="A357" s="4" t="s">
        <v>667</v>
      </c>
      <c r="B357" s="5">
        <v>45785</v>
      </c>
      <c r="C357" s="4" t="s">
        <v>668</v>
      </c>
      <c r="D357" s="4" t="s">
        <v>47</v>
      </c>
      <c r="E357" s="4" t="s">
        <v>36</v>
      </c>
      <c r="F357" s="4" t="s">
        <v>201</v>
      </c>
      <c r="G357" s="4" t="s">
        <v>23</v>
      </c>
      <c r="H357" s="4" t="s">
        <v>135</v>
      </c>
      <c r="I357" s="4">
        <v>2</v>
      </c>
      <c r="J357" s="6">
        <v>13.13</v>
      </c>
      <c r="K357" s="7">
        <v>0.05</v>
      </c>
      <c r="L357" s="6">
        <f t="shared" si="10"/>
        <v>24.946999999999999</v>
      </c>
      <c r="M357" s="6">
        <v>7.09</v>
      </c>
      <c r="N357" s="8">
        <f t="shared" si="11"/>
        <v>10.766999999999999</v>
      </c>
      <c r="O357" s="4" t="s">
        <v>51</v>
      </c>
      <c r="P357" s="4" t="s">
        <v>61</v>
      </c>
      <c r="Q357" s="4">
        <v>4</v>
      </c>
      <c r="R357" s="4" t="str">
        <f>TEXT(Table1[[#This Row],[Order Date]],"mmm")</f>
        <v>May</v>
      </c>
      <c r="S357" s="4" t="str">
        <f>TEXT(Table1[[#This Row],[Order Date]],"mm")</f>
        <v>05</v>
      </c>
      <c r="T357" s="4" t="str">
        <f>IF(Table1[[#This Row],[Sales]]&lt;0,"loss","profit")</f>
        <v>profit</v>
      </c>
      <c r="U357" s="4" t="str" cm="1">
        <f t="array" ref="U357">_xlfn.IFS(Table1[[#This Row],[Sales]]&gt;2000,"large",Table1[[#This Row],[Sales]]&gt;=500,"medium",Table1[[#This Row],[Sales]]&lt;500,"small")</f>
        <v>small</v>
      </c>
      <c r="V357" s="22">
        <f>Table1[[#This Row],[Profit]]/Table1[[#This Row],[Sales]]*100</f>
        <v>43.159498136048427</v>
      </c>
    </row>
    <row r="358" spans="1:22" x14ac:dyDescent="0.35">
      <c r="A358" s="4" t="s">
        <v>669</v>
      </c>
      <c r="B358" s="5">
        <v>45786</v>
      </c>
      <c r="C358" s="4" t="s">
        <v>670</v>
      </c>
      <c r="D358" s="4" t="s">
        <v>43</v>
      </c>
      <c r="E358" s="4" t="s">
        <v>87</v>
      </c>
      <c r="F358" s="4" t="s">
        <v>92</v>
      </c>
      <c r="G358" s="4" t="s">
        <v>23</v>
      </c>
      <c r="H358" s="4" t="s">
        <v>135</v>
      </c>
      <c r="I358" s="4">
        <v>2</v>
      </c>
      <c r="J358" s="6">
        <v>27.51</v>
      </c>
      <c r="K358" s="7">
        <v>0.05</v>
      </c>
      <c r="L358" s="6">
        <f t="shared" si="10"/>
        <v>52.268999999999998</v>
      </c>
      <c r="M358" s="6">
        <v>17.100000000000001</v>
      </c>
      <c r="N358" s="8">
        <f t="shared" si="11"/>
        <v>18.068999999999996</v>
      </c>
      <c r="O358" s="4" t="s">
        <v>51</v>
      </c>
      <c r="P358" s="4" t="s">
        <v>72</v>
      </c>
      <c r="Q358" s="4">
        <v>5</v>
      </c>
      <c r="R358" s="4" t="str">
        <f>TEXT(Table1[[#This Row],[Order Date]],"mmm")</f>
        <v>May</v>
      </c>
      <c r="S358" s="4" t="str">
        <f>TEXT(Table1[[#This Row],[Order Date]],"mm")</f>
        <v>05</v>
      </c>
      <c r="T358" s="4" t="str">
        <f>IF(Table1[[#This Row],[Sales]]&lt;0,"loss","profit")</f>
        <v>profit</v>
      </c>
      <c r="U358" s="4" t="str" cm="1">
        <f t="array" ref="U358">_xlfn.IFS(Table1[[#This Row],[Sales]]&gt;2000,"large",Table1[[#This Row],[Sales]]&gt;=500,"medium",Table1[[#This Row],[Sales]]&lt;500,"small")</f>
        <v>small</v>
      </c>
      <c r="V358" s="22">
        <f>Table1[[#This Row],[Profit]]/Table1[[#This Row],[Sales]]*100</f>
        <v>34.569247546346773</v>
      </c>
    </row>
    <row r="359" spans="1:22" x14ac:dyDescent="0.35">
      <c r="A359" s="4" t="s">
        <v>671</v>
      </c>
      <c r="B359" s="5">
        <v>45786</v>
      </c>
      <c r="C359" s="4" t="s">
        <v>672</v>
      </c>
      <c r="D359" s="4" t="s">
        <v>43</v>
      </c>
      <c r="E359" s="4" t="s">
        <v>87</v>
      </c>
      <c r="F359" s="4" t="s">
        <v>124</v>
      </c>
      <c r="G359" s="4" t="s">
        <v>38</v>
      </c>
      <c r="H359" s="4" t="s">
        <v>55</v>
      </c>
      <c r="I359" s="4">
        <v>4</v>
      </c>
      <c r="J359" s="6">
        <v>216.76</v>
      </c>
      <c r="K359" s="7">
        <v>0</v>
      </c>
      <c r="L359" s="6">
        <f t="shared" si="10"/>
        <v>867.04</v>
      </c>
      <c r="M359" s="6">
        <v>165.59</v>
      </c>
      <c r="N359" s="8">
        <f t="shared" si="11"/>
        <v>204.67999999999995</v>
      </c>
      <c r="O359" s="4" t="s">
        <v>25</v>
      </c>
      <c r="P359" s="4" t="s">
        <v>56</v>
      </c>
      <c r="Q359" s="4">
        <v>4</v>
      </c>
      <c r="R359" s="4" t="str">
        <f>TEXT(Table1[[#This Row],[Order Date]],"mmm")</f>
        <v>May</v>
      </c>
      <c r="S359" s="4" t="str">
        <f>TEXT(Table1[[#This Row],[Order Date]],"mm")</f>
        <v>05</v>
      </c>
      <c r="T359" s="4" t="str">
        <f>IF(Table1[[#This Row],[Sales]]&lt;0,"loss","profit")</f>
        <v>profit</v>
      </c>
      <c r="U359" s="4" t="str" cm="1">
        <f t="array" ref="U359">_xlfn.IFS(Table1[[#This Row],[Sales]]&gt;2000,"large",Table1[[#This Row],[Sales]]&gt;=500,"medium",Table1[[#This Row],[Sales]]&lt;500,"small")</f>
        <v>medium</v>
      </c>
      <c r="V359" s="22">
        <f>Table1[[#This Row],[Profit]]/Table1[[#This Row],[Sales]]*100</f>
        <v>23.60675401365565</v>
      </c>
    </row>
    <row r="360" spans="1:22" x14ac:dyDescent="0.35">
      <c r="A360" s="4" t="s">
        <v>673</v>
      </c>
      <c r="B360" s="5">
        <v>45786</v>
      </c>
      <c r="C360" s="4" t="s">
        <v>305</v>
      </c>
      <c r="D360" s="4" t="s">
        <v>47</v>
      </c>
      <c r="E360" s="4" t="s">
        <v>87</v>
      </c>
      <c r="F360" s="4" t="s">
        <v>92</v>
      </c>
      <c r="G360" s="4" t="s">
        <v>67</v>
      </c>
      <c r="H360" s="4" t="s">
        <v>93</v>
      </c>
      <c r="I360" s="4">
        <v>3</v>
      </c>
      <c r="J360" s="6">
        <v>301.77</v>
      </c>
      <c r="K360" s="7">
        <v>0.1</v>
      </c>
      <c r="L360" s="6">
        <f t="shared" si="10"/>
        <v>814.779</v>
      </c>
      <c r="M360" s="6">
        <v>218.44</v>
      </c>
      <c r="N360" s="8">
        <f t="shared" si="11"/>
        <v>159.45900000000006</v>
      </c>
      <c r="O360" s="4" t="s">
        <v>84</v>
      </c>
      <c r="P360" s="4" t="s">
        <v>61</v>
      </c>
      <c r="Q360" s="4">
        <v>5</v>
      </c>
      <c r="R360" s="4" t="str">
        <f>TEXT(Table1[[#This Row],[Order Date]],"mmm")</f>
        <v>May</v>
      </c>
      <c r="S360" s="4" t="str">
        <f>TEXT(Table1[[#This Row],[Order Date]],"mm")</f>
        <v>05</v>
      </c>
      <c r="T360" s="4" t="str">
        <f>IF(Table1[[#This Row],[Sales]]&lt;0,"loss","profit")</f>
        <v>profit</v>
      </c>
      <c r="U360" s="4" t="str" cm="1">
        <f t="array" ref="U360">_xlfn.IFS(Table1[[#This Row],[Sales]]&gt;2000,"large",Table1[[#This Row],[Sales]]&gt;=500,"medium",Table1[[#This Row],[Sales]]&lt;500,"small")</f>
        <v>medium</v>
      </c>
      <c r="V360" s="22">
        <f>Table1[[#This Row],[Profit]]/Table1[[#This Row],[Sales]]*100</f>
        <v>19.570828408685063</v>
      </c>
    </row>
    <row r="361" spans="1:22" x14ac:dyDescent="0.35">
      <c r="A361" s="4" t="s">
        <v>674</v>
      </c>
      <c r="B361" s="5">
        <v>45787</v>
      </c>
      <c r="C361" s="4" t="s">
        <v>478</v>
      </c>
      <c r="D361" s="4" t="s">
        <v>47</v>
      </c>
      <c r="E361" s="4" t="s">
        <v>29</v>
      </c>
      <c r="F361" s="4" t="s">
        <v>30</v>
      </c>
      <c r="G361" s="4" t="s">
        <v>38</v>
      </c>
      <c r="H361" s="4" t="s">
        <v>55</v>
      </c>
      <c r="I361" s="4">
        <v>3</v>
      </c>
      <c r="J361" s="6">
        <v>113.57</v>
      </c>
      <c r="K361" s="7">
        <v>0</v>
      </c>
      <c r="L361" s="6">
        <f t="shared" si="10"/>
        <v>340.71</v>
      </c>
      <c r="M361" s="6">
        <v>89.12</v>
      </c>
      <c r="N361" s="8">
        <f t="shared" si="11"/>
        <v>73.349999999999966</v>
      </c>
      <c r="O361" s="4" t="s">
        <v>60</v>
      </c>
      <c r="P361" s="4" t="s">
        <v>33</v>
      </c>
      <c r="Q361" s="4">
        <v>1</v>
      </c>
      <c r="R361" s="4" t="str">
        <f>TEXT(Table1[[#This Row],[Order Date]],"mmm")</f>
        <v>May</v>
      </c>
      <c r="S361" s="4" t="str">
        <f>TEXT(Table1[[#This Row],[Order Date]],"mm")</f>
        <v>05</v>
      </c>
      <c r="T361" s="4" t="str">
        <f>IF(Table1[[#This Row],[Sales]]&lt;0,"loss","profit")</f>
        <v>profit</v>
      </c>
      <c r="U361" s="4" t="str" cm="1">
        <f t="array" ref="U361">_xlfn.IFS(Table1[[#This Row],[Sales]]&gt;2000,"large",Table1[[#This Row],[Sales]]&gt;=500,"medium",Table1[[#This Row],[Sales]]&lt;500,"small")</f>
        <v>small</v>
      </c>
      <c r="V361" s="22">
        <f>Table1[[#This Row],[Profit]]/Table1[[#This Row],[Sales]]*100</f>
        <v>21.528572686448875</v>
      </c>
    </row>
    <row r="362" spans="1:22" x14ac:dyDescent="0.35">
      <c r="A362" s="4" t="s">
        <v>675</v>
      </c>
      <c r="B362" s="5">
        <v>45787</v>
      </c>
      <c r="C362" s="4" t="s">
        <v>676</v>
      </c>
      <c r="D362" s="4" t="s">
        <v>43</v>
      </c>
      <c r="E362" s="4" t="s">
        <v>29</v>
      </c>
      <c r="F362" s="4" t="s">
        <v>54</v>
      </c>
      <c r="G362" s="4" t="s">
        <v>23</v>
      </c>
      <c r="H362" s="4" t="s">
        <v>44</v>
      </c>
      <c r="I362" s="4">
        <v>1</v>
      </c>
      <c r="J362" s="6">
        <v>105.22</v>
      </c>
      <c r="K362" s="7">
        <v>0.1</v>
      </c>
      <c r="L362" s="6">
        <f t="shared" si="10"/>
        <v>94.698000000000008</v>
      </c>
      <c r="M362" s="6">
        <v>68.239999999999995</v>
      </c>
      <c r="N362" s="8">
        <f t="shared" si="11"/>
        <v>26.458000000000013</v>
      </c>
      <c r="O362" s="4" t="s">
        <v>40</v>
      </c>
      <c r="P362" s="4" t="s">
        <v>56</v>
      </c>
      <c r="Q362" s="4">
        <v>4</v>
      </c>
      <c r="R362" s="4" t="str">
        <f>TEXT(Table1[[#This Row],[Order Date]],"mmm")</f>
        <v>May</v>
      </c>
      <c r="S362" s="4" t="str">
        <f>TEXT(Table1[[#This Row],[Order Date]],"mm")</f>
        <v>05</v>
      </c>
      <c r="T362" s="4" t="str">
        <f>IF(Table1[[#This Row],[Sales]]&lt;0,"loss","profit")</f>
        <v>profit</v>
      </c>
      <c r="U362" s="4" t="str" cm="1">
        <f t="array" ref="U362">_xlfn.IFS(Table1[[#This Row],[Sales]]&gt;2000,"large",Table1[[#This Row],[Sales]]&gt;=500,"medium",Table1[[#This Row],[Sales]]&lt;500,"small")</f>
        <v>small</v>
      </c>
      <c r="V362" s="22">
        <f>Table1[[#This Row],[Profit]]/Table1[[#This Row],[Sales]]*100</f>
        <v>27.939344019937074</v>
      </c>
    </row>
    <row r="363" spans="1:22" x14ac:dyDescent="0.35">
      <c r="A363" s="4" t="s">
        <v>677</v>
      </c>
      <c r="B363" s="5">
        <v>45788</v>
      </c>
      <c r="C363" s="4" t="s">
        <v>524</v>
      </c>
      <c r="D363" s="4" t="s">
        <v>47</v>
      </c>
      <c r="E363" s="4" t="s">
        <v>87</v>
      </c>
      <c r="F363" s="4" t="s">
        <v>88</v>
      </c>
      <c r="G363" s="4" t="s">
        <v>38</v>
      </c>
      <c r="H363" s="4" t="s">
        <v>39</v>
      </c>
      <c r="I363" s="4">
        <v>1</v>
      </c>
      <c r="J363" s="6">
        <v>182.9</v>
      </c>
      <c r="K363" s="7">
        <v>0</v>
      </c>
      <c r="L363" s="6">
        <f t="shared" si="10"/>
        <v>182.9</v>
      </c>
      <c r="M363" s="6">
        <v>147.36000000000001</v>
      </c>
      <c r="N363" s="8">
        <f t="shared" si="11"/>
        <v>35.539999999999992</v>
      </c>
      <c r="O363" s="4" t="s">
        <v>84</v>
      </c>
      <c r="P363" s="4" t="s">
        <v>75</v>
      </c>
      <c r="Q363" s="4">
        <v>4</v>
      </c>
      <c r="R363" s="4" t="str">
        <f>TEXT(Table1[[#This Row],[Order Date]],"mmm")</f>
        <v>May</v>
      </c>
      <c r="S363" s="4" t="str">
        <f>TEXT(Table1[[#This Row],[Order Date]],"mm")</f>
        <v>05</v>
      </c>
      <c r="T363" s="4" t="str">
        <f>IF(Table1[[#This Row],[Sales]]&lt;0,"loss","profit")</f>
        <v>profit</v>
      </c>
      <c r="U363" s="4" t="str" cm="1">
        <f t="array" ref="U363">_xlfn.IFS(Table1[[#This Row],[Sales]]&gt;2000,"large",Table1[[#This Row],[Sales]]&gt;=500,"medium",Table1[[#This Row],[Sales]]&lt;500,"small")</f>
        <v>small</v>
      </c>
      <c r="V363" s="22">
        <f>Table1[[#This Row],[Profit]]/Table1[[#This Row],[Sales]]*100</f>
        <v>19.431383269546195</v>
      </c>
    </row>
    <row r="364" spans="1:22" x14ac:dyDescent="0.35">
      <c r="A364" s="4" t="s">
        <v>678</v>
      </c>
      <c r="B364" s="5">
        <v>45789</v>
      </c>
      <c r="C364" s="4" t="s">
        <v>379</v>
      </c>
      <c r="D364" s="4" t="s">
        <v>20</v>
      </c>
      <c r="E364" s="4" t="s">
        <v>21</v>
      </c>
      <c r="F364" s="4" t="s">
        <v>81</v>
      </c>
      <c r="G364" s="4" t="s">
        <v>31</v>
      </c>
      <c r="H364" s="4" t="s">
        <v>64</v>
      </c>
      <c r="I364" s="4">
        <v>10</v>
      </c>
      <c r="J364" s="6">
        <v>109.53</v>
      </c>
      <c r="K364" s="7">
        <v>0</v>
      </c>
      <c r="L364" s="6">
        <f t="shared" si="10"/>
        <v>1095.3</v>
      </c>
      <c r="M364" s="6">
        <v>80.23</v>
      </c>
      <c r="N364" s="8">
        <f t="shared" si="11"/>
        <v>292.99999999999989</v>
      </c>
      <c r="O364" s="4" t="s">
        <v>51</v>
      </c>
      <c r="P364" s="4" t="s">
        <v>61</v>
      </c>
      <c r="Q364" s="4">
        <v>5</v>
      </c>
      <c r="R364" s="4" t="str">
        <f>TEXT(Table1[[#This Row],[Order Date]],"mmm")</f>
        <v>May</v>
      </c>
      <c r="S364" s="4" t="str">
        <f>TEXT(Table1[[#This Row],[Order Date]],"mm")</f>
        <v>05</v>
      </c>
      <c r="T364" s="4" t="str">
        <f>IF(Table1[[#This Row],[Sales]]&lt;0,"loss","profit")</f>
        <v>profit</v>
      </c>
      <c r="U364" s="4" t="str" cm="1">
        <f t="array" ref="U364">_xlfn.IFS(Table1[[#This Row],[Sales]]&gt;2000,"large",Table1[[#This Row],[Sales]]&gt;=500,"medium",Table1[[#This Row],[Sales]]&lt;500,"small")</f>
        <v>medium</v>
      </c>
      <c r="V364" s="22">
        <f>Table1[[#This Row],[Profit]]/Table1[[#This Row],[Sales]]*100</f>
        <v>26.750661919108907</v>
      </c>
    </row>
    <row r="365" spans="1:22" x14ac:dyDescent="0.35">
      <c r="A365" s="4" t="s">
        <v>679</v>
      </c>
      <c r="B365" s="5">
        <v>45790</v>
      </c>
      <c r="C365" s="4" t="s">
        <v>339</v>
      </c>
      <c r="D365" s="4" t="s">
        <v>43</v>
      </c>
      <c r="E365" s="4" t="s">
        <v>36</v>
      </c>
      <c r="F365" s="4" t="s">
        <v>201</v>
      </c>
      <c r="G365" s="4" t="s">
        <v>31</v>
      </c>
      <c r="H365" s="4" t="s">
        <v>64</v>
      </c>
      <c r="I365" s="4">
        <v>2</v>
      </c>
      <c r="J365" s="6">
        <v>235.61</v>
      </c>
      <c r="K365" s="7">
        <v>0</v>
      </c>
      <c r="L365" s="6">
        <f t="shared" si="10"/>
        <v>471.22</v>
      </c>
      <c r="M365" s="6">
        <v>172.32</v>
      </c>
      <c r="N365" s="8">
        <f t="shared" si="11"/>
        <v>126.58000000000004</v>
      </c>
      <c r="O365" s="4" t="s">
        <v>51</v>
      </c>
      <c r="P365" s="4" t="s">
        <v>56</v>
      </c>
      <c r="Q365" s="4">
        <v>3</v>
      </c>
      <c r="R365" s="4" t="str">
        <f>TEXT(Table1[[#This Row],[Order Date]],"mmm")</f>
        <v>May</v>
      </c>
      <c r="S365" s="4" t="str">
        <f>TEXT(Table1[[#This Row],[Order Date]],"mm")</f>
        <v>05</v>
      </c>
      <c r="T365" s="4" t="str">
        <f>IF(Table1[[#This Row],[Sales]]&lt;0,"loss","profit")</f>
        <v>profit</v>
      </c>
      <c r="U365" s="4" t="str" cm="1">
        <f t="array" ref="U365">_xlfn.IFS(Table1[[#This Row],[Sales]]&gt;2000,"large",Table1[[#This Row],[Sales]]&gt;=500,"medium",Table1[[#This Row],[Sales]]&lt;500,"small")</f>
        <v>small</v>
      </c>
      <c r="V365" s="22">
        <f>Table1[[#This Row],[Profit]]/Table1[[#This Row],[Sales]]*100</f>
        <v>26.862187513263454</v>
      </c>
    </row>
    <row r="366" spans="1:22" x14ac:dyDescent="0.35">
      <c r="A366" s="4" t="s">
        <v>680</v>
      </c>
      <c r="B366" s="5">
        <v>45790</v>
      </c>
      <c r="C366" s="4" t="s">
        <v>637</v>
      </c>
      <c r="D366" s="4" t="s">
        <v>20</v>
      </c>
      <c r="E366" s="4" t="s">
        <v>87</v>
      </c>
      <c r="F366" s="4" t="s">
        <v>124</v>
      </c>
      <c r="G366" s="4" t="s">
        <v>38</v>
      </c>
      <c r="H366" s="4" t="s">
        <v>55</v>
      </c>
      <c r="I366" s="4">
        <v>1</v>
      </c>
      <c r="J366" s="6">
        <v>118.89</v>
      </c>
      <c r="K366" s="7">
        <v>0</v>
      </c>
      <c r="L366" s="6">
        <f t="shared" si="10"/>
        <v>118.89</v>
      </c>
      <c r="M366" s="6">
        <v>99.62</v>
      </c>
      <c r="N366" s="8">
        <f t="shared" si="11"/>
        <v>19.269999999999996</v>
      </c>
      <c r="O366" s="4" t="s">
        <v>51</v>
      </c>
      <c r="P366" s="4" t="s">
        <v>56</v>
      </c>
      <c r="Q366" s="4">
        <v>4</v>
      </c>
      <c r="R366" s="4" t="str">
        <f>TEXT(Table1[[#This Row],[Order Date]],"mmm")</f>
        <v>May</v>
      </c>
      <c r="S366" s="4" t="str">
        <f>TEXT(Table1[[#This Row],[Order Date]],"mm")</f>
        <v>05</v>
      </c>
      <c r="T366" s="4" t="str">
        <f>IF(Table1[[#This Row],[Sales]]&lt;0,"loss","profit")</f>
        <v>profit</v>
      </c>
      <c r="U366" s="4" t="str" cm="1">
        <f t="array" ref="U366">_xlfn.IFS(Table1[[#This Row],[Sales]]&gt;2000,"large",Table1[[#This Row],[Sales]]&gt;=500,"medium",Table1[[#This Row],[Sales]]&lt;500,"small")</f>
        <v>small</v>
      </c>
      <c r="V366" s="22">
        <f>Table1[[#This Row],[Profit]]/Table1[[#This Row],[Sales]]*100</f>
        <v>16.208259735890316</v>
      </c>
    </row>
    <row r="367" spans="1:22" x14ac:dyDescent="0.35">
      <c r="A367" s="4" t="s">
        <v>681</v>
      </c>
      <c r="B367" s="5">
        <v>45791</v>
      </c>
      <c r="C367" s="4" t="s">
        <v>420</v>
      </c>
      <c r="D367" s="4" t="s">
        <v>20</v>
      </c>
      <c r="E367" s="4" t="s">
        <v>36</v>
      </c>
      <c r="F367" s="4" t="s">
        <v>37</v>
      </c>
      <c r="G367" s="4" t="s">
        <v>31</v>
      </c>
      <c r="H367" s="4" t="s">
        <v>64</v>
      </c>
      <c r="I367" s="4">
        <v>3</v>
      </c>
      <c r="J367" s="6">
        <v>129.68</v>
      </c>
      <c r="K367" s="7">
        <v>0.1</v>
      </c>
      <c r="L367" s="6">
        <f t="shared" si="10"/>
        <v>350.13600000000002</v>
      </c>
      <c r="M367" s="6">
        <v>75.27</v>
      </c>
      <c r="N367" s="8">
        <f t="shared" si="11"/>
        <v>124.32600000000002</v>
      </c>
      <c r="O367" s="4" t="s">
        <v>51</v>
      </c>
      <c r="P367" s="4" t="s">
        <v>26</v>
      </c>
      <c r="Q367" s="4">
        <v>4</v>
      </c>
      <c r="R367" s="4" t="str">
        <f>TEXT(Table1[[#This Row],[Order Date]],"mmm")</f>
        <v>May</v>
      </c>
      <c r="S367" s="4" t="str">
        <f>TEXT(Table1[[#This Row],[Order Date]],"mm")</f>
        <v>05</v>
      </c>
      <c r="T367" s="4" t="str">
        <f>IF(Table1[[#This Row],[Sales]]&lt;0,"loss","profit")</f>
        <v>profit</v>
      </c>
      <c r="U367" s="4" t="str" cm="1">
        <f t="array" ref="U367">_xlfn.IFS(Table1[[#This Row],[Sales]]&gt;2000,"large",Table1[[#This Row],[Sales]]&gt;=500,"medium",Table1[[#This Row],[Sales]]&lt;500,"small")</f>
        <v>small</v>
      </c>
      <c r="V367" s="22">
        <f>Table1[[#This Row],[Profit]]/Table1[[#This Row],[Sales]]*100</f>
        <v>35.507916923709651</v>
      </c>
    </row>
    <row r="368" spans="1:22" x14ac:dyDescent="0.35">
      <c r="A368" s="4" t="s">
        <v>682</v>
      </c>
      <c r="B368" s="5">
        <v>45791</v>
      </c>
      <c r="C368" s="4" t="s">
        <v>469</v>
      </c>
      <c r="D368" s="4" t="s">
        <v>47</v>
      </c>
      <c r="E368" s="4" t="s">
        <v>87</v>
      </c>
      <c r="F368" s="4" t="s">
        <v>124</v>
      </c>
      <c r="G368" s="4" t="s">
        <v>23</v>
      </c>
      <c r="H368" s="4" t="s">
        <v>44</v>
      </c>
      <c r="I368" s="4">
        <v>1</v>
      </c>
      <c r="J368" s="6">
        <v>136.96</v>
      </c>
      <c r="K368" s="7">
        <v>0</v>
      </c>
      <c r="L368" s="6">
        <f t="shared" si="10"/>
        <v>136.96</v>
      </c>
      <c r="M368" s="6">
        <v>58.77</v>
      </c>
      <c r="N368" s="8">
        <f t="shared" si="11"/>
        <v>78.19</v>
      </c>
      <c r="O368" s="4" t="s">
        <v>40</v>
      </c>
      <c r="P368" s="4" t="s">
        <v>56</v>
      </c>
      <c r="Q368" s="4">
        <v>5</v>
      </c>
      <c r="R368" s="4" t="str">
        <f>TEXT(Table1[[#This Row],[Order Date]],"mmm")</f>
        <v>May</v>
      </c>
      <c r="S368" s="4" t="str">
        <f>TEXT(Table1[[#This Row],[Order Date]],"mm")</f>
        <v>05</v>
      </c>
      <c r="T368" s="4" t="str">
        <f>IF(Table1[[#This Row],[Sales]]&lt;0,"loss","profit")</f>
        <v>profit</v>
      </c>
      <c r="U368" s="4" t="str" cm="1">
        <f t="array" ref="U368">_xlfn.IFS(Table1[[#This Row],[Sales]]&gt;2000,"large",Table1[[#This Row],[Sales]]&gt;=500,"medium",Table1[[#This Row],[Sales]]&lt;500,"small")</f>
        <v>small</v>
      </c>
      <c r="V368" s="22">
        <f>Table1[[#This Row],[Profit]]/Table1[[#This Row],[Sales]]*100</f>
        <v>57.089661214953267</v>
      </c>
    </row>
    <row r="369" spans="1:22" x14ac:dyDescent="0.35">
      <c r="A369" s="4" t="s">
        <v>683</v>
      </c>
      <c r="B369" s="5">
        <v>45791</v>
      </c>
      <c r="C369" s="4" t="s">
        <v>640</v>
      </c>
      <c r="D369" s="4" t="s">
        <v>20</v>
      </c>
      <c r="E369" s="4" t="s">
        <v>36</v>
      </c>
      <c r="F369" s="4" t="s">
        <v>201</v>
      </c>
      <c r="G369" s="4" t="s">
        <v>38</v>
      </c>
      <c r="H369" s="4" t="s">
        <v>39</v>
      </c>
      <c r="I369" s="4">
        <v>3</v>
      </c>
      <c r="J369" s="6">
        <v>449.63</v>
      </c>
      <c r="K369" s="7">
        <v>0.1</v>
      </c>
      <c r="L369" s="6">
        <f t="shared" si="10"/>
        <v>1214.001</v>
      </c>
      <c r="M369" s="6">
        <v>376.74</v>
      </c>
      <c r="N369" s="8">
        <f t="shared" si="11"/>
        <v>83.780999999999949</v>
      </c>
      <c r="O369" s="4" t="s">
        <v>84</v>
      </c>
      <c r="P369" s="4" t="s">
        <v>33</v>
      </c>
      <c r="Q369" s="4">
        <v>3</v>
      </c>
      <c r="R369" s="4" t="str">
        <f>TEXT(Table1[[#This Row],[Order Date]],"mmm")</f>
        <v>May</v>
      </c>
      <c r="S369" s="4" t="str">
        <f>TEXT(Table1[[#This Row],[Order Date]],"mm")</f>
        <v>05</v>
      </c>
      <c r="T369" s="4" t="str">
        <f>IF(Table1[[#This Row],[Sales]]&lt;0,"loss","profit")</f>
        <v>profit</v>
      </c>
      <c r="U369" s="4" t="str" cm="1">
        <f t="array" ref="U369">_xlfn.IFS(Table1[[#This Row],[Sales]]&gt;2000,"large",Table1[[#This Row],[Sales]]&gt;=500,"medium",Table1[[#This Row],[Sales]]&lt;500,"small")</f>
        <v>medium</v>
      </c>
      <c r="V369" s="22">
        <f>Table1[[#This Row],[Profit]]/Table1[[#This Row],[Sales]]*100</f>
        <v>6.9012299001401116</v>
      </c>
    </row>
    <row r="370" spans="1:22" x14ac:dyDescent="0.35">
      <c r="A370" s="4" t="s">
        <v>684</v>
      </c>
      <c r="B370" s="5">
        <v>45792</v>
      </c>
      <c r="C370" s="4" t="s">
        <v>256</v>
      </c>
      <c r="D370" s="4" t="s">
        <v>20</v>
      </c>
      <c r="E370" s="4" t="s">
        <v>21</v>
      </c>
      <c r="F370" s="4" t="s">
        <v>22</v>
      </c>
      <c r="G370" s="4" t="s">
        <v>38</v>
      </c>
      <c r="H370" s="4" t="s">
        <v>55</v>
      </c>
      <c r="I370" s="4">
        <v>3</v>
      </c>
      <c r="J370" s="6">
        <v>166.81</v>
      </c>
      <c r="K370" s="7">
        <v>0</v>
      </c>
      <c r="L370" s="6">
        <f t="shared" si="10"/>
        <v>500.43</v>
      </c>
      <c r="M370" s="6">
        <v>142.02000000000001</v>
      </c>
      <c r="N370" s="8">
        <f t="shared" si="11"/>
        <v>74.369999999999948</v>
      </c>
      <c r="O370" s="4" t="s">
        <v>51</v>
      </c>
      <c r="P370" s="4" t="s">
        <v>75</v>
      </c>
      <c r="Q370" s="4">
        <v>5</v>
      </c>
      <c r="R370" s="4" t="str">
        <f>TEXT(Table1[[#This Row],[Order Date]],"mmm")</f>
        <v>May</v>
      </c>
      <c r="S370" s="4" t="str">
        <f>TEXT(Table1[[#This Row],[Order Date]],"mm")</f>
        <v>05</v>
      </c>
      <c r="T370" s="4" t="str">
        <f>IF(Table1[[#This Row],[Sales]]&lt;0,"loss","profit")</f>
        <v>profit</v>
      </c>
      <c r="U370" s="4" t="str" cm="1">
        <f t="array" ref="U370">_xlfn.IFS(Table1[[#This Row],[Sales]]&gt;2000,"large",Table1[[#This Row],[Sales]]&gt;=500,"medium",Table1[[#This Row],[Sales]]&lt;500,"small")</f>
        <v>medium</v>
      </c>
      <c r="V370" s="22">
        <f>Table1[[#This Row],[Profit]]/Table1[[#This Row],[Sales]]*100</f>
        <v>14.861219351357821</v>
      </c>
    </row>
    <row r="371" spans="1:22" x14ac:dyDescent="0.35">
      <c r="A371" s="4" t="s">
        <v>685</v>
      </c>
      <c r="B371" s="5">
        <v>45792</v>
      </c>
      <c r="C371" s="4" t="s">
        <v>686</v>
      </c>
      <c r="D371" s="4" t="s">
        <v>43</v>
      </c>
      <c r="E371" s="4" t="s">
        <v>29</v>
      </c>
      <c r="F371" s="4" t="s">
        <v>54</v>
      </c>
      <c r="G371" s="4" t="s">
        <v>38</v>
      </c>
      <c r="H371" s="4" t="s">
        <v>55</v>
      </c>
      <c r="I371" s="4">
        <v>3</v>
      </c>
      <c r="J371" s="6">
        <v>279.02</v>
      </c>
      <c r="K371" s="7">
        <v>0.05</v>
      </c>
      <c r="L371" s="6">
        <f t="shared" si="10"/>
        <v>795.20699999999988</v>
      </c>
      <c r="M371" s="6">
        <v>231.07</v>
      </c>
      <c r="N371" s="8">
        <f t="shared" si="11"/>
        <v>101.99699999999984</v>
      </c>
      <c r="O371" s="4" t="s">
        <v>51</v>
      </c>
      <c r="P371" s="4" t="s">
        <v>118</v>
      </c>
      <c r="Q371" s="4">
        <v>4</v>
      </c>
      <c r="R371" s="4" t="str">
        <f>TEXT(Table1[[#This Row],[Order Date]],"mmm")</f>
        <v>May</v>
      </c>
      <c r="S371" s="4" t="str">
        <f>TEXT(Table1[[#This Row],[Order Date]],"mm")</f>
        <v>05</v>
      </c>
      <c r="T371" s="4" t="str">
        <f>IF(Table1[[#This Row],[Sales]]&lt;0,"loss","profit")</f>
        <v>profit</v>
      </c>
      <c r="U371" s="4" t="str" cm="1">
        <f t="array" ref="U371">_xlfn.IFS(Table1[[#This Row],[Sales]]&gt;2000,"large",Table1[[#This Row],[Sales]]&gt;=500,"medium",Table1[[#This Row],[Sales]]&lt;500,"small")</f>
        <v>medium</v>
      </c>
      <c r="V371" s="22">
        <f>Table1[[#This Row],[Profit]]/Table1[[#This Row],[Sales]]*100</f>
        <v>12.826471597961268</v>
      </c>
    </row>
    <row r="372" spans="1:22" x14ac:dyDescent="0.35">
      <c r="A372" s="4" t="s">
        <v>687</v>
      </c>
      <c r="B372" s="5">
        <v>45792</v>
      </c>
      <c r="C372" s="4" t="s">
        <v>518</v>
      </c>
      <c r="D372" s="4" t="s">
        <v>43</v>
      </c>
      <c r="E372" s="4" t="s">
        <v>36</v>
      </c>
      <c r="F372" s="4" t="s">
        <v>37</v>
      </c>
      <c r="G372" s="4" t="s">
        <v>31</v>
      </c>
      <c r="H372" s="4" t="s">
        <v>147</v>
      </c>
      <c r="I372" s="4">
        <v>2</v>
      </c>
      <c r="J372" s="6">
        <v>104.34</v>
      </c>
      <c r="K372" s="7">
        <v>0</v>
      </c>
      <c r="L372" s="6">
        <f t="shared" si="10"/>
        <v>208.68</v>
      </c>
      <c r="M372" s="6">
        <v>72.010000000000005</v>
      </c>
      <c r="N372" s="8">
        <f t="shared" si="11"/>
        <v>64.66</v>
      </c>
      <c r="O372" s="4" t="s">
        <v>25</v>
      </c>
      <c r="P372" s="4" t="s">
        <v>56</v>
      </c>
      <c r="Q372" s="4">
        <v>5</v>
      </c>
      <c r="R372" s="4" t="str">
        <f>TEXT(Table1[[#This Row],[Order Date]],"mmm")</f>
        <v>May</v>
      </c>
      <c r="S372" s="4" t="str">
        <f>TEXT(Table1[[#This Row],[Order Date]],"mm")</f>
        <v>05</v>
      </c>
      <c r="T372" s="4" t="str">
        <f>IF(Table1[[#This Row],[Sales]]&lt;0,"loss","profit")</f>
        <v>profit</v>
      </c>
      <c r="U372" s="4" t="str" cm="1">
        <f t="array" ref="U372">_xlfn.IFS(Table1[[#This Row],[Sales]]&gt;2000,"large",Table1[[#This Row],[Sales]]&gt;=500,"medium",Table1[[#This Row],[Sales]]&lt;500,"small")</f>
        <v>small</v>
      </c>
      <c r="V372" s="22">
        <f>Table1[[#This Row],[Profit]]/Table1[[#This Row],[Sales]]*100</f>
        <v>30.985240559708643</v>
      </c>
    </row>
    <row r="373" spans="1:22" x14ac:dyDescent="0.35">
      <c r="A373" s="4" t="s">
        <v>688</v>
      </c>
      <c r="B373" s="5">
        <v>45793</v>
      </c>
      <c r="C373" s="4" t="s">
        <v>337</v>
      </c>
      <c r="D373" s="4" t="s">
        <v>43</v>
      </c>
      <c r="E373" s="4" t="s">
        <v>87</v>
      </c>
      <c r="F373" s="4" t="s">
        <v>124</v>
      </c>
      <c r="G373" s="4" t="s">
        <v>67</v>
      </c>
      <c r="H373" s="4" t="s">
        <v>121</v>
      </c>
      <c r="I373" s="4">
        <v>3</v>
      </c>
      <c r="J373" s="6">
        <v>205.49</v>
      </c>
      <c r="K373" s="7">
        <v>0</v>
      </c>
      <c r="L373" s="6">
        <f t="shared" si="10"/>
        <v>616.47</v>
      </c>
      <c r="M373" s="6">
        <v>148.97</v>
      </c>
      <c r="N373" s="8">
        <f t="shared" si="11"/>
        <v>169.56000000000006</v>
      </c>
      <c r="O373" s="4" t="s">
        <v>25</v>
      </c>
      <c r="P373" s="4" t="s">
        <v>75</v>
      </c>
      <c r="Q373" s="4">
        <v>3</v>
      </c>
      <c r="R373" s="4" t="str">
        <f>TEXT(Table1[[#This Row],[Order Date]],"mmm")</f>
        <v>May</v>
      </c>
      <c r="S373" s="4" t="str">
        <f>TEXT(Table1[[#This Row],[Order Date]],"mm")</f>
        <v>05</v>
      </c>
      <c r="T373" s="4" t="str">
        <f>IF(Table1[[#This Row],[Sales]]&lt;0,"loss","profit")</f>
        <v>profit</v>
      </c>
      <c r="U373" s="4" t="str" cm="1">
        <f t="array" ref="U373">_xlfn.IFS(Table1[[#This Row],[Sales]]&gt;2000,"large",Table1[[#This Row],[Sales]]&gt;=500,"medium",Table1[[#This Row],[Sales]]&lt;500,"small")</f>
        <v>medium</v>
      </c>
      <c r="V373" s="22">
        <f>Table1[[#This Row],[Profit]]/Table1[[#This Row],[Sales]]*100</f>
        <v>27.504988077278707</v>
      </c>
    </row>
    <row r="374" spans="1:22" x14ac:dyDescent="0.35">
      <c r="A374" s="4" t="s">
        <v>689</v>
      </c>
      <c r="B374" s="5">
        <v>45793</v>
      </c>
      <c r="C374" s="4" t="s">
        <v>690</v>
      </c>
      <c r="D374" s="4" t="s">
        <v>47</v>
      </c>
      <c r="E374" s="4" t="s">
        <v>36</v>
      </c>
      <c r="F374" s="4" t="s">
        <v>48</v>
      </c>
      <c r="G374" s="4" t="s">
        <v>38</v>
      </c>
      <c r="H374" s="4" t="s">
        <v>109</v>
      </c>
      <c r="I374" s="4">
        <v>2</v>
      </c>
      <c r="J374" s="6">
        <v>597.27</v>
      </c>
      <c r="K374" s="7">
        <v>0</v>
      </c>
      <c r="L374" s="6">
        <f t="shared" si="10"/>
        <v>1194.54</v>
      </c>
      <c r="M374" s="6">
        <v>463.23</v>
      </c>
      <c r="N374" s="8">
        <f t="shared" si="11"/>
        <v>268.07999999999993</v>
      </c>
      <c r="O374" s="4" t="s">
        <v>84</v>
      </c>
      <c r="P374" s="4" t="s">
        <v>56</v>
      </c>
      <c r="Q374" s="4">
        <v>4</v>
      </c>
      <c r="R374" s="4" t="str">
        <f>TEXT(Table1[[#This Row],[Order Date]],"mmm")</f>
        <v>May</v>
      </c>
      <c r="S374" s="4" t="str">
        <f>TEXT(Table1[[#This Row],[Order Date]],"mm")</f>
        <v>05</v>
      </c>
      <c r="T374" s="4" t="str">
        <f>IF(Table1[[#This Row],[Sales]]&lt;0,"loss","profit")</f>
        <v>profit</v>
      </c>
      <c r="U374" s="4" t="str" cm="1">
        <f t="array" ref="U374">_xlfn.IFS(Table1[[#This Row],[Sales]]&gt;2000,"large",Table1[[#This Row],[Sales]]&gt;=500,"medium",Table1[[#This Row],[Sales]]&lt;500,"small")</f>
        <v>medium</v>
      </c>
      <c r="V374" s="22">
        <f>Table1[[#This Row],[Profit]]/Table1[[#This Row],[Sales]]*100</f>
        <v>22.442111607815555</v>
      </c>
    </row>
    <row r="375" spans="1:22" x14ac:dyDescent="0.35">
      <c r="A375" s="4" t="s">
        <v>691</v>
      </c>
      <c r="B375" s="5">
        <v>45793</v>
      </c>
      <c r="C375" s="4" t="s">
        <v>294</v>
      </c>
      <c r="D375" s="4" t="s">
        <v>43</v>
      </c>
      <c r="E375" s="4" t="s">
        <v>36</v>
      </c>
      <c r="F375" s="4" t="s">
        <v>201</v>
      </c>
      <c r="G375" s="4" t="s">
        <v>38</v>
      </c>
      <c r="H375" s="4" t="s">
        <v>96</v>
      </c>
      <c r="I375" s="4">
        <v>4</v>
      </c>
      <c r="J375" s="6">
        <v>647.73</v>
      </c>
      <c r="K375" s="7">
        <v>0.05</v>
      </c>
      <c r="L375" s="6">
        <f t="shared" si="10"/>
        <v>2461.3739999999998</v>
      </c>
      <c r="M375" s="6">
        <v>567.99</v>
      </c>
      <c r="N375" s="8">
        <f t="shared" si="11"/>
        <v>189.41399999999976</v>
      </c>
      <c r="O375" s="4" t="s">
        <v>84</v>
      </c>
      <c r="P375" s="4" t="s">
        <v>56</v>
      </c>
      <c r="Q375" s="4">
        <v>5</v>
      </c>
      <c r="R375" s="4" t="str">
        <f>TEXT(Table1[[#This Row],[Order Date]],"mmm")</f>
        <v>May</v>
      </c>
      <c r="S375" s="4" t="str">
        <f>TEXT(Table1[[#This Row],[Order Date]],"mm")</f>
        <v>05</v>
      </c>
      <c r="T375" s="4" t="str">
        <f>IF(Table1[[#This Row],[Sales]]&lt;0,"loss","profit")</f>
        <v>profit</v>
      </c>
      <c r="U375" s="4" t="str" cm="1">
        <f t="array" ref="U375">_xlfn.IFS(Table1[[#This Row],[Sales]]&gt;2000,"large",Table1[[#This Row],[Sales]]&gt;=500,"medium",Table1[[#This Row],[Sales]]&lt;500,"small")</f>
        <v>large</v>
      </c>
      <c r="V375" s="22">
        <f>Table1[[#This Row],[Profit]]/Table1[[#This Row],[Sales]]*100</f>
        <v>7.6954579027811203</v>
      </c>
    </row>
    <row r="376" spans="1:22" x14ac:dyDescent="0.35">
      <c r="A376" s="4" t="s">
        <v>692</v>
      </c>
      <c r="B376" s="5">
        <v>45793</v>
      </c>
      <c r="C376" s="4" t="s">
        <v>659</v>
      </c>
      <c r="D376" s="4" t="s">
        <v>47</v>
      </c>
      <c r="E376" s="4" t="s">
        <v>29</v>
      </c>
      <c r="F376" s="4" t="s">
        <v>108</v>
      </c>
      <c r="G376" s="4" t="s">
        <v>49</v>
      </c>
      <c r="H376" s="4" t="s">
        <v>128</v>
      </c>
      <c r="I376" s="4">
        <v>5</v>
      </c>
      <c r="J376" s="6">
        <v>50.65</v>
      </c>
      <c r="K376" s="7">
        <v>0</v>
      </c>
      <c r="L376" s="6">
        <f t="shared" si="10"/>
        <v>253.25</v>
      </c>
      <c r="M376" s="6">
        <v>37.619999999999997</v>
      </c>
      <c r="N376" s="8">
        <f t="shared" si="11"/>
        <v>65.150000000000006</v>
      </c>
      <c r="O376" s="4" t="s">
        <v>51</v>
      </c>
      <c r="P376" s="4" t="s">
        <v>56</v>
      </c>
      <c r="Q376" s="4">
        <v>4</v>
      </c>
      <c r="R376" s="4" t="str">
        <f>TEXT(Table1[[#This Row],[Order Date]],"mmm")</f>
        <v>May</v>
      </c>
      <c r="S376" s="4" t="str">
        <f>TEXT(Table1[[#This Row],[Order Date]],"mm")</f>
        <v>05</v>
      </c>
      <c r="T376" s="4" t="str">
        <f>IF(Table1[[#This Row],[Sales]]&lt;0,"loss","profit")</f>
        <v>profit</v>
      </c>
      <c r="U376" s="4" t="str" cm="1">
        <f t="array" ref="U376">_xlfn.IFS(Table1[[#This Row],[Sales]]&gt;2000,"large",Table1[[#This Row],[Sales]]&gt;=500,"medium",Table1[[#This Row],[Sales]]&lt;500,"small")</f>
        <v>small</v>
      </c>
      <c r="V376" s="22">
        <f>Table1[[#This Row],[Profit]]/Table1[[#This Row],[Sales]]*100</f>
        <v>25.72556762092794</v>
      </c>
    </row>
    <row r="377" spans="1:22" x14ac:dyDescent="0.35">
      <c r="A377" s="4" t="s">
        <v>693</v>
      </c>
      <c r="B377" s="5">
        <v>45793</v>
      </c>
      <c r="C377" s="4" t="s">
        <v>694</v>
      </c>
      <c r="D377" s="4" t="s">
        <v>43</v>
      </c>
      <c r="E377" s="4" t="s">
        <v>36</v>
      </c>
      <c r="F377" s="4" t="s">
        <v>48</v>
      </c>
      <c r="G377" s="4" t="s">
        <v>49</v>
      </c>
      <c r="H377" s="4" t="s">
        <v>50</v>
      </c>
      <c r="I377" s="4">
        <v>3</v>
      </c>
      <c r="J377" s="6">
        <v>31.78</v>
      </c>
      <c r="K377" s="7">
        <v>0</v>
      </c>
      <c r="L377" s="6">
        <f t="shared" si="10"/>
        <v>95.34</v>
      </c>
      <c r="M377" s="6">
        <v>19.649999999999999</v>
      </c>
      <c r="N377" s="8">
        <f t="shared" si="11"/>
        <v>36.390000000000008</v>
      </c>
      <c r="O377" s="4" t="s">
        <v>84</v>
      </c>
      <c r="P377" s="4" t="s">
        <v>72</v>
      </c>
      <c r="Q377" s="4">
        <v>3</v>
      </c>
      <c r="R377" s="4" t="str">
        <f>TEXT(Table1[[#This Row],[Order Date]],"mmm")</f>
        <v>May</v>
      </c>
      <c r="S377" s="4" t="str">
        <f>TEXT(Table1[[#This Row],[Order Date]],"mm")</f>
        <v>05</v>
      </c>
      <c r="T377" s="4" t="str">
        <f>IF(Table1[[#This Row],[Sales]]&lt;0,"loss","profit")</f>
        <v>profit</v>
      </c>
      <c r="U377" s="4" t="str" cm="1">
        <f t="array" ref="U377">_xlfn.IFS(Table1[[#This Row],[Sales]]&gt;2000,"large",Table1[[#This Row],[Sales]]&gt;=500,"medium",Table1[[#This Row],[Sales]]&lt;500,"small")</f>
        <v>small</v>
      </c>
      <c r="V377" s="22">
        <f>Table1[[#This Row],[Profit]]/Table1[[#This Row],[Sales]]*100</f>
        <v>38.168659534298307</v>
      </c>
    </row>
    <row r="378" spans="1:22" x14ac:dyDescent="0.35">
      <c r="A378" s="4" t="s">
        <v>695</v>
      </c>
      <c r="B378" s="5">
        <v>45793</v>
      </c>
      <c r="C378" s="4" t="s">
        <v>341</v>
      </c>
      <c r="D378" s="4" t="s">
        <v>20</v>
      </c>
      <c r="E378" s="4" t="s">
        <v>87</v>
      </c>
      <c r="F378" s="4" t="s">
        <v>92</v>
      </c>
      <c r="G378" s="4" t="s">
        <v>23</v>
      </c>
      <c r="H378" s="4" t="s">
        <v>44</v>
      </c>
      <c r="I378" s="4">
        <v>1</v>
      </c>
      <c r="J378" s="6">
        <v>120.53</v>
      </c>
      <c r="K378" s="7">
        <v>0.2</v>
      </c>
      <c r="L378" s="6">
        <f t="shared" si="10"/>
        <v>96.424000000000007</v>
      </c>
      <c r="M378" s="6">
        <v>70.13</v>
      </c>
      <c r="N378" s="8">
        <f t="shared" si="11"/>
        <v>26.294000000000011</v>
      </c>
      <c r="O378" s="4" t="s">
        <v>60</v>
      </c>
      <c r="P378" s="4" t="s">
        <v>72</v>
      </c>
      <c r="Q378" s="4">
        <v>4</v>
      </c>
      <c r="R378" s="4" t="str">
        <f>TEXT(Table1[[#This Row],[Order Date]],"mmm")</f>
        <v>May</v>
      </c>
      <c r="S378" s="4" t="str">
        <f>TEXT(Table1[[#This Row],[Order Date]],"mm")</f>
        <v>05</v>
      </c>
      <c r="T378" s="4" t="str">
        <f>IF(Table1[[#This Row],[Sales]]&lt;0,"loss","profit")</f>
        <v>profit</v>
      </c>
      <c r="U378" s="4" t="str" cm="1">
        <f t="array" ref="U378">_xlfn.IFS(Table1[[#This Row],[Sales]]&gt;2000,"large",Table1[[#This Row],[Sales]]&gt;=500,"medium",Table1[[#This Row],[Sales]]&lt;500,"small")</f>
        <v>small</v>
      </c>
      <c r="V378" s="22">
        <f>Table1[[#This Row],[Profit]]/Table1[[#This Row],[Sales]]*100</f>
        <v>27.269144611300099</v>
      </c>
    </row>
    <row r="379" spans="1:22" x14ac:dyDescent="0.35">
      <c r="A379" s="4" t="s">
        <v>696</v>
      </c>
      <c r="B379" s="5">
        <v>45793</v>
      </c>
      <c r="C379" s="4" t="s">
        <v>668</v>
      </c>
      <c r="D379" s="4" t="s">
        <v>43</v>
      </c>
      <c r="E379" s="4" t="s">
        <v>36</v>
      </c>
      <c r="F379" s="4" t="s">
        <v>37</v>
      </c>
      <c r="G379" s="4" t="s">
        <v>23</v>
      </c>
      <c r="H379" s="4" t="s">
        <v>71</v>
      </c>
      <c r="I379" s="4">
        <v>1</v>
      </c>
      <c r="J379" s="6">
        <v>69.77</v>
      </c>
      <c r="K379" s="7">
        <v>0</v>
      </c>
      <c r="L379" s="6">
        <f t="shared" si="10"/>
        <v>69.77</v>
      </c>
      <c r="M379" s="6">
        <v>33.06</v>
      </c>
      <c r="N379" s="8">
        <f t="shared" si="11"/>
        <v>36.709999999999994</v>
      </c>
      <c r="O379" s="4" t="s">
        <v>51</v>
      </c>
      <c r="P379" s="4" t="s">
        <v>26</v>
      </c>
      <c r="Q379" s="4">
        <v>2</v>
      </c>
      <c r="R379" s="4" t="str">
        <f>TEXT(Table1[[#This Row],[Order Date]],"mmm")</f>
        <v>May</v>
      </c>
      <c r="S379" s="4" t="str">
        <f>TEXT(Table1[[#This Row],[Order Date]],"mm")</f>
        <v>05</v>
      </c>
      <c r="T379" s="4" t="str">
        <f>IF(Table1[[#This Row],[Sales]]&lt;0,"loss","profit")</f>
        <v>profit</v>
      </c>
      <c r="U379" s="4" t="str" cm="1">
        <f t="array" ref="U379">_xlfn.IFS(Table1[[#This Row],[Sales]]&gt;2000,"large",Table1[[#This Row],[Sales]]&gt;=500,"medium",Table1[[#This Row],[Sales]]&lt;500,"small")</f>
        <v>small</v>
      </c>
      <c r="V379" s="22">
        <f>Table1[[#This Row],[Profit]]/Table1[[#This Row],[Sales]]*100</f>
        <v>52.615737422961153</v>
      </c>
    </row>
    <row r="380" spans="1:22" x14ac:dyDescent="0.35">
      <c r="A380" s="4" t="s">
        <v>697</v>
      </c>
      <c r="B380" s="5">
        <v>45793</v>
      </c>
      <c r="C380" s="4" t="s">
        <v>130</v>
      </c>
      <c r="D380" s="4" t="s">
        <v>20</v>
      </c>
      <c r="E380" s="4" t="s">
        <v>29</v>
      </c>
      <c r="F380" s="4" t="s">
        <v>30</v>
      </c>
      <c r="G380" s="4" t="s">
        <v>38</v>
      </c>
      <c r="H380" s="4" t="s">
        <v>89</v>
      </c>
      <c r="I380" s="4">
        <v>1</v>
      </c>
      <c r="J380" s="6">
        <v>729.45</v>
      </c>
      <c r="K380" s="7">
        <v>0.05</v>
      </c>
      <c r="L380" s="6">
        <f t="shared" si="10"/>
        <v>692.97749999999996</v>
      </c>
      <c r="M380" s="6">
        <v>650.62</v>
      </c>
      <c r="N380" s="8">
        <f t="shared" si="11"/>
        <v>42.357499999999959</v>
      </c>
      <c r="O380" s="4" t="s">
        <v>40</v>
      </c>
      <c r="P380" s="4" t="s">
        <v>118</v>
      </c>
      <c r="Q380" s="4">
        <v>3</v>
      </c>
      <c r="R380" s="4" t="str">
        <f>TEXT(Table1[[#This Row],[Order Date]],"mmm")</f>
        <v>May</v>
      </c>
      <c r="S380" s="4" t="str">
        <f>TEXT(Table1[[#This Row],[Order Date]],"mm")</f>
        <v>05</v>
      </c>
      <c r="T380" s="4" t="str">
        <f>IF(Table1[[#This Row],[Sales]]&lt;0,"loss","profit")</f>
        <v>profit</v>
      </c>
      <c r="U380" s="4" t="str" cm="1">
        <f t="array" ref="U380">_xlfn.IFS(Table1[[#This Row],[Sales]]&gt;2000,"large",Table1[[#This Row],[Sales]]&gt;=500,"medium",Table1[[#This Row],[Sales]]&lt;500,"small")</f>
        <v>medium</v>
      </c>
      <c r="V380" s="22">
        <f>Table1[[#This Row],[Profit]]/Table1[[#This Row],[Sales]]*100</f>
        <v>6.1123918164731128</v>
      </c>
    </row>
    <row r="381" spans="1:22" x14ac:dyDescent="0.35">
      <c r="A381" s="4" t="s">
        <v>698</v>
      </c>
      <c r="B381" s="5">
        <v>45793</v>
      </c>
      <c r="C381" s="4" t="s">
        <v>363</v>
      </c>
      <c r="D381" s="4" t="s">
        <v>43</v>
      </c>
      <c r="E381" s="4" t="s">
        <v>29</v>
      </c>
      <c r="F381" s="4" t="s">
        <v>108</v>
      </c>
      <c r="G381" s="4" t="s">
        <v>31</v>
      </c>
      <c r="H381" s="4" t="s">
        <v>147</v>
      </c>
      <c r="I381" s="4">
        <v>1</v>
      </c>
      <c r="J381" s="6">
        <v>117.5</v>
      </c>
      <c r="K381" s="7">
        <v>0.15</v>
      </c>
      <c r="L381" s="6">
        <f t="shared" si="10"/>
        <v>99.875</v>
      </c>
      <c r="M381" s="6">
        <v>70.37</v>
      </c>
      <c r="N381" s="8">
        <f t="shared" si="11"/>
        <v>29.504999999999995</v>
      </c>
      <c r="O381" s="4" t="s">
        <v>60</v>
      </c>
      <c r="P381" s="4" t="s">
        <v>26</v>
      </c>
      <c r="Q381" s="4">
        <v>3</v>
      </c>
      <c r="R381" s="4" t="str">
        <f>TEXT(Table1[[#This Row],[Order Date]],"mmm")</f>
        <v>May</v>
      </c>
      <c r="S381" s="4" t="str">
        <f>TEXT(Table1[[#This Row],[Order Date]],"mm")</f>
        <v>05</v>
      </c>
      <c r="T381" s="4" t="str">
        <f>IF(Table1[[#This Row],[Sales]]&lt;0,"loss","profit")</f>
        <v>profit</v>
      </c>
      <c r="U381" s="4" t="str" cm="1">
        <f t="array" ref="U381">_xlfn.IFS(Table1[[#This Row],[Sales]]&gt;2000,"large",Table1[[#This Row],[Sales]]&gt;=500,"medium",Table1[[#This Row],[Sales]]&lt;500,"small")</f>
        <v>small</v>
      </c>
      <c r="V381" s="22">
        <f>Table1[[#This Row],[Profit]]/Table1[[#This Row],[Sales]]*100</f>
        <v>29.541927409261572</v>
      </c>
    </row>
    <row r="382" spans="1:22" x14ac:dyDescent="0.35">
      <c r="A382" s="4" t="s">
        <v>699</v>
      </c>
      <c r="B382" s="5">
        <v>45793</v>
      </c>
      <c r="C382" s="4" t="s">
        <v>467</v>
      </c>
      <c r="D382" s="4" t="s">
        <v>20</v>
      </c>
      <c r="E382" s="4" t="s">
        <v>87</v>
      </c>
      <c r="F382" s="4" t="s">
        <v>124</v>
      </c>
      <c r="G382" s="4" t="s">
        <v>23</v>
      </c>
      <c r="H382" s="4" t="s">
        <v>44</v>
      </c>
      <c r="I382" s="4">
        <v>1</v>
      </c>
      <c r="J382" s="6">
        <v>96.47</v>
      </c>
      <c r="K382" s="7">
        <v>0</v>
      </c>
      <c r="L382" s="6">
        <f t="shared" si="10"/>
        <v>96.47</v>
      </c>
      <c r="M382" s="6">
        <v>39.86</v>
      </c>
      <c r="N382" s="8">
        <f t="shared" si="11"/>
        <v>56.61</v>
      </c>
      <c r="O382" s="4" t="s">
        <v>25</v>
      </c>
      <c r="P382" s="4" t="s">
        <v>118</v>
      </c>
      <c r="Q382" s="4">
        <v>4</v>
      </c>
      <c r="R382" s="4" t="str">
        <f>TEXT(Table1[[#This Row],[Order Date]],"mmm")</f>
        <v>May</v>
      </c>
      <c r="S382" s="4" t="str">
        <f>TEXT(Table1[[#This Row],[Order Date]],"mm")</f>
        <v>05</v>
      </c>
      <c r="T382" s="4" t="str">
        <f>IF(Table1[[#This Row],[Sales]]&lt;0,"loss","profit")</f>
        <v>profit</v>
      </c>
      <c r="U382" s="4" t="str" cm="1">
        <f t="array" ref="U382">_xlfn.IFS(Table1[[#This Row],[Sales]]&gt;2000,"large",Table1[[#This Row],[Sales]]&gt;=500,"medium",Table1[[#This Row],[Sales]]&lt;500,"small")</f>
        <v>small</v>
      </c>
      <c r="V382" s="22">
        <f>Table1[[#This Row],[Profit]]/Table1[[#This Row],[Sales]]*100</f>
        <v>58.681455374727896</v>
      </c>
    </row>
    <row r="383" spans="1:22" x14ac:dyDescent="0.35">
      <c r="A383" s="4" t="s">
        <v>700</v>
      </c>
      <c r="B383" s="5">
        <v>45793</v>
      </c>
      <c r="C383" s="4" t="s">
        <v>219</v>
      </c>
      <c r="D383" s="4" t="s">
        <v>20</v>
      </c>
      <c r="E383" s="4" t="s">
        <v>87</v>
      </c>
      <c r="F383" s="4" t="s">
        <v>92</v>
      </c>
      <c r="G383" s="4" t="s">
        <v>38</v>
      </c>
      <c r="H383" s="4" t="s">
        <v>96</v>
      </c>
      <c r="I383" s="4">
        <v>4</v>
      </c>
      <c r="J383" s="6">
        <v>212.09</v>
      </c>
      <c r="K383" s="7">
        <v>0.1</v>
      </c>
      <c r="L383" s="6">
        <f t="shared" si="10"/>
        <v>763.524</v>
      </c>
      <c r="M383" s="6">
        <v>175.65</v>
      </c>
      <c r="N383" s="8">
        <f t="shared" si="11"/>
        <v>60.923999999999978</v>
      </c>
      <c r="O383" s="4" t="s">
        <v>60</v>
      </c>
      <c r="P383" s="4" t="s">
        <v>97</v>
      </c>
      <c r="Q383" s="4">
        <v>5</v>
      </c>
      <c r="R383" s="4" t="str">
        <f>TEXT(Table1[[#This Row],[Order Date]],"mmm")</f>
        <v>May</v>
      </c>
      <c r="S383" s="4" t="str">
        <f>TEXT(Table1[[#This Row],[Order Date]],"mm")</f>
        <v>05</v>
      </c>
      <c r="T383" s="4" t="str">
        <f>IF(Table1[[#This Row],[Sales]]&lt;0,"loss","profit")</f>
        <v>profit</v>
      </c>
      <c r="U383" s="4" t="str" cm="1">
        <f t="array" ref="U383">_xlfn.IFS(Table1[[#This Row],[Sales]]&gt;2000,"large",Table1[[#This Row],[Sales]]&gt;=500,"medium",Table1[[#This Row],[Sales]]&lt;500,"small")</f>
        <v>medium</v>
      </c>
      <c r="V383" s="22">
        <f>Table1[[#This Row],[Profit]]/Table1[[#This Row],[Sales]]*100</f>
        <v>7.9793169566379021</v>
      </c>
    </row>
    <row r="384" spans="1:22" x14ac:dyDescent="0.35">
      <c r="A384" s="4" t="s">
        <v>701</v>
      </c>
      <c r="B384" s="5">
        <v>45794</v>
      </c>
      <c r="C384" s="4" t="s">
        <v>70</v>
      </c>
      <c r="D384" s="4" t="s">
        <v>20</v>
      </c>
      <c r="E384" s="4" t="s">
        <v>36</v>
      </c>
      <c r="F384" s="4" t="s">
        <v>37</v>
      </c>
      <c r="G384" s="4" t="s">
        <v>31</v>
      </c>
      <c r="H384" s="4" t="s">
        <v>64</v>
      </c>
      <c r="I384" s="4">
        <v>2</v>
      </c>
      <c r="J384" s="6">
        <v>156.79</v>
      </c>
      <c r="K384" s="7">
        <v>0.05</v>
      </c>
      <c r="L384" s="6">
        <f t="shared" si="10"/>
        <v>297.90099999999995</v>
      </c>
      <c r="M384" s="6">
        <v>115.37</v>
      </c>
      <c r="N384" s="8">
        <f t="shared" si="11"/>
        <v>67.160999999999945</v>
      </c>
      <c r="O384" s="4" t="s">
        <v>84</v>
      </c>
      <c r="P384" s="4" t="s">
        <v>61</v>
      </c>
      <c r="Q384" s="4">
        <v>5</v>
      </c>
      <c r="R384" s="4" t="str">
        <f>TEXT(Table1[[#This Row],[Order Date]],"mmm")</f>
        <v>May</v>
      </c>
      <c r="S384" s="4" t="str">
        <f>TEXT(Table1[[#This Row],[Order Date]],"mm")</f>
        <v>05</v>
      </c>
      <c r="T384" s="4" t="str">
        <f>IF(Table1[[#This Row],[Sales]]&lt;0,"loss","profit")</f>
        <v>profit</v>
      </c>
      <c r="U384" s="4" t="str" cm="1">
        <f t="array" ref="U384">_xlfn.IFS(Table1[[#This Row],[Sales]]&gt;2000,"large",Table1[[#This Row],[Sales]]&gt;=500,"medium",Table1[[#This Row],[Sales]]&lt;500,"small")</f>
        <v>small</v>
      </c>
      <c r="V384" s="22">
        <f>Table1[[#This Row],[Profit]]/Table1[[#This Row],[Sales]]*100</f>
        <v>22.544738016992209</v>
      </c>
    </row>
    <row r="385" spans="1:22" x14ac:dyDescent="0.35">
      <c r="A385" s="4" t="s">
        <v>702</v>
      </c>
      <c r="B385" s="5">
        <v>45794</v>
      </c>
      <c r="C385" s="4" t="s">
        <v>703</v>
      </c>
      <c r="D385" s="4" t="s">
        <v>47</v>
      </c>
      <c r="E385" s="4" t="s">
        <v>29</v>
      </c>
      <c r="F385" s="4" t="s">
        <v>30</v>
      </c>
      <c r="G385" s="4" t="s">
        <v>67</v>
      </c>
      <c r="H385" s="4" t="s">
        <v>140</v>
      </c>
      <c r="I385" s="4">
        <v>3</v>
      </c>
      <c r="J385" s="6">
        <v>99.57</v>
      </c>
      <c r="K385" s="7">
        <v>0</v>
      </c>
      <c r="L385" s="6">
        <f t="shared" si="10"/>
        <v>298.70999999999998</v>
      </c>
      <c r="M385" s="6">
        <v>65.83</v>
      </c>
      <c r="N385" s="8">
        <f t="shared" si="11"/>
        <v>101.21999999999997</v>
      </c>
      <c r="O385" s="4" t="s">
        <v>84</v>
      </c>
      <c r="P385" s="4" t="s">
        <v>56</v>
      </c>
      <c r="Q385" s="4">
        <v>5</v>
      </c>
      <c r="R385" s="4" t="str">
        <f>TEXT(Table1[[#This Row],[Order Date]],"mmm")</f>
        <v>May</v>
      </c>
      <c r="S385" s="4" t="str">
        <f>TEXT(Table1[[#This Row],[Order Date]],"mm")</f>
        <v>05</v>
      </c>
      <c r="T385" s="4" t="str">
        <f>IF(Table1[[#This Row],[Sales]]&lt;0,"loss","profit")</f>
        <v>profit</v>
      </c>
      <c r="U385" s="4" t="str" cm="1">
        <f t="array" ref="U385">_xlfn.IFS(Table1[[#This Row],[Sales]]&gt;2000,"large",Table1[[#This Row],[Sales]]&gt;=500,"medium",Table1[[#This Row],[Sales]]&lt;500,"small")</f>
        <v>small</v>
      </c>
      <c r="V385" s="22">
        <f>Table1[[#This Row],[Profit]]/Table1[[#This Row],[Sales]]*100</f>
        <v>33.885708546751019</v>
      </c>
    </row>
    <row r="386" spans="1:22" x14ac:dyDescent="0.35">
      <c r="A386" s="4" t="s">
        <v>704</v>
      </c>
      <c r="B386" s="5">
        <v>45794</v>
      </c>
      <c r="C386" s="4" t="s">
        <v>274</v>
      </c>
      <c r="D386" s="4" t="s">
        <v>43</v>
      </c>
      <c r="E386" s="4" t="s">
        <v>36</v>
      </c>
      <c r="F386" s="4" t="s">
        <v>37</v>
      </c>
      <c r="G386" s="4" t="s">
        <v>31</v>
      </c>
      <c r="H386" s="4" t="s">
        <v>32</v>
      </c>
      <c r="I386" s="4">
        <v>1</v>
      </c>
      <c r="J386" s="6">
        <v>107.73</v>
      </c>
      <c r="K386" s="7">
        <v>0.05</v>
      </c>
      <c r="L386" s="6">
        <f t="shared" ref="L386:L449" si="12">I386*J386*(1-K386)</f>
        <v>102.34350000000001</v>
      </c>
      <c r="M386" s="6">
        <v>67.95</v>
      </c>
      <c r="N386" s="8">
        <f t="shared" ref="N386:N449" si="13">L386-I386*M386</f>
        <v>34.393500000000003</v>
      </c>
      <c r="O386" s="4" t="s">
        <v>60</v>
      </c>
      <c r="P386" s="4" t="s">
        <v>56</v>
      </c>
      <c r="Q386" s="4">
        <v>4</v>
      </c>
      <c r="R386" s="4" t="str">
        <f>TEXT(Table1[[#This Row],[Order Date]],"mmm")</f>
        <v>May</v>
      </c>
      <c r="S386" s="4" t="str">
        <f>TEXT(Table1[[#This Row],[Order Date]],"mm")</f>
        <v>05</v>
      </c>
      <c r="T386" s="4" t="str">
        <f>IF(Table1[[#This Row],[Sales]]&lt;0,"loss","profit")</f>
        <v>profit</v>
      </c>
      <c r="U386" s="4" t="str" cm="1">
        <f t="array" ref="U386">_xlfn.IFS(Table1[[#This Row],[Sales]]&gt;2000,"large",Table1[[#This Row],[Sales]]&gt;=500,"medium",Table1[[#This Row],[Sales]]&lt;500,"small")</f>
        <v>small</v>
      </c>
      <c r="V386" s="22">
        <f>Table1[[#This Row],[Profit]]/Table1[[#This Row],[Sales]]*100</f>
        <v>33.605944686277098</v>
      </c>
    </row>
    <row r="387" spans="1:22" x14ac:dyDescent="0.35">
      <c r="A387" s="4" t="s">
        <v>705</v>
      </c>
      <c r="B387" s="5">
        <v>45795</v>
      </c>
      <c r="C387" s="4" t="s">
        <v>706</v>
      </c>
      <c r="D387" s="4" t="s">
        <v>20</v>
      </c>
      <c r="E387" s="4" t="s">
        <v>21</v>
      </c>
      <c r="F387" s="4" t="s">
        <v>22</v>
      </c>
      <c r="G387" s="4" t="s">
        <v>23</v>
      </c>
      <c r="H387" s="4" t="s">
        <v>44</v>
      </c>
      <c r="I387" s="4">
        <v>1</v>
      </c>
      <c r="J387" s="6">
        <v>79.290000000000006</v>
      </c>
      <c r="K387" s="7">
        <v>0</v>
      </c>
      <c r="L387" s="6">
        <f t="shared" si="12"/>
        <v>79.290000000000006</v>
      </c>
      <c r="M387" s="6">
        <v>38.75</v>
      </c>
      <c r="N387" s="8">
        <f t="shared" si="13"/>
        <v>40.540000000000006</v>
      </c>
      <c r="O387" s="4" t="s">
        <v>60</v>
      </c>
      <c r="P387" s="4" t="s">
        <v>61</v>
      </c>
      <c r="Q387" s="4">
        <v>4</v>
      </c>
      <c r="R387" s="4" t="str">
        <f>TEXT(Table1[[#This Row],[Order Date]],"mmm")</f>
        <v>May</v>
      </c>
      <c r="S387" s="4" t="str">
        <f>TEXT(Table1[[#This Row],[Order Date]],"mm")</f>
        <v>05</v>
      </c>
      <c r="T387" s="4" t="str">
        <f>IF(Table1[[#This Row],[Sales]]&lt;0,"loss","profit")</f>
        <v>profit</v>
      </c>
      <c r="U387" s="4" t="str" cm="1">
        <f t="array" ref="U387">_xlfn.IFS(Table1[[#This Row],[Sales]]&gt;2000,"large",Table1[[#This Row],[Sales]]&gt;=500,"medium",Table1[[#This Row],[Sales]]&lt;500,"small")</f>
        <v>small</v>
      </c>
      <c r="V387" s="22">
        <f>Table1[[#This Row],[Profit]]/Table1[[#This Row],[Sales]]*100</f>
        <v>51.128767814352386</v>
      </c>
    </row>
    <row r="388" spans="1:22" x14ac:dyDescent="0.35">
      <c r="A388" s="4" t="s">
        <v>707</v>
      </c>
      <c r="B388" s="5">
        <v>45795</v>
      </c>
      <c r="C388" s="4" t="s">
        <v>237</v>
      </c>
      <c r="D388" s="4" t="s">
        <v>20</v>
      </c>
      <c r="E388" s="4" t="s">
        <v>87</v>
      </c>
      <c r="F388" s="4" t="s">
        <v>88</v>
      </c>
      <c r="G388" s="4" t="s">
        <v>23</v>
      </c>
      <c r="H388" s="4" t="s">
        <v>71</v>
      </c>
      <c r="I388" s="4">
        <v>3</v>
      </c>
      <c r="J388" s="6">
        <v>113.25</v>
      </c>
      <c r="K388" s="7">
        <v>0</v>
      </c>
      <c r="L388" s="6">
        <f t="shared" si="12"/>
        <v>339.75</v>
      </c>
      <c r="M388" s="6">
        <v>57.25</v>
      </c>
      <c r="N388" s="8">
        <f t="shared" si="13"/>
        <v>168</v>
      </c>
      <c r="O388" s="4" t="s">
        <v>25</v>
      </c>
      <c r="P388" s="4" t="s">
        <v>97</v>
      </c>
      <c r="Q388" s="4">
        <v>5</v>
      </c>
      <c r="R388" s="4" t="str">
        <f>TEXT(Table1[[#This Row],[Order Date]],"mmm")</f>
        <v>May</v>
      </c>
      <c r="S388" s="4" t="str">
        <f>TEXT(Table1[[#This Row],[Order Date]],"mm")</f>
        <v>05</v>
      </c>
      <c r="T388" s="4" t="str">
        <f>IF(Table1[[#This Row],[Sales]]&lt;0,"loss","profit")</f>
        <v>profit</v>
      </c>
      <c r="U388" s="4" t="str" cm="1">
        <f t="array" ref="U388">_xlfn.IFS(Table1[[#This Row],[Sales]]&gt;2000,"large",Table1[[#This Row],[Sales]]&gt;=500,"medium",Table1[[#This Row],[Sales]]&lt;500,"small")</f>
        <v>small</v>
      </c>
      <c r="V388" s="22">
        <f>Table1[[#This Row],[Profit]]/Table1[[#This Row],[Sales]]*100</f>
        <v>49.448123620309055</v>
      </c>
    </row>
    <row r="389" spans="1:22" x14ac:dyDescent="0.35">
      <c r="A389" s="4" t="s">
        <v>708</v>
      </c>
      <c r="B389" s="5">
        <v>45796</v>
      </c>
      <c r="C389" s="4" t="s">
        <v>709</v>
      </c>
      <c r="D389" s="4" t="s">
        <v>47</v>
      </c>
      <c r="E389" s="4" t="s">
        <v>29</v>
      </c>
      <c r="F389" s="4" t="s">
        <v>54</v>
      </c>
      <c r="G389" s="4" t="s">
        <v>49</v>
      </c>
      <c r="H389" s="4" t="s">
        <v>50</v>
      </c>
      <c r="I389" s="4">
        <v>5</v>
      </c>
      <c r="J389" s="6">
        <v>34.14</v>
      </c>
      <c r="K389" s="7">
        <v>0</v>
      </c>
      <c r="L389" s="6">
        <f t="shared" si="12"/>
        <v>170.7</v>
      </c>
      <c r="M389" s="6">
        <v>21.43</v>
      </c>
      <c r="N389" s="8">
        <f t="shared" si="13"/>
        <v>63.549999999999983</v>
      </c>
      <c r="O389" s="4" t="s">
        <v>60</v>
      </c>
      <c r="P389" s="4" t="s">
        <v>118</v>
      </c>
      <c r="Q389" s="4">
        <v>2</v>
      </c>
      <c r="R389" s="4" t="str">
        <f>TEXT(Table1[[#This Row],[Order Date]],"mmm")</f>
        <v>May</v>
      </c>
      <c r="S389" s="4" t="str">
        <f>TEXT(Table1[[#This Row],[Order Date]],"mm")</f>
        <v>05</v>
      </c>
      <c r="T389" s="4" t="str">
        <f>IF(Table1[[#This Row],[Sales]]&lt;0,"loss","profit")</f>
        <v>profit</v>
      </c>
      <c r="U389" s="4" t="str" cm="1">
        <f t="array" ref="U389">_xlfn.IFS(Table1[[#This Row],[Sales]]&gt;2000,"large",Table1[[#This Row],[Sales]]&gt;=500,"medium",Table1[[#This Row],[Sales]]&lt;500,"small")</f>
        <v>small</v>
      </c>
      <c r="V389" s="22">
        <f>Table1[[#This Row],[Profit]]/Table1[[#This Row],[Sales]]*100</f>
        <v>37.229056824838892</v>
      </c>
    </row>
    <row r="390" spans="1:22" x14ac:dyDescent="0.35">
      <c r="A390" s="4" t="s">
        <v>710</v>
      </c>
      <c r="B390" s="5">
        <v>45796</v>
      </c>
      <c r="C390" s="4" t="s">
        <v>711</v>
      </c>
      <c r="D390" s="4" t="s">
        <v>43</v>
      </c>
      <c r="E390" s="4" t="s">
        <v>29</v>
      </c>
      <c r="F390" s="4" t="s">
        <v>108</v>
      </c>
      <c r="G390" s="4" t="s">
        <v>67</v>
      </c>
      <c r="H390" s="4" t="s">
        <v>121</v>
      </c>
      <c r="I390" s="4">
        <v>2</v>
      </c>
      <c r="J390" s="6">
        <v>167.04</v>
      </c>
      <c r="K390" s="7">
        <v>0</v>
      </c>
      <c r="L390" s="6">
        <f t="shared" si="12"/>
        <v>334.08</v>
      </c>
      <c r="M390" s="6">
        <v>110.17</v>
      </c>
      <c r="N390" s="8">
        <f t="shared" si="13"/>
        <v>113.73999999999998</v>
      </c>
      <c r="O390" s="4" t="s">
        <v>51</v>
      </c>
      <c r="P390" s="4" t="s">
        <v>72</v>
      </c>
      <c r="Q390" s="4">
        <v>4</v>
      </c>
      <c r="R390" s="4" t="str">
        <f>TEXT(Table1[[#This Row],[Order Date]],"mmm")</f>
        <v>May</v>
      </c>
      <c r="S390" s="4" t="str">
        <f>TEXT(Table1[[#This Row],[Order Date]],"mm")</f>
        <v>05</v>
      </c>
      <c r="T390" s="4" t="str">
        <f>IF(Table1[[#This Row],[Sales]]&lt;0,"loss","profit")</f>
        <v>profit</v>
      </c>
      <c r="U390" s="4" t="str" cm="1">
        <f t="array" ref="U390">_xlfn.IFS(Table1[[#This Row],[Sales]]&gt;2000,"large",Table1[[#This Row],[Sales]]&gt;=500,"medium",Table1[[#This Row],[Sales]]&lt;500,"small")</f>
        <v>small</v>
      </c>
      <c r="V390" s="22">
        <f>Table1[[#This Row],[Profit]]/Table1[[#This Row],[Sales]]*100</f>
        <v>34.04573754789272</v>
      </c>
    </row>
    <row r="391" spans="1:22" x14ac:dyDescent="0.35">
      <c r="A391" s="4" t="s">
        <v>712</v>
      </c>
      <c r="B391" s="5">
        <v>45796</v>
      </c>
      <c r="C391" s="4" t="s">
        <v>713</v>
      </c>
      <c r="D391" s="4" t="s">
        <v>47</v>
      </c>
      <c r="E391" s="4" t="s">
        <v>36</v>
      </c>
      <c r="F391" s="4" t="s">
        <v>201</v>
      </c>
      <c r="G391" s="4" t="s">
        <v>23</v>
      </c>
      <c r="H391" s="4" t="s">
        <v>24</v>
      </c>
      <c r="I391" s="4">
        <v>1</v>
      </c>
      <c r="J391" s="6">
        <v>61.1</v>
      </c>
      <c r="K391" s="7">
        <v>0.2</v>
      </c>
      <c r="L391" s="6">
        <f t="shared" si="12"/>
        <v>48.88</v>
      </c>
      <c r="M391" s="6">
        <v>26.83</v>
      </c>
      <c r="N391" s="8">
        <f t="shared" si="13"/>
        <v>22.050000000000004</v>
      </c>
      <c r="O391" s="4" t="s">
        <v>84</v>
      </c>
      <c r="P391" s="4" t="s">
        <v>75</v>
      </c>
      <c r="Q391" s="4">
        <v>2</v>
      </c>
      <c r="R391" s="4" t="str">
        <f>TEXT(Table1[[#This Row],[Order Date]],"mmm")</f>
        <v>May</v>
      </c>
      <c r="S391" s="4" t="str">
        <f>TEXT(Table1[[#This Row],[Order Date]],"mm")</f>
        <v>05</v>
      </c>
      <c r="T391" s="4" t="str">
        <f>IF(Table1[[#This Row],[Sales]]&lt;0,"loss","profit")</f>
        <v>profit</v>
      </c>
      <c r="U391" s="4" t="str" cm="1">
        <f t="array" ref="U391">_xlfn.IFS(Table1[[#This Row],[Sales]]&gt;2000,"large",Table1[[#This Row],[Sales]]&gt;=500,"medium",Table1[[#This Row],[Sales]]&lt;500,"small")</f>
        <v>small</v>
      </c>
      <c r="V391" s="22">
        <f>Table1[[#This Row],[Profit]]/Table1[[#This Row],[Sales]]*100</f>
        <v>45.110474631751238</v>
      </c>
    </row>
    <row r="392" spans="1:22" x14ac:dyDescent="0.35">
      <c r="A392" s="4" t="s">
        <v>714</v>
      </c>
      <c r="B392" s="5">
        <v>45797</v>
      </c>
      <c r="C392" s="4" t="s">
        <v>95</v>
      </c>
      <c r="D392" s="4" t="s">
        <v>20</v>
      </c>
      <c r="E392" s="4" t="s">
        <v>87</v>
      </c>
      <c r="F392" s="4" t="s">
        <v>88</v>
      </c>
      <c r="G392" s="4" t="s">
        <v>38</v>
      </c>
      <c r="H392" s="4" t="s">
        <v>96</v>
      </c>
      <c r="I392" s="4">
        <v>1</v>
      </c>
      <c r="J392" s="6">
        <v>511.86</v>
      </c>
      <c r="K392" s="7">
        <v>0.15</v>
      </c>
      <c r="L392" s="6">
        <f t="shared" si="12"/>
        <v>435.08100000000002</v>
      </c>
      <c r="M392" s="6">
        <v>385.82</v>
      </c>
      <c r="N392" s="8">
        <f t="shared" si="13"/>
        <v>49.261000000000024</v>
      </c>
      <c r="O392" s="4" t="s">
        <v>51</v>
      </c>
      <c r="P392" s="4" t="s">
        <v>97</v>
      </c>
      <c r="Q392" s="4">
        <v>4</v>
      </c>
      <c r="R392" s="4" t="str">
        <f>TEXT(Table1[[#This Row],[Order Date]],"mmm")</f>
        <v>May</v>
      </c>
      <c r="S392" s="4" t="str">
        <f>TEXT(Table1[[#This Row],[Order Date]],"mm")</f>
        <v>05</v>
      </c>
      <c r="T392" s="4" t="str">
        <f>IF(Table1[[#This Row],[Sales]]&lt;0,"loss","profit")</f>
        <v>profit</v>
      </c>
      <c r="U392" s="4" t="str" cm="1">
        <f t="array" ref="U392">_xlfn.IFS(Table1[[#This Row],[Sales]]&gt;2000,"large",Table1[[#This Row],[Sales]]&gt;=500,"medium",Table1[[#This Row],[Sales]]&lt;500,"small")</f>
        <v>small</v>
      </c>
      <c r="V392" s="22">
        <f>Table1[[#This Row],[Profit]]/Table1[[#This Row],[Sales]]*100</f>
        <v>11.322259533282313</v>
      </c>
    </row>
    <row r="393" spans="1:22" x14ac:dyDescent="0.35">
      <c r="A393" s="4" t="s">
        <v>715</v>
      </c>
      <c r="B393" s="5">
        <v>45797</v>
      </c>
      <c r="C393" s="4" t="s">
        <v>225</v>
      </c>
      <c r="D393" s="4" t="s">
        <v>43</v>
      </c>
      <c r="E393" s="4" t="s">
        <v>36</v>
      </c>
      <c r="F393" s="4" t="s">
        <v>48</v>
      </c>
      <c r="G393" s="4" t="s">
        <v>23</v>
      </c>
      <c r="H393" s="4" t="s">
        <v>44</v>
      </c>
      <c r="I393" s="4">
        <v>1</v>
      </c>
      <c r="J393" s="6">
        <v>106.25</v>
      </c>
      <c r="K393" s="7">
        <v>0.1</v>
      </c>
      <c r="L393" s="6">
        <f t="shared" si="12"/>
        <v>95.625</v>
      </c>
      <c r="M393" s="6">
        <v>57.11</v>
      </c>
      <c r="N393" s="8">
        <f t="shared" si="13"/>
        <v>38.515000000000001</v>
      </c>
      <c r="O393" s="4" t="s">
        <v>84</v>
      </c>
      <c r="P393" s="4" t="s">
        <v>33</v>
      </c>
      <c r="Q393" s="4">
        <v>4</v>
      </c>
      <c r="R393" s="4" t="str">
        <f>TEXT(Table1[[#This Row],[Order Date]],"mmm")</f>
        <v>May</v>
      </c>
      <c r="S393" s="4" t="str">
        <f>TEXT(Table1[[#This Row],[Order Date]],"mm")</f>
        <v>05</v>
      </c>
      <c r="T393" s="4" t="str">
        <f>IF(Table1[[#This Row],[Sales]]&lt;0,"loss","profit")</f>
        <v>profit</v>
      </c>
      <c r="U393" s="4" t="str" cm="1">
        <f t="array" ref="U393">_xlfn.IFS(Table1[[#This Row],[Sales]]&gt;2000,"large",Table1[[#This Row],[Sales]]&gt;=500,"medium",Table1[[#This Row],[Sales]]&lt;500,"small")</f>
        <v>small</v>
      </c>
      <c r="V393" s="22">
        <f>Table1[[#This Row],[Profit]]/Table1[[#This Row],[Sales]]*100</f>
        <v>40.277124183006535</v>
      </c>
    </row>
    <row r="394" spans="1:22" x14ac:dyDescent="0.35">
      <c r="A394" s="4" t="s">
        <v>716</v>
      </c>
      <c r="B394" s="5">
        <v>45797</v>
      </c>
      <c r="C394" s="4" t="s">
        <v>618</v>
      </c>
      <c r="D394" s="4" t="s">
        <v>47</v>
      </c>
      <c r="E394" s="4" t="s">
        <v>29</v>
      </c>
      <c r="F394" s="4" t="s">
        <v>108</v>
      </c>
      <c r="G394" s="4" t="s">
        <v>23</v>
      </c>
      <c r="H394" s="4" t="s">
        <v>71</v>
      </c>
      <c r="I394" s="4">
        <v>2</v>
      </c>
      <c r="J394" s="6">
        <v>50.86</v>
      </c>
      <c r="K394" s="7">
        <v>0.05</v>
      </c>
      <c r="L394" s="6">
        <f t="shared" si="12"/>
        <v>96.634</v>
      </c>
      <c r="M394" s="6">
        <v>32.58</v>
      </c>
      <c r="N394" s="8">
        <f t="shared" si="13"/>
        <v>31.474000000000004</v>
      </c>
      <c r="O394" s="4" t="s">
        <v>84</v>
      </c>
      <c r="P394" s="4" t="s">
        <v>33</v>
      </c>
      <c r="Q394" s="4">
        <v>4</v>
      </c>
      <c r="R394" s="4" t="str">
        <f>TEXT(Table1[[#This Row],[Order Date]],"mmm")</f>
        <v>May</v>
      </c>
      <c r="S394" s="4" t="str">
        <f>TEXT(Table1[[#This Row],[Order Date]],"mm")</f>
        <v>05</v>
      </c>
      <c r="T394" s="4" t="str">
        <f>IF(Table1[[#This Row],[Sales]]&lt;0,"loss","profit")</f>
        <v>profit</v>
      </c>
      <c r="U394" s="4" t="str" cm="1">
        <f t="array" ref="U394">_xlfn.IFS(Table1[[#This Row],[Sales]]&gt;2000,"large",Table1[[#This Row],[Sales]]&gt;=500,"medium",Table1[[#This Row],[Sales]]&lt;500,"small")</f>
        <v>small</v>
      </c>
      <c r="V394" s="22">
        <f>Table1[[#This Row],[Profit]]/Table1[[#This Row],[Sales]]*100</f>
        <v>32.570316865699446</v>
      </c>
    </row>
    <row r="395" spans="1:22" x14ac:dyDescent="0.35">
      <c r="A395" s="4" t="s">
        <v>717</v>
      </c>
      <c r="B395" s="5">
        <v>45798</v>
      </c>
      <c r="C395" s="4" t="s">
        <v>659</v>
      </c>
      <c r="D395" s="4" t="s">
        <v>20</v>
      </c>
      <c r="E395" s="4" t="s">
        <v>21</v>
      </c>
      <c r="F395" s="4" t="s">
        <v>59</v>
      </c>
      <c r="G395" s="4" t="s">
        <v>38</v>
      </c>
      <c r="H395" s="4" t="s">
        <v>39</v>
      </c>
      <c r="I395" s="4">
        <v>3</v>
      </c>
      <c r="J395" s="6">
        <v>112.73</v>
      </c>
      <c r="K395" s="7">
        <v>0.1</v>
      </c>
      <c r="L395" s="6">
        <f t="shared" si="12"/>
        <v>304.37099999999998</v>
      </c>
      <c r="M395" s="6">
        <v>93.47</v>
      </c>
      <c r="N395" s="8">
        <f t="shared" si="13"/>
        <v>23.961000000000013</v>
      </c>
      <c r="O395" s="4" t="s">
        <v>60</v>
      </c>
      <c r="P395" s="4" t="s">
        <v>118</v>
      </c>
      <c r="Q395" s="4">
        <v>4</v>
      </c>
      <c r="R395" s="4" t="str">
        <f>TEXT(Table1[[#This Row],[Order Date]],"mmm")</f>
        <v>May</v>
      </c>
      <c r="S395" s="4" t="str">
        <f>TEXT(Table1[[#This Row],[Order Date]],"mm")</f>
        <v>05</v>
      </c>
      <c r="T395" s="4" t="str">
        <f>IF(Table1[[#This Row],[Sales]]&lt;0,"loss","profit")</f>
        <v>profit</v>
      </c>
      <c r="U395" s="4" t="str" cm="1">
        <f t="array" ref="U395">_xlfn.IFS(Table1[[#This Row],[Sales]]&gt;2000,"large",Table1[[#This Row],[Sales]]&gt;=500,"medium",Table1[[#This Row],[Sales]]&lt;500,"small")</f>
        <v>small</v>
      </c>
      <c r="V395" s="22">
        <f>Table1[[#This Row],[Profit]]/Table1[[#This Row],[Sales]]*100</f>
        <v>7.8723005805415154</v>
      </c>
    </row>
    <row r="396" spans="1:22" x14ac:dyDescent="0.35">
      <c r="A396" s="4" t="s">
        <v>718</v>
      </c>
      <c r="B396" s="5">
        <v>45798</v>
      </c>
      <c r="C396" s="4" t="s">
        <v>719</v>
      </c>
      <c r="D396" s="4" t="s">
        <v>43</v>
      </c>
      <c r="E396" s="4" t="s">
        <v>36</v>
      </c>
      <c r="F396" s="4" t="s">
        <v>201</v>
      </c>
      <c r="G396" s="4" t="s">
        <v>38</v>
      </c>
      <c r="H396" s="4" t="s">
        <v>96</v>
      </c>
      <c r="I396" s="4">
        <v>2</v>
      </c>
      <c r="J396" s="6">
        <v>431.96</v>
      </c>
      <c r="K396" s="7">
        <v>0.2</v>
      </c>
      <c r="L396" s="6">
        <f t="shared" si="12"/>
        <v>691.13599999999997</v>
      </c>
      <c r="M396" s="6">
        <v>358.36</v>
      </c>
      <c r="N396" s="8">
        <f t="shared" si="13"/>
        <v>-25.58400000000006</v>
      </c>
      <c r="O396" s="4" t="s">
        <v>84</v>
      </c>
      <c r="P396" s="4" t="s">
        <v>75</v>
      </c>
      <c r="Q396" s="4">
        <v>4</v>
      </c>
      <c r="R396" s="4" t="str">
        <f>TEXT(Table1[[#This Row],[Order Date]],"mmm")</f>
        <v>May</v>
      </c>
      <c r="S396" s="4" t="str">
        <f>TEXT(Table1[[#This Row],[Order Date]],"mm")</f>
        <v>05</v>
      </c>
      <c r="T396" s="4" t="str">
        <f>IF(Table1[[#This Row],[Sales]]&lt;0,"loss","profit")</f>
        <v>profit</v>
      </c>
      <c r="U396" s="4" t="str" cm="1">
        <f t="array" ref="U396">_xlfn.IFS(Table1[[#This Row],[Sales]]&gt;2000,"large",Table1[[#This Row],[Sales]]&gt;=500,"medium",Table1[[#This Row],[Sales]]&lt;500,"small")</f>
        <v>medium</v>
      </c>
      <c r="V396" s="22">
        <f>Table1[[#This Row],[Profit]]/Table1[[#This Row],[Sales]]*100</f>
        <v>-3.7017316418186961</v>
      </c>
    </row>
    <row r="397" spans="1:22" x14ac:dyDescent="0.35">
      <c r="A397" s="4" t="s">
        <v>720</v>
      </c>
      <c r="B397" s="5">
        <v>45798</v>
      </c>
      <c r="C397" s="4" t="s">
        <v>369</v>
      </c>
      <c r="D397" s="4" t="s">
        <v>20</v>
      </c>
      <c r="E397" s="4" t="s">
        <v>21</v>
      </c>
      <c r="F397" s="4" t="s">
        <v>59</v>
      </c>
      <c r="G397" s="4" t="s">
        <v>23</v>
      </c>
      <c r="H397" s="4" t="s">
        <v>71</v>
      </c>
      <c r="I397" s="4">
        <v>2</v>
      </c>
      <c r="J397" s="6">
        <v>172.22</v>
      </c>
      <c r="K397" s="7">
        <v>0</v>
      </c>
      <c r="L397" s="6">
        <f t="shared" si="12"/>
        <v>344.44</v>
      </c>
      <c r="M397" s="6">
        <v>87.67</v>
      </c>
      <c r="N397" s="8">
        <f t="shared" si="13"/>
        <v>169.1</v>
      </c>
      <c r="O397" s="4" t="s">
        <v>25</v>
      </c>
      <c r="P397" s="4" t="s">
        <v>75</v>
      </c>
      <c r="Q397" s="4">
        <v>3</v>
      </c>
      <c r="R397" s="4" t="str">
        <f>TEXT(Table1[[#This Row],[Order Date]],"mmm")</f>
        <v>May</v>
      </c>
      <c r="S397" s="4" t="str">
        <f>TEXT(Table1[[#This Row],[Order Date]],"mm")</f>
        <v>05</v>
      </c>
      <c r="T397" s="4" t="str">
        <f>IF(Table1[[#This Row],[Sales]]&lt;0,"loss","profit")</f>
        <v>profit</v>
      </c>
      <c r="U397" s="4" t="str" cm="1">
        <f t="array" ref="U397">_xlfn.IFS(Table1[[#This Row],[Sales]]&gt;2000,"large",Table1[[#This Row],[Sales]]&gt;=500,"medium",Table1[[#This Row],[Sales]]&lt;500,"small")</f>
        <v>small</v>
      </c>
      <c r="V397" s="22">
        <f>Table1[[#This Row],[Profit]]/Table1[[#This Row],[Sales]]*100</f>
        <v>49.094181860411098</v>
      </c>
    </row>
    <row r="398" spans="1:22" x14ac:dyDescent="0.35">
      <c r="A398" s="4" t="s">
        <v>721</v>
      </c>
      <c r="B398" s="5">
        <v>45799</v>
      </c>
      <c r="C398" s="4" t="s">
        <v>722</v>
      </c>
      <c r="D398" s="4" t="s">
        <v>47</v>
      </c>
      <c r="E398" s="4" t="s">
        <v>36</v>
      </c>
      <c r="F398" s="4" t="s">
        <v>48</v>
      </c>
      <c r="G398" s="4" t="s">
        <v>38</v>
      </c>
      <c r="H398" s="4" t="s">
        <v>39</v>
      </c>
      <c r="I398" s="4">
        <v>3</v>
      </c>
      <c r="J398" s="6">
        <v>108.44</v>
      </c>
      <c r="K398" s="7">
        <v>0</v>
      </c>
      <c r="L398" s="6">
        <f t="shared" si="12"/>
        <v>325.32</v>
      </c>
      <c r="M398" s="6">
        <v>84.85</v>
      </c>
      <c r="N398" s="8">
        <f t="shared" si="13"/>
        <v>70.77000000000001</v>
      </c>
      <c r="O398" s="4" t="s">
        <v>60</v>
      </c>
      <c r="P398" s="4" t="s">
        <v>61</v>
      </c>
      <c r="Q398" s="4">
        <v>5</v>
      </c>
      <c r="R398" s="4" t="str">
        <f>TEXT(Table1[[#This Row],[Order Date]],"mmm")</f>
        <v>May</v>
      </c>
      <c r="S398" s="4" t="str">
        <f>TEXT(Table1[[#This Row],[Order Date]],"mm")</f>
        <v>05</v>
      </c>
      <c r="T398" s="4" t="str">
        <f>IF(Table1[[#This Row],[Sales]]&lt;0,"loss","profit")</f>
        <v>profit</v>
      </c>
      <c r="U398" s="4" t="str" cm="1">
        <f t="array" ref="U398">_xlfn.IFS(Table1[[#This Row],[Sales]]&gt;2000,"large",Table1[[#This Row],[Sales]]&gt;=500,"medium",Table1[[#This Row],[Sales]]&lt;500,"small")</f>
        <v>small</v>
      </c>
      <c r="V398" s="22">
        <f>Table1[[#This Row],[Profit]]/Table1[[#This Row],[Sales]]*100</f>
        <v>21.753965326447808</v>
      </c>
    </row>
    <row r="399" spans="1:22" x14ac:dyDescent="0.35">
      <c r="A399" s="4" t="s">
        <v>723</v>
      </c>
      <c r="B399" s="5">
        <v>45799</v>
      </c>
      <c r="C399" s="4" t="s">
        <v>626</v>
      </c>
      <c r="D399" s="4" t="s">
        <v>43</v>
      </c>
      <c r="E399" s="4" t="s">
        <v>87</v>
      </c>
      <c r="F399" s="4" t="s">
        <v>92</v>
      </c>
      <c r="G399" s="4" t="s">
        <v>31</v>
      </c>
      <c r="H399" s="4" t="s">
        <v>32</v>
      </c>
      <c r="I399" s="4">
        <v>1</v>
      </c>
      <c r="J399" s="6">
        <v>192.02</v>
      </c>
      <c r="K399" s="7">
        <v>0.05</v>
      </c>
      <c r="L399" s="6">
        <f t="shared" si="12"/>
        <v>182.41900000000001</v>
      </c>
      <c r="M399" s="6">
        <v>137.28</v>
      </c>
      <c r="N399" s="8">
        <f t="shared" si="13"/>
        <v>45.13900000000001</v>
      </c>
      <c r="O399" s="4" t="s">
        <v>60</v>
      </c>
      <c r="P399" s="4" t="s">
        <v>61</v>
      </c>
      <c r="Q399" s="4">
        <v>4</v>
      </c>
      <c r="R399" s="4" t="str">
        <f>TEXT(Table1[[#This Row],[Order Date]],"mmm")</f>
        <v>May</v>
      </c>
      <c r="S399" s="4" t="str">
        <f>TEXT(Table1[[#This Row],[Order Date]],"mm")</f>
        <v>05</v>
      </c>
      <c r="T399" s="4" t="str">
        <f>IF(Table1[[#This Row],[Sales]]&lt;0,"loss","profit")</f>
        <v>profit</v>
      </c>
      <c r="U399" s="4" t="str" cm="1">
        <f t="array" ref="U399">_xlfn.IFS(Table1[[#This Row],[Sales]]&gt;2000,"large",Table1[[#This Row],[Sales]]&gt;=500,"medium",Table1[[#This Row],[Sales]]&lt;500,"small")</f>
        <v>small</v>
      </c>
      <c r="V399" s="22">
        <f>Table1[[#This Row],[Profit]]/Table1[[#This Row],[Sales]]*100</f>
        <v>24.744681200971392</v>
      </c>
    </row>
    <row r="400" spans="1:22" x14ac:dyDescent="0.35">
      <c r="A400" s="4" t="s">
        <v>724</v>
      </c>
      <c r="B400" s="5">
        <v>45799</v>
      </c>
      <c r="C400" s="4" t="s">
        <v>598</v>
      </c>
      <c r="D400" s="4" t="s">
        <v>47</v>
      </c>
      <c r="E400" s="4" t="s">
        <v>29</v>
      </c>
      <c r="F400" s="4" t="s">
        <v>54</v>
      </c>
      <c r="G400" s="4" t="s">
        <v>31</v>
      </c>
      <c r="H400" s="4" t="s">
        <v>32</v>
      </c>
      <c r="I400" s="4">
        <v>3</v>
      </c>
      <c r="J400" s="6">
        <v>318.41000000000003</v>
      </c>
      <c r="K400" s="7">
        <v>0.1</v>
      </c>
      <c r="L400" s="6">
        <f t="shared" si="12"/>
        <v>859.70699999999999</v>
      </c>
      <c r="M400" s="6">
        <v>212.51</v>
      </c>
      <c r="N400" s="8">
        <f t="shared" si="13"/>
        <v>222.17700000000002</v>
      </c>
      <c r="O400" s="4" t="s">
        <v>51</v>
      </c>
      <c r="P400" s="4" t="s">
        <v>118</v>
      </c>
      <c r="Q400" s="4">
        <v>2</v>
      </c>
      <c r="R400" s="4" t="str">
        <f>TEXT(Table1[[#This Row],[Order Date]],"mmm")</f>
        <v>May</v>
      </c>
      <c r="S400" s="4" t="str">
        <f>TEXT(Table1[[#This Row],[Order Date]],"mm")</f>
        <v>05</v>
      </c>
      <c r="T400" s="4" t="str">
        <f>IF(Table1[[#This Row],[Sales]]&lt;0,"loss","profit")</f>
        <v>profit</v>
      </c>
      <c r="U400" s="4" t="str" cm="1">
        <f t="array" ref="U400">_xlfn.IFS(Table1[[#This Row],[Sales]]&gt;2000,"large",Table1[[#This Row],[Sales]]&gt;=500,"medium",Table1[[#This Row],[Sales]]&lt;500,"small")</f>
        <v>medium</v>
      </c>
      <c r="V400" s="22">
        <f>Table1[[#This Row],[Profit]]/Table1[[#This Row],[Sales]]*100</f>
        <v>25.843339649438708</v>
      </c>
    </row>
    <row r="401" spans="1:22" x14ac:dyDescent="0.35">
      <c r="A401" s="4" t="s">
        <v>725</v>
      </c>
      <c r="B401" s="5">
        <v>45799</v>
      </c>
      <c r="C401" s="4" t="s">
        <v>726</v>
      </c>
      <c r="D401" s="4" t="s">
        <v>47</v>
      </c>
      <c r="E401" s="4" t="s">
        <v>29</v>
      </c>
      <c r="F401" s="4" t="s">
        <v>30</v>
      </c>
      <c r="G401" s="4" t="s">
        <v>67</v>
      </c>
      <c r="H401" s="4" t="s">
        <v>121</v>
      </c>
      <c r="I401" s="4">
        <v>2</v>
      </c>
      <c r="J401" s="6">
        <v>99.43</v>
      </c>
      <c r="K401" s="7">
        <v>0.2</v>
      </c>
      <c r="L401" s="6">
        <f t="shared" si="12"/>
        <v>159.08800000000002</v>
      </c>
      <c r="M401" s="6">
        <v>70.319999999999993</v>
      </c>
      <c r="N401" s="8">
        <f t="shared" si="13"/>
        <v>18.448000000000036</v>
      </c>
      <c r="O401" s="4" t="s">
        <v>40</v>
      </c>
      <c r="P401" s="4" t="s">
        <v>97</v>
      </c>
      <c r="Q401" s="4">
        <v>4</v>
      </c>
      <c r="R401" s="4" t="str">
        <f>TEXT(Table1[[#This Row],[Order Date]],"mmm")</f>
        <v>May</v>
      </c>
      <c r="S401" s="4" t="str">
        <f>TEXT(Table1[[#This Row],[Order Date]],"mm")</f>
        <v>05</v>
      </c>
      <c r="T401" s="4" t="str">
        <f>IF(Table1[[#This Row],[Sales]]&lt;0,"loss","profit")</f>
        <v>profit</v>
      </c>
      <c r="U401" s="4" t="str" cm="1">
        <f t="array" ref="U401">_xlfn.IFS(Table1[[#This Row],[Sales]]&gt;2000,"large",Table1[[#This Row],[Sales]]&gt;=500,"medium",Table1[[#This Row],[Sales]]&lt;500,"small")</f>
        <v>small</v>
      </c>
      <c r="V401" s="22">
        <f>Table1[[#This Row],[Profit]]/Table1[[#This Row],[Sales]]*100</f>
        <v>11.596097757216153</v>
      </c>
    </row>
    <row r="402" spans="1:22" x14ac:dyDescent="0.35">
      <c r="A402" s="4" t="s">
        <v>727</v>
      </c>
      <c r="B402" s="5">
        <v>45800</v>
      </c>
      <c r="C402" s="4" t="s">
        <v>442</v>
      </c>
      <c r="D402" s="4" t="s">
        <v>47</v>
      </c>
      <c r="E402" s="4" t="s">
        <v>29</v>
      </c>
      <c r="F402" s="4" t="s">
        <v>30</v>
      </c>
      <c r="G402" s="4" t="s">
        <v>38</v>
      </c>
      <c r="H402" s="4" t="s">
        <v>96</v>
      </c>
      <c r="I402" s="4">
        <v>3</v>
      </c>
      <c r="J402" s="6">
        <v>156.52000000000001</v>
      </c>
      <c r="K402" s="7">
        <v>0.2</v>
      </c>
      <c r="L402" s="6">
        <f t="shared" si="12"/>
        <v>375.64800000000008</v>
      </c>
      <c r="M402" s="6">
        <v>119.1</v>
      </c>
      <c r="N402" s="8">
        <f t="shared" si="13"/>
        <v>18.348000000000127</v>
      </c>
      <c r="O402" s="4" t="s">
        <v>60</v>
      </c>
      <c r="P402" s="4" t="s">
        <v>118</v>
      </c>
      <c r="Q402" s="4">
        <v>5</v>
      </c>
      <c r="R402" s="4" t="str">
        <f>TEXT(Table1[[#This Row],[Order Date]],"mmm")</f>
        <v>May</v>
      </c>
      <c r="S402" s="4" t="str">
        <f>TEXT(Table1[[#This Row],[Order Date]],"mm")</f>
        <v>05</v>
      </c>
      <c r="T402" s="4" t="str">
        <f>IF(Table1[[#This Row],[Sales]]&lt;0,"loss","profit")</f>
        <v>profit</v>
      </c>
      <c r="U402" s="4" t="str" cm="1">
        <f t="array" ref="U402">_xlfn.IFS(Table1[[#This Row],[Sales]]&gt;2000,"large",Table1[[#This Row],[Sales]]&gt;=500,"medium",Table1[[#This Row],[Sales]]&lt;500,"small")</f>
        <v>small</v>
      </c>
      <c r="V402" s="22">
        <f>Table1[[#This Row],[Profit]]/Table1[[#This Row],[Sales]]*100</f>
        <v>4.8843598262203241</v>
      </c>
    </row>
    <row r="403" spans="1:22" x14ac:dyDescent="0.35">
      <c r="A403" s="4" t="s">
        <v>728</v>
      </c>
      <c r="B403" s="5">
        <v>45800</v>
      </c>
      <c r="C403" s="4" t="s">
        <v>729</v>
      </c>
      <c r="D403" s="4" t="s">
        <v>20</v>
      </c>
      <c r="E403" s="4" t="s">
        <v>21</v>
      </c>
      <c r="F403" s="4" t="s">
        <v>81</v>
      </c>
      <c r="G403" s="4" t="s">
        <v>23</v>
      </c>
      <c r="H403" s="4" t="s">
        <v>71</v>
      </c>
      <c r="I403" s="4">
        <v>3</v>
      </c>
      <c r="J403" s="6">
        <v>103.62</v>
      </c>
      <c r="K403" s="7">
        <v>0</v>
      </c>
      <c r="L403" s="6">
        <f t="shared" si="12"/>
        <v>310.86</v>
      </c>
      <c r="M403" s="6">
        <v>60.43</v>
      </c>
      <c r="N403" s="8">
        <f t="shared" si="13"/>
        <v>129.57000000000002</v>
      </c>
      <c r="O403" s="4" t="s">
        <v>84</v>
      </c>
      <c r="P403" s="4" t="s">
        <v>72</v>
      </c>
      <c r="Q403" s="4">
        <v>4</v>
      </c>
      <c r="R403" s="4" t="str">
        <f>TEXT(Table1[[#This Row],[Order Date]],"mmm")</f>
        <v>May</v>
      </c>
      <c r="S403" s="4" t="str">
        <f>TEXT(Table1[[#This Row],[Order Date]],"mm")</f>
        <v>05</v>
      </c>
      <c r="T403" s="4" t="str">
        <f>IF(Table1[[#This Row],[Sales]]&lt;0,"loss","profit")</f>
        <v>profit</v>
      </c>
      <c r="U403" s="4" t="str" cm="1">
        <f t="array" ref="U403">_xlfn.IFS(Table1[[#This Row],[Sales]]&gt;2000,"large",Table1[[#This Row],[Sales]]&gt;=500,"medium",Table1[[#This Row],[Sales]]&lt;500,"small")</f>
        <v>small</v>
      </c>
      <c r="V403" s="22">
        <f>Table1[[#This Row],[Profit]]/Table1[[#This Row],[Sales]]*100</f>
        <v>41.681142636556658</v>
      </c>
    </row>
    <row r="404" spans="1:22" x14ac:dyDescent="0.35">
      <c r="A404" s="4" t="s">
        <v>730</v>
      </c>
      <c r="B404" s="5">
        <v>45800</v>
      </c>
      <c r="C404" s="4" t="s">
        <v>631</v>
      </c>
      <c r="D404" s="4" t="s">
        <v>20</v>
      </c>
      <c r="E404" s="4" t="s">
        <v>21</v>
      </c>
      <c r="F404" s="4" t="s">
        <v>22</v>
      </c>
      <c r="G404" s="4" t="s">
        <v>31</v>
      </c>
      <c r="H404" s="4" t="s">
        <v>125</v>
      </c>
      <c r="I404" s="4">
        <v>1</v>
      </c>
      <c r="J404" s="6">
        <v>83.26</v>
      </c>
      <c r="K404" s="7">
        <v>0</v>
      </c>
      <c r="L404" s="6">
        <f t="shared" si="12"/>
        <v>83.26</v>
      </c>
      <c r="M404" s="6">
        <v>62.27</v>
      </c>
      <c r="N404" s="8">
        <f t="shared" si="13"/>
        <v>20.990000000000002</v>
      </c>
      <c r="O404" s="4" t="s">
        <v>40</v>
      </c>
      <c r="P404" s="4" t="s">
        <v>118</v>
      </c>
      <c r="Q404" s="4">
        <v>3</v>
      </c>
      <c r="R404" s="4" t="str">
        <f>TEXT(Table1[[#This Row],[Order Date]],"mmm")</f>
        <v>May</v>
      </c>
      <c r="S404" s="4" t="str">
        <f>TEXT(Table1[[#This Row],[Order Date]],"mm")</f>
        <v>05</v>
      </c>
      <c r="T404" s="4" t="str">
        <f>IF(Table1[[#This Row],[Sales]]&lt;0,"loss","profit")</f>
        <v>profit</v>
      </c>
      <c r="U404" s="4" t="str" cm="1">
        <f t="array" ref="U404">_xlfn.IFS(Table1[[#This Row],[Sales]]&gt;2000,"large",Table1[[#This Row],[Sales]]&gt;=500,"medium",Table1[[#This Row],[Sales]]&lt;500,"small")</f>
        <v>small</v>
      </c>
      <c r="V404" s="22">
        <f>Table1[[#This Row],[Profit]]/Table1[[#This Row],[Sales]]*100</f>
        <v>25.210184962767237</v>
      </c>
    </row>
    <row r="405" spans="1:22" x14ac:dyDescent="0.35">
      <c r="A405" s="4" t="s">
        <v>731</v>
      </c>
      <c r="B405" s="5">
        <v>45800</v>
      </c>
      <c r="C405" s="4" t="s">
        <v>732</v>
      </c>
      <c r="D405" s="4" t="s">
        <v>20</v>
      </c>
      <c r="E405" s="4" t="s">
        <v>21</v>
      </c>
      <c r="F405" s="4" t="s">
        <v>59</v>
      </c>
      <c r="G405" s="4" t="s">
        <v>67</v>
      </c>
      <c r="H405" s="4" t="s">
        <v>93</v>
      </c>
      <c r="I405" s="4">
        <v>3</v>
      </c>
      <c r="J405" s="6">
        <v>136.34</v>
      </c>
      <c r="K405" s="7">
        <v>0.15</v>
      </c>
      <c r="L405" s="6">
        <f t="shared" si="12"/>
        <v>347.66699999999997</v>
      </c>
      <c r="M405" s="6">
        <v>92.18</v>
      </c>
      <c r="N405" s="8">
        <f t="shared" si="13"/>
        <v>71.126999999999953</v>
      </c>
      <c r="O405" s="4" t="s">
        <v>60</v>
      </c>
      <c r="P405" s="4" t="s">
        <v>56</v>
      </c>
      <c r="Q405" s="4">
        <v>2</v>
      </c>
      <c r="R405" s="4" t="str">
        <f>TEXT(Table1[[#This Row],[Order Date]],"mmm")</f>
        <v>May</v>
      </c>
      <c r="S405" s="4" t="str">
        <f>TEXT(Table1[[#This Row],[Order Date]],"mm")</f>
        <v>05</v>
      </c>
      <c r="T405" s="4" t="str">
        <f>IF(Table1[[#This Row],[Sales]]&lt;0,"loss","profit")</f>
        <v>profit</v>
      </c>
      <c r="U405" s="4" t="str" cm="1">
        <f t="array" ref="U405">_xlfn.IFS(Table1[[#This Row],[Sales]]&gt;2000,"large",Table1[[#This Row],[Sales]]&gt;=500,"medium",Table1[[#This Row],[Sales]]&lt;500,"small")</f>
        <v>small</v>
      </c>
      <c r="V405" s="22">
        <f>Table1[[#This Row],[Profit]]/Table1[[#This Row],[Sales]]*100</f>
        <v>20.4583696468172</v>
      </c>
    </row>
    <row r="406" spans="1:22" x14ac:dyDescent="0.35">
      <c r="A406" s="4" t="s">
        <v>733</v>
      </c>
      <c r="B406" s="5">
        <v>45800</v>
      </c>
      <c r="C406" s="4" t="s">
        <v>734</v>
      </c>
      <c r="D406" s="4" t="s">
        <v>20</v>
      </c>
      <c r="E406" s="4" t="s">
        <v>87</v>
      </c>
      <c r="F406" s="4" t="s">
        <v>88</v>
      </c>
      <c r="G406" s="4" t="s">
        <v>23</v>
      </c>
      <c r="H406" s="4" t="s">
        <v>44</v>
      </c>
      <c r="I406" s="4">
        <v>3</v>
      </c>
      <c r="J406" s="6">
        <v>118.77</v>
      </c>
      <c r="K406" s="7">
        <v>0</v>
      </c>
      <c r="L406" s="6">
        <f t="shared" si="12"/>
        <v>356.31</v>
      </c>
      <c r="M406" s="6">
        <v>50.48</v>
      </c>
      <c r="N406" s="8">
        <f t="shared" si="13"/>
        <v>204.87</v>
      </c>
      <c r="O406" s="4" t="s">
        <v>60</v>
      </c>
      <c r="P406" s="4" t="s">
        <v>26</v>
      </c>
      <c r="Q406" s="4">
        <v>5</v>
      </c>
      <c r="R406" s="4" t="str">
        <f>TEXT(Table1[[#This Row],[Order Date]],"mmm")</f>
        <v>May</v>
      </c>
      <c r="S406" s="4" t="str">
        <f>TEXT(Table1[[#This Row],[Order Date]],"mm")</f>
        <v>05</v>
      </c>
      <c r="T406" s="4" t="str">
        <f>IF(Table1[[#This Row],[Sales]]&lt;0,"loss","profit")</f>
        <v>profit</v>
      </c>
      <c r="U406" s="4" t="str" cm="1">
        <f t="array" ref="U406">_xlfn.IFS(Table1[[#This Row],[Sales]]&gt;2000,"large",Table1[[#This Row],[Sales]]&gt;=500,"medium",Table1[[#This Row],[Sales]]&lt;500,"small")</f>
        <v>small</v>
      </c>
      <c r="V406" s="22">
        <f>Table1[[#This Row],[Profit]]/Table1[[#This Row],[Sales]]*100</f>
        <v>57.497684600488341</v>
      </c>
    </row>
    <row r="407" spans="1:22" x14ac:dyDescent="0.35">
      <c r="A407" s="4" t="s">
        <v>735</v>
      </c>
      <c r="B407" s="5">
        <v>45800</v>
      </c>
      <c r="C407" s="4" t="s">
        <v>294</v>
      </c>
      <c r="D407" s="4" t="s">
        <v>47</v>
      </c>
      <c r="E407" s="4" t="s">
        <v>36</v>
      </c>
      <c r="F407" s="4" t="s">
        <v>201</v>
      </c>
      <c r="G407" s="4" t="s">
        <v>67</v>
      </c>
      <c r="H407" s="4" t="s">
        <v>68</v>
      </c>
      <c r="I407" s="4">
        <v>1</v>
      </c>
      <c r="J407" s="6">
        <v>923</v>
      </c>
      <c r="K407" s="7">
        <v>0</v>
      </c>
      <c r="L407" s="6">
        <f t="shared" si="12"/>
        <v>923</v>
      </c>
      <c r="M407" s="6">
        <v>615.16</v>
      </c>
      <c r="N407" s="8">
        <f t="shared" si="13"/>
        <v>307.84000000000003</v>
      </c>
      <c r="O407" s="4" t="s">
        <v>40</v>
      </c>
      <c r="P407" s="4" t="s">
        <v>97</v>
      </c>
      <c r="Q407" s="4">
        <v>4</v>
      </c>
      <c r="R407" s="4" t="str">
        <f>TEXT(Table1[[#This Row],[Order Date]],"mmm")</f>
        <v>May</v>
      </c>
      <c r="S407" s="4" t="str">
        <f>TEXT(Table1[[#This Row],[Order Date]],"mm")</f>
        <v>05</v>
      </c>
      <c r="T407" s="4" t="str">
        <f>IF(Table1[[#This Row],[Sales]]&lt;0,"loss","profit")</f>
        <v>profit</v>
      </c>
      <c r="U407" s="4" t="str" cm="1">
        <f t="array" ref="U407">_xlfn.IFS(Table1[[#This Row],[Sales]]&gt;2000,"large",Table1[[#This Row],[Sales]]&gt;=500,"medium",Table1[[#This Row],[Sales]]&lt;500,"small")</f>
        <v>medium</v>
      </c>
      <c r="V407" s="22">
        <f>Table1[[#This Row],[Profit]]/Table1[[#This Row],[Sales]]*100</f>
        <v>33.352112676056336</v>
      </c>
    </row>
    <row r="408" spans="1:22" x14ac:dyDescent="0.35">
      <c r="A408" s="4" t="s">
        <v>736</v>
      </c>
      <c r="B408" s="5">
        <v>45800</v>
      </c>
      <c r="C408" s="4" t="s">
        <v>429</v>
      </c>
      <c r="D408" s="4" t="s">
        <v>47</v>
      </c>
      <c r="E408" s="4" t="s">
        <v>87</v>
      </c>
      <c r="F408" s="4" t="s">
        <v>124</v>
      </c>
      <c r="G408" s="4" t="s">
        <v>38</v>
      </c>
      <c r="H408" s="4" t="s">
        <v>55</v>
      </c>
      <c r="I408" s="4">
        <v>2</v>
      </c>
      <c r="J408" s="6">
        <v>78.040000000000006</v>
      </c>
      <c r="K408" s="7">
        <v>0.1</v>
      </c>
      <c r="L408" s="6">
        <f t="shared" si="12"/>
        <v>140.47200000000001</v>
      </c>
      <c r="M408" s="6">
        <v>69.42</v>
      </c>
      <c r="N408" s="8">
        <f t="shared" si="13"/>
        <v>1.632000000000005</v>
      </c>
      <c r="O408" s="4" t="s">
        <v>51</v>
      </c>
      <c r="P408" s="4" t="s">
        <v>97</v>
      </c>
      <c r="Q408" s="4">
        <v>3</v>
      </c>
      <c r="R408" s="4" t="str">
        <f>TEXT(Table1[[#This Row],[Order Date]],"mmm")</f>
        <v>May</v>
      </c>
      <c r="S408" s="4" t="str">
        <f>TEXT(Table1[[#This Row],[Order Date]],"mm")</f>
        <v>05</v>
      </c>
      <c r="T408" s="4" t="str">
        <f>IF(Table1[[#This Row],[Sales]]&lt;0,"loss","profit")</f>
        <v>profit</v>
      </c>
      <c r="U408" s="4" t="str" cm="1">
        <f t="array" ref="U408">_xlfn.IFS(Table1[[#This Row],[Sales]]&gt;2000,"large",Table1[[#This Row],[Sales]]&gt;=500,"medium",Table1[[#This Row],[Sales]]&lt;500,"small")</f>
        <v>small</v>
      </c>
      <c r="V408" s="22">
        <f>Table1[[#This Row],[Profit]]/Table1[[#This Row],[Sales]]*100</f>
        <v>1.161797368870668</v>
      </c>
    </row>
    <row r="409" spans="1:22" x14ac:dyDescent="0.35">
      <c r="A409" s="4" t="s">
        <v>737</v>
      </c>
      <c r="B409" s="5">
        <v>45800</v>
      </c>
      <c r="C409" s="4" t="s">
        <v>264</v>
      </c>
      <c r="D409" s="4" t="s">
        <v>47</v>
      </c>
      <c r="E409" s="4" t="s">
        <v>21</v>
      </c>
      <c r="F409" s="4" t="s">
        <v>22</v>
      </c>
      <c r="G409" s="4" t="s">
        <v>23</v>
      </c>
      <c r="H409" s="4" t="s">
        <v>44</v>
      </c>
      <c r="I409" s="4">
        <v>3</v>
      </c>
      <c r="J409" s="6">
        <v>125.85</v>
      </c>
      <c r="K409" s="7">
        <v>0</v>
      </c>
      <c r="L409" s="6">
        <f t="shared" si="12"/>
        <v>377.54999999999995</v>
      </c>
      <c r="M409" s="6">
        <v>78.55</v>
      </c>
      <c r="N409" s="8">
        <f t="shared" si="13"/>
        <v>141.89999999999998</v>
      </c>
      <c r="O409" s="4" t="s">
        <v>40</v>
      </c>
      <c r="P409" s="4" t="s">
        <v>61</v>
      </c>
      <c r="Q409" s="4">
        <v>4</v>
      </c>
      <c r="R409" s="4" t="str">
        <f>TEXT(Table1[[#This Row],[Order Date]],"mmm")</f>
        <v>May</v>
      </c>
      <c r="S409" s="4" t="str">
        <f>TEXT(Table1[[#This Row],[Order Date]],"mm")</f>
        <v>05</v>
      </c>
      <c r="T409" s="4" t="str">
        <f>IF(Table1[[#This Row],[Sales]]&lt;0,"loss","profit")</f>
        <v>profit</v>
      </c>
      <c r="U409" s="4" t="str" cm="1">
        <f t="array" ref="U409">_xlfn.IFS(Table1[[#This Row],[Sales]]&gt;2000,"large",Table1[[#This Row],[Sales]]&gt;=500,"medium",Table1[[#This Row],[Sales]]&lt;500,"small")</f>
        <v>small</v>
      </c>
      <c r="V409" s="22">
        <f>Table1[[#This Row],[Profit]]/Table1[[#This Row],[Sales]]*100</f>
        <v>37.584425903853791</v>
      </c>
    </row>
    <row r="410" spans="1:22" x14ac:dyDescent="0.35">
      <c r="A410" s="4" t="s">
        <v>738</v>
      </c>
      <c r="B410" s="5">
        <v>45800</v>
      </c>
      <c r="C410" s="4" t="s">
        <v>739</v>
      </c>
      <c r="D410" s="4" t="s">
        <v>43</v>
      </c>
      <c r="E410" s="4" t="s">
        <v>36</v>
      </c>
      <c r="F410" s="4" t="s">
        <v>201</v>
      </c>
      <c r="G410" s="4" t="s">
        <v>38</v>
      </c>
      <c r="H410" s="4" t="s">
        <v>89</v>
      </c>
      <c r="I410" s="4">
        <v>3</v>
      </c>
      <c r="J410" s="6">
        <v>1148.45</v>
      </c>
      <c r="K410" s="7">
        <v>0.05</v>
      </c>
      <c r="L410" s="6">
        <f t="shared" si="12"/>
        <v>3273.0825</v>
      </c>
      <c r="M410" s="6">
        <v>987.71</v>
      </c>
      <c r="N410" s="8">
        <f t="shared" si="13"/>
        <v>309.95249999999987</v>
      </c>
      <c r="O410" s="4" t="s">
        <v>40</v>
      </c>
      <c r="P410" s="4" t="s">
        <v>97</v>
      </c>
      <c r="Q410" s="4">
        <v>4</v>
      </c>
      <c r="R410" s="4" t="str">
        <f>TEXT(Table1[[#This Row],[Order Date]],"mmm")</f>
        <v>May</v>
      </c>
      <c r="S410" s="4" t="str">
        <f>TEXT(Table1[[#This Row],[Order Date]],"mm")</f>
        <v>05</v>
      </c>
      <c r="T410" s="4" t="str">
        <f>IF(Table1[[#This Row],[Sales]]&lt;0,"loss","profit")</f>
        <v>profit</v>
      </c>
      <c r="U410" s="4" t="str" cm="1">
        <f t="array" ref="U410">_xlfn.IFS(Table1[[#This Row],[Sales]]&gt;2000,"large",Table1[[#This Row],[Sales]]&gt;=500,"medium",Table1[[#This Row],[Sales]]&lt;500,"small")</f>
        <v>large</v>
      </c>
      <c r="V410" s="22">
        <f>Table1[[#This Row],[Profit]]/Table1[[#This Row],[Sales]]*100</f>
        <v>9.4697429716482819</v>
      </c>
    </row>
    <row r="411" spans="1:22" x14ac:dyDescent="0.35">
      <c r="A411" s="4" t="s">
        <v>740</v>
      </c>
      <c r="B411" s="5">
        <v>45801</v>
      </c>
      <c r="C411" s="4" t="s">
        <v>127</v>
      </c>
      <c r="D411" s="4" t="s">
        <v>43</v>
      </c>
      <c r="E411" s="4" t="s">
        <v>29</v>
      </c>
      <c r="F411" s="4" t="s">
        <v>54</v>
      </c>
      <c r="G411" s="4" t="s">
        <v>31</v>
      </c>
      <c r="H411" s="4" t="s">
        <v>147</v>
      </c>
      <c r="I411" s="4">
        <v>3</v>
      </c>
      <c r="J411" s="6">
        <v>76.31</v>
      </c>
      <c r="K411" s="7">
        <v>0.2</v>
      </c>
      <c r="L411" s="6">
        <f t="shared" si="12"/>
        <v>183.14400000000001</v>
      </c>
      <c r="M411" s="6">
        <v>57.18</v>
      </c>
      <c r="N411" s="8">
        <f t="shared" si="13"/>
        <v>11.604000000000013</v>
      </c>
      <c r="O411" s="4" t="s">
        <v>25</v>
      </c>
      <c r="P411" s="4" t="s">
        <v>97</v>
      </c>
      <c r="Q411" s="4">
        <v>2</v>
      </c>
      <c r="R411" s="4" t="str">
        <f>TEXT(Table1[[#This Row],[Order Date]],"mmm")</f>
        <v>May</v>
      </c>
      <c r="S411" s="4" t="str">
        <f>TEXT(Table1[[#This Row],[Order Date]],"mm")</f>
        <v>05</v>
      </c>
      <c r="T411" s="4" t="str">
        <f>IF(Table1[[#This Row],[Sales]]&lt;0,"loss","profit")</f>
        <v>profit</v>
      </c>
      <c r="U411" s="4" t="str" cm="1">
        <f t="array" ref="U411">_xlfn.IFS(Table1[[#This Row],[Sales]]&gt;2000,"large",Table1[[#This Row],[Sales]]&gt;=500,"medium",Table1[[#This Row],[Sales]]&lt;500,"small")</f>
        <v>small</v>
      </c>
      <c r="V411" s="22">
        <f>Table1[[#This Row],[Profit]]/Table1[[#This Row],[Sales]]*100</f>
        <v>6.3359979032892229</v>
      </c>
    </row>
    <row r="412" spans="1:22" x14ac:dyDescent="0.35">
      <c r="A412" s="4" t="s">
        <v>741</v>
      </c>
      <c r="B412" s="5">
        <v>45802</v>
      </c>
      <c r="C412" s="4" t="s">
        <v>258</v>
      </c>
      <c r="D412" s="4" t="s">
        <v>20</v>
      </c>
      <c r="E412" s="4" t="s">
        <v>36</v>
      </c>
      <c r="F412" s="4" t="s">
        <v>48</v>
      </c>
      <c r="G412" s="4" t="s">
        <v>49</v>
      </c>
      <c r="H412" s="4" t="s">
        <v>50</v>
      </c>
      <c r="I412" s="4">
        <v>5</v>
      </c>
      <c r="J412" s="6">
        <v>25.88</v>
      </c>
      <c r="K412" s="7">
        <v>0.1</v>
      </c>
      <c r="L412" s="6">
        <f t="shared" si="12"/>
        <v>116.46000000000001</v>
      </c>
      <c r="M412" s="6">
        <v>14.99</v>
      </c>
      <c r="N412" s="8">
        <f t="shared" si="13"/>
        <v>41.510000000000005</v>
      </c>
      <c r="O412" s="4" t="s">
        <v>84</v>
      </c>
      <c r="P412" s="4" t="s">
        <v>61</v>
      </c>
      <c r="Q412" s="4">
        <v>4</v>
      </c>
      <c r="R412" s="4" t="str">
        <f>TEXT(Table1[[#This Row],[Order Date]],"mmm")</f>
        <v>May</v>
      </c>
      <c r="S412" s="4" t="str">
        <f>TEXT(Table1[[#This Row],[Order Date]],"mm")</f>
        <v>05</v>
      </c>
      <c r="T412" s="4" t="str">
        <f>IF(Table1[[#This Row],[Sales]]&lt;0,"loss","profit")</f>
        <v>profit</v>
      </c>
      <c r="U412" s="4" t="str" cm="1">
        <f t="array" ref="U412">_xlfn.IFS(Table1[[#This Row],[Sales]]&gt;2000,"large",Table1[[#This Row],[Sales]]&gt;=500,"medium",Table1[[#This Row],[Sales]]&lt;500,"small")</f>
        <v>small</v>
      </c>
      <c r="V412" s="22">
        <f>Table1[[#This Row],[Profit]]/Table1[[#This Row],[Sales]]*100</f>
        <v>35.643139275287652</v>
      </c>
    </row>
    <row r="413" spans="1:22" x14ac:dyDescent="0.35">
      <c r="A413" s="4" t="s">
        <v>742</v>
      </c>
      <c r="B413" s="5">
        <v>45802</v>
      </c>
      <c r="C413" s="4" t="s">
        <v>172</v>
      </c>
      <c r="D413" s="4" t="s">
        <v>43</v>
      </c>
      <c r="E413" s="4" t="s">
        <v>21</v>
      </c>
      <c r="F413" s="4" t="s">
        <v>59</v>
      </c>
      <c r="G413" s="4" t="s">
        <v>49</v>
      </c>
      <c r="H413" s="4" t="s">
        <v>128</v>
      </c>
      <c r="I413" s="4">
        <v>3</v>
      </c>
      <c r="J413" s="6">
        <v>62.36</v>
      </c>
      <c r="K413" s="7">
        <v>0.05</v>
      </c>
      <c r="L413" s="6">
        <f t="shared" si="12"/>
        <v>177.72599999999997</v>
      </c>
      <c r="M413" s="6">
        <v>41.9</v>
      </c>
      <c r="N413" s="8">
        <f t="shared" si="13"/>
        <v>52.025999999999982</v>
      </c>
      <c r="O413" s="4" t="s">
        <v>84</v>
      </c>
      <c r="P413" s="4" t="s">
        <v>61</v>
      </c>
      <c r="Q413" s="4">
        <v>1</v>
      </c>
      <c r="R413" s="4" t="str">
        <f>TEXT(Table1[[#This Row],[Order Date]],"mmm")</f>
        <v>May</v>
      </c>
      <c r="S413" s="4" t="str">
        <f>TEXT(Table1[[#This Row],[Order Date]],"mm")</f>
        <v>05</v>
      </c>
      <c r="T413" s="4" t="str">
        <f>IF(Table1[[#This Row],[Sales]]&lt;0,"loss","profit")</f>
        <v>profit</v>
      </c>
      <c r="U413" s="4" t="str" cm="1">
        <f t="array" ref="U413">_xlfn.IFS(Table1[[#This Row],[Sales]]&gt;2000,"large",Table1[[#This Row],[Sales]]&gt;=500,"medium",Table1[[#This Row],[Sales]]&lt;500,"small")</f>
        <v>small</v>
      </c>
      <c r="V413" s="22">
        <f>Table1[[#This Row],[Profit]]/Table1[[#This Row],[Sales]]*100</f>
        <v>29.273150805171998</v>
      </c>
    </row>
    <row r="414" spans="1:22" x14ac:dyDescent="0.35">
      <c r="A414" s="4" t="s">
        <v>743</v>
      </c>
      <c r="B414" s="5">
        <v>45802</v>
      </c>
      <c r="C414" s="4" t="s">
        <v>744</v>
      </c>
      <c r="D414" s="4" t="s">
        <v>47</v>
      </c>
      <c r="E414" s="4" t="s">
        <v>36</v>
      </c>
      <c r="F414" s="4" t="s">
        <v>201</v>
      </c>
      <c r="G414" s="4" t="s">
        <v>38</v>
      </c>
      <c r="H414" s="4" t="s">
        <v>39</v>
      </c>
      <c r="I414" s="4">
        <v>2</v>
      </c>
      <c r="J414" s="6">
        <v>168.24</v>
      </c>
      <c r="K414" s="7">
        <v>0.15</v>
      </c>
      <c r="L414" s="6">
        <f t="shared" si="12"/>
        <v>286.00799999999998</v>
      </c>
      <c r="M414" s="6">
        <v>141.61000000000001</v>
      </c>
      <c r="N414" s="8">
        <f t="shared" si="13"/>
        <v>2.7879999999999541</v>
      </c>
      <c r="O414" s="4" t="s">
        <v>60</v>
      </c>
      <c r="P414" s="4" t="s">
        <v>118</v>
      </c>
      <c r="Q414" s="4">
        <v>2</v>
      </c>
      <c r="R414" s="4" t="str">
        <f>TEXT(Table1[[#This Row],[Order Date]],"mmm")</f>
        <v>May</v>
      </c>
      <c r="S414" s="4" t="str">
        <f>TEXT(Table1[[#This Row],[Order Date]],"mm")</f>
        <v>05</v>
      </c>
      <c r="T414" s="4" t="str">
        <f>IF(Table1[[#This Row],[Sales]]&lt;0,"loss","profit")</f>
        <v>profit</v>
      </c>
      <c r="U414" s="4" t="str" cm="1">
        <f t="array" ref="U414">_xlfn.IFS(Table1[[#This Row],[Sales]]&gt;2000,"large",Table1[[#This Row],[Sales]]&gt;=500,"medium",Table1[[#This Row],[Sales]]&lt;500,"small")</f>
        <v>small</v>
      </c>
      <c r="V414" s="22">
        <f>Table1[[#This Row],[Profit]]/Table1[[#This Row],[Sales]]*100</f>
        <v>0.97479790775081621</v>
      </c>
    </row>
    <row r="415" spans="1:22" x14ac:dyDescent="0.35">
      <c r="A415" s="4" t="s">
        <v>745</v>
      </c>
      <c r="B415" s="5">
        <v>45803</v>
      </c>
      <c r="C415" s="4" t="s">
        <v>746</v>
      </c>
      <c r="D415" s="4" t="s">
        <v>20</v>
      </c>
      <c r="E415" s="4" t="s">
        <v>29</v>
      </c>
      <c r="F415" s="4" t="s">
        <v>108</v>
      </c>
      <c r="G415" s="4" t="s">
        <v>31</v>
      </c>
      <c r="H415" s="4" t="s">
        <v>147</v>
      </c>
      <c r="I415" s="4">
        <v>5</v>
      </c>
      <c r="J415" s="6">
        <v>63.52</v>
      </c>
      <c r="K415" s="7">
        <v>0.05</v>
      </c>
      <c r="L415" s="6">
        <f t="shared" si="12"/>
        <v>301.72000000000003</v>
      </c>
      <c r="M415" s="6">
        <v>44.95</v>
      </c>
      <c r="N415" s="8">
        <f t="shared" si="13"/>
        <v>76.970000000000027</v>
      </c>
      <c r="O415" s="4" t="s">
        <v>84</v>
      </c>
      <c r="P415" s="4" t="s">
        <v>56</v>
      </c>
      <c r="Q415" s="4">
        <v>1</v>
      </c>
      <c r="R415" s="4" t="str">
        <f>TEXT(Table1[[#This Row],[Order Date]],"mmm")</f>
        <v>May</v>
      </c>
      <c r="S415" s="4" t="str">
        <f>TEXT(Table1[[#This Row],[Order Date]],"mm")</f>
        <v>05</v>
      </c>
      <c r="T415" s="4" t="str">
        <f>IF(Table1[[#This Row],[Sales]]&lt;0,"loss","profit")</f>
        <v>profit</v>
      </c>
      <c r="U415" s="4" t="str" cm="1">
        <f t="array" ref="U415">_xlfn.IFS(Table1[[#This Row],[Sales]]&gt;2000,"large",Table1[[#This Row],[Sales]]&gt;=500,"medium",Table1[[#This Row],[Sales]]&lt;500,"small")</f>
        <v>small</v>
      </c>
      <c r="V415" s="22">
        <f>Table1[[#This Row],[Profit]]/Table1[[#This Row],[Sales]]*100</f>
        <v>25.510406999867435</v>
      </c>
    </row>
    <row r="416" spans="1:22" x14ac:dyDescent="0.35">
      <c r="A416" s="4" t="s">
        <v>747</v>
      </c>
      <c r="B416" s="5">
        <v>45803</v>
      </c>
      <c r="C416" s="4" t="s">
        <v>162</v>
      </c>
      <c r="D416" s="4" t="s">
        <v>20</v>
      </c>
      <c r="E416" s="4" t="s">
        <v>21</v>
      </c>
      <c r="F416" s="4" t="s">
        <v>22</v>
      </c>
      <c r="G416" s="4" t="s">
        <v>38</v>
      </c>
      <c r="H416" s="4" t="s">
        <v>89</v>
      </c>
      <c r="I416" s="4">
        <v>4</v>
      </c>
      <c r="J416" s="6">
        <v>1003.41</v>
      </c>
      <c r="K416" s="7">
        <v>0</v>
      </c>
      <c r="L416" s="6">
        <f t="shared" si="12"/>
        <v>4013.64</v>
      </c>
      <c r="M416" s="6">
        <v>764.9</v>
      </c>
      <c r="N416" s="8">
        <f t="shared" si="13"/>
        <v>954.04</v>
      </c>
      <c r="O416" s="4" t="s">
        <v>60</v>
      </c>
      <c r="P416" s="4" t="s">
        <v>33</v>
      </c>
      <c r="Q416" s="4">
        <v>5</v>
      </c>
      <c r="R416" s="4" t="str">
        <f>TEXT(Table1[[#This Row],[Order Date]],"mmm")</f>
        <v>May</v>
      </c>
      <c r="S416" s="4" t="str">
        <f>TEXT(Table1[[#This Row],[Order Date]],"mm")</f>
        <v>05</v>
      </c>
      <c r="T416" s="4" t="str">
        <f>IF(Table1[[#This Row],[Sales]]&lt;0,"loss","profit")</f>
        <v>profit</v>
      </c>
      <c r="U416" s="4" t="str" cm="1">
        <f t="array" ref="U416">_xlfn.IFS(Table1[[#This Row],[Sales]]&gt;2000,"large",Table1[[#This Row],[Sales]]&gt;=500,"medium",Table1[[#This Row],[Sales]]&lt;500,"small")</f>
        <v>large</v>
      </c>
      <c r="V416" s="22">
        <f>Table1[[#This Row],[Profit]]/Table1[[#This Row],[Sales]]*100</f>
        <v>23.769944489291518</v>
      </c>
    </row>
    <row r="417" spans="1:22" x14ac:dyDescent="0.35">
      <c r="A417" s="4" t="s">
        <v>748</v>
      </c>
      <c r="B417" s="5">
        <v>45803</v>
      </c>
      <c r="C417" s="4" t="s">
        <v>749</v>
      </c>
      <c r="D417" s="4" t="s">
        <v>47</v>
      </c>
      <c r="E417" s="4" t="s">
        <v>21</v>
      </c>
      <c r="F417" s="4" t="s">
        <v>22</v>
      </c>
      <c r="G417" s="4" t="s">
        <v>38</v>
      </c>
      <c r="H417" s="4" t="s">
        <v>39</v>
      </c>
      <c r="I417" s="4">
        <v>2</v>
      </c>
      <c r="J417" s="6">
        <v>143.16</v>
      </c>
      <c r="K417" s="7">
        <v>0.1</v>
      </c>
      <c r="L417" s="6">
        <f t="shared" si="12"/>
        <v>257.68799999999999</v>
      </c>
      <c r="M417" s="6">
        <v>116.15</v>
      </c>
      <c r="N417" s="8">
        <f t="shared" si="13"/>
        <v>25.387999999999977</v>
      </c>
      <c r="O417" s="4" t="s">
        <v>84</v>
      </c>
      <c r="P417" s="4" t="s">
        <v>97</v>
      </c>
      <c r="Q417" s="4">
        <v>4</v>
      </c>
      <c r="R417" s="4" t="str">
        <f>TEXT(Table1[[#This Row],[Order Date]],"mmm")</f>
        <v>May</v>
      </c>
      <c r="S417" s="4" t="str">
        <f>TEXT(Table1[[#This Row],[Order Date]],"mm")</f>
        <v>05</v>
      </c>
      <c r="T417" s="4" t="str">
        <f>IF(Table1[[#This Row],[Sales]]&lt;0,"loss","profit")</f>
        <v>profit</v>
      </c>
      <c r="U417" s="4" t="str" cm="1">
        <f t="array" ref="U417">_xlfn.IFS(Table1[[#This Row],[Sales]]&gt;2000,"large",Table1[[#This Row],[Sales]]&gt;=500,"medium",Table1[[#This Row],[Sales]]&lt;500,"small")</f>
        <v>small</v>
      </c>
      <c r="V417" s="22">
        <f>Table1[[#This Row],[Profit]]/Table1[[#This Row],[Sales]]*100</f>
        <v>9.8522243953928701</v>
      </c>
    </row>
    <row r="418" spans="1:22" x14ac:dyDescent="0.35">
      <c r="A418" s="4" t="s">
        <v>750</v>
      </c>
      <c r="B418" s="5">
        <v>45804</v>
      </c>
      <c r="C418" s="4" t="s">
        <v>751</v>
      </c>
      <c r="D418" s="4" t="s">
        <v>47</v>
      </c>
      <c r="E418" s="4" t="s">
        <v>87</v>
      </c>
      <c r="F418" s="4" t="s">
        <v>92</v>
      </c>
      <c r="G418" s="4" t="s">
        <v>31</v>
      </c>
      <c r="H418" s="4" t="s">
        <v>32</v>
      </c>
      <c r="I418" s="4">
        <v>5</v>
      </c>
      <c r="J418" s="6">
        <v>177</v>
      </c>
      <c r="K418" s="7">
        <v>0.1</v>
      </c>
      <c r="L418" s="6">
        <f t="shared" si="12"/>
        <v>796.5</v>
      </c>
      <c r="M418" s="6">
        <v>98.2</v>
      </c>
      <c r="N418" s="8">
        <f t="shared" si="13"/>
        <v>305.5</v>
      </c>
      <c r="O418" s="4" t="s">
        <v>51</v>
      </c>
      <c r="P418" s="4" t="s">
        <v>61</v>
      </c>
      <c r="Q418" s="4">
        <v>4</v>
      </c>
      <c r="R418" s="4" t="str">
        <f>TEXT(Table1[[#This Row],[Order Date]],"mmm")</f>
        <v>May</v>
      </c>
      <c r="S418" s="4" t="str">
        <f>TEXT(Table1[[#This Row],[Order Date]],"mm")</f>
        <v>05</v>
      </c>
      <c r="T418" s="4" t="str">
        <f>IF(Table1[[#This Row],[Sales]]&lt;0,"loss","profit")</f>
        <v>profit</v>
      </c>
      <c r="U418" s="4" t="str" cm="1">
        <f t="array" ref="U418">_xlfn.IFS(Table1[[#This Row],[Sales]]&gt;2000,"large",Table1[[#This Row],[Sales]]&gt;=500,"medium",Table1[[#This Row],[Sales]]&lt;500,"small")</f>
        <v>medium</v>
      </c>
      <c r="V418" s="22">
        <f>Table1[[#This Row],[Profit]]/Table1[[#This Row],[Sales]]*100</f>
        <v>38.35530445699937</v>
      </c>
    </row>
    <row r="419" spans="1:22" x14ac:dyDescent="0.35">
      <c r="A419" s="4" t="s">
        <v>752</v>
      </c>
      <c r="B419" s="5">
        <v>45804</v>
      </c>
      <c r="C419" s="4" t="s">
        <v>706</v>
      </c>
      <c r="D419" s="4" t="s">
        <v>47</v>
      </c>
      <c r="E419" s="4" t="s">
        <v>36</v>
      </c>
      <c r="F419" s="4" t="s">
        <v>37</v>
      </c>
      <c r="G419" s="4" t="s">
        <v>38</v>
      </c>
      <c r="H419" s="4" t="s">
        <v>109</v>
      </c>
      <c r="I419" s="4">
        <v>1</v>
      </c>
      <c r="J419" s="6">
        <v>906.04</v>
      </c>
      <c r="K419" s="7">
        <v>0</v>
      </c>
      <c r="L419" s="6">
        <f t="shared" si="12"/>
        <v>906.04</v>
      </c>
      <c r="M419" s="6">
        <v>792.6</v>
      </c>
      <c r="N419" s="8">
        <f t="shared" si="13"/>
        <v>113.43999999999994</v>
      </c>
      <c r="O419" s="4" t="s">
        <v>84</v>
      </c>
      <c r="P419" s="4" t="s">
        <v>56</v>
      </c>
      <c r="Q419" s="4">
        <v>5</v>
      </c>
      <c r="R419" s="4" t="str">
        <f>TEXT(Table1[[#This Row],[Order Date]],"mmm")</f>
        <v>May</v>
      </c>
      <c r="S419" s="4" t="str">
        <f>TEXT(Table1[[#This Row],[Order Date]],"mm")</f>
        <v>05</v>
      </c>
      <c r="T419" s="4" t="str">
        <f>IF(Table1[[#This Row],[Sales]]&lt;0,"loss","profit")</f>
        <v>profit</v>
      </c>
      <c r="U419" s="4" t="str" cm="1">
        <f t="array" ref="U419">_xlfn.IFS(Table1[[#This Row],[Sales]]&gt;2000,"large",Table1[[#This Row],[Sales]]&gt;=500,"medium",Table1[[#This Row],[Sales]]&lt;500,"small")</f>
        <v>medium</v>
      </c>
      <c r="V419" s="22">
        <f>Table1[[#This Row],[Profit]]/Table1[[#This Row],[Sales]]*100</f>
        <v>12.520418524568447</v>
      </c>
    </row>
    <row r="420" spans="1:22" x14ac:dyDescent="0.35">
      <c r="A420" s="4" t="s">
        <v>753</v>
      </c>
      <c r="B420" s="5">
        <v>45804</v>
      </c>
      <c r="C420" s="4" t="s">
        <v>485</v>
      </c>
      <c r="D420" s="4" t="s">
        <v>20</v>
      </c>
      <c r="E420" s="4" t="s">
        <v>29</v>
      </c>
      <c r="F420" s="4" t="s">
        <v>54</v>
      </c>
      <c r="G420" s="4" t="s">
        <v>23</v>
      </c>
      <c r="H420" s="4" t="s">
        <v>44</v>
      </c>
      <c r="I420" s="4">
        <v>1</v>
      </c>
      <c r="J420" s="6">
        <v>133.32</v>
      </c>
      <c r="K420" s="7">
        <v>0</v>
      </c>
      <c r="L420" s="6">
        <f t="shared" si="12"/>
        <v>133.32</v>
      </c>
      <c r="M420" s="6">
        <v>86.14</v>
      </c>
      <c r="N420" s="8">
        <f t="shared" si="13"/>
        <v>47.179999999999993</v>
      </c>
      <c r="O420" s="4" t="s">
        <v>51</v>
      </c>
      <c r="P420" s="4" t="s">
        <v>33</v>
      </c>
      <c r="Q420" s="4">
        <v>4</v>
      </c>
      <c r="R420" s="4" t="str">
        <f>TEXT(Table1[[#This Row],[Order Date]],"mmm")</f>
        <v>May</v>
      </c>
      <c r="S420" s="4" t="str">
        <f>TEXT(Table1[[#This Row],[Order Date]],"mm")</f>
        <v>05</v>
      </c>
      <c r="T420" s="4" t="str">
        <f>IF(Table1[[#This Row],[Sales]]&lt;0,"loss","profit")</f>
        <v>profit</v>
      </c>
      <c r="U420" s="4" t="str" cm="1">
        <f t="array" ref="U420">_xlfn.IFS(Table1[[#This Row],[Sales]]&gt;2000,"large",Table1[[#This Row],[Sales]]&gt;=500,"medium",Table1[[#This Row],[Sales]]&lt;500,"small")</f>
        <v>small</v>
      </c>
      <c r="V420" s="22">
        <f>Table1[[#This Row],[Profit]]/Table1[[#This Row],[Sales]]*100</f>
        <v>35.388538853885386</v>
      </c>
    </row>
    <row r="421" spans="1:22" x14ac:dyDescent="0.35">
      <c r="A421" s="4" t="s">
        <v>754</v>
      </c>
      <c r="B421" s="5">
        <v>45805</v>
      </c>
      <c r="C421" s="4" t="s">
        <v>755</v>
      </c>
      <c r="D421" s="4" t="s">
        <v>20</v>
      </c>
      <c r="E421" s="4" t="s">
        <v>36</v>
      </c>
      <c r="F421" s="4" t="s">
        <v>37</v>
      </c>
      <c r="G421" s="4" t="s">
        <v>31</v>
      </c>
      <c r="H421" s="4" t="s">
        <v>32</v>
      </c>
      <c r="I421" s="4">
        <v>2</v>
      </c>
      <c r="J421" s="6">
        <v>298.48</v>
      </c>
      <c r="K421" s="7">
        <v>0</v>
      </c>
      <c r="L421" s="6">
        <f t="shared" si="12"/>
        <v>596.96</v>
      </c>
      <c r="M421" s="6">
        <v>211.55</v>
      </c>
      <c r="N421" s="8">
        <f t="shared" si="13"/>
        <v>173.86</v>
      </c>
      <c r="O421" s="4" t="s">
        <v>60</v>
      </c>
      <c r="P421" s="4" t="s">
        <v>61</v>
      </c>
      <c r="Q421" s="4">
        <v>5</v>
      </c>
      <c r="R421" s="4" t="str">
        <f>TEXT(Table1[[#This Row],[Order Date]],"mmm")</f>
        <v>May</v>
      </c>
      <c r="S421" s="4" t="str">
        <f>TEXT(Table1[[#This Row],[Order Date]],"mm")</f>
        <v>05</v>
      </c>
      <c r="T421" s="4" t="str">
        <f>IF(Table1[[#This Row],[Sales]]&lt;0,"loss","profit")</f>
        <v>profit</v>
      </c>
      <c r="U421" s="4" t="str" cm="1">
        <f t="array" ref="U421">_xlfn.IFS(Table1[[#This Row],[Sales]]&gt;2000,"large",Table1[[#This Row],[Sales]]&gt;=500,"medium",Table1[[#This Row],[Sales]]&lt;500,"small")</f>
        <v>medium</v>
      </c>
      <c r="V421" s="22">
        <f>Table1[[#This Row],[Profit]]/Table1[[#This Row],[Sales]]*100</f>
        <v>29.12422942910748</v>
      </c>
    </row>
    <row r="422" spans="1:22" x14ac:dyDescent="0.35">
      <c r="A422" s="4" t="s">
        <v>756</v>
      </c>
      <c r="B422" s="5">
        <v>45806</v>
      </c>
      <c r="C422" s="4" t="s">
        <v>469</v>
      </c>
      <c r="D422" s="4" t="s">
        <v>20</v>
      </c>
      <c r="E422" s="4" t="s">
        <v>36</v>
      </c>
      <c r="F422" s="4" t="s">
        <v>201</v>
      </c>
      <c r="G422" s="4" t="s">
        <v>23</v>
      </c>
      <c r="H422" s="4" t="s">
        <v>135</v>
      </c>
      <c r="I422" s="4">
        <v>1</v>
      </c>
      <c r="J422" s="6">
        <v>24.93</v>
      </c>
      <c r="K422" s="7">
        <v>0</v>
      </c>
      <c r="L422" s="6">
        <f t="shared" si="12"/>
        <v>24.93</v>
      </c>
      <c r="M422" s="6">
        <v>11.33</v>
      </c>
      <c r="N422" s="8">
        <f t="shared" si="13"/>
        <v>13.6</v>
      </c>
      <c r="O422" s="4" t="s">
        <v>60</v>
      </c>
      <c r="P422" s="4" t="s">
        <v>118</v>
      </c>
      <c r="Q422" s="4">
        <v>5</v>
      </c>
      <c r="R422" s="4" t="str">
        <f>TEXT(Table1[[#This Row],[Order Date]],"mmm")</f>
        <v>May</v>
      </c>
      <c r="S422" s="4" t="str">
        <f>TEXT(Table1[[#This Row],[Order Date]],"mm")</f>
        <v>05</v>
      </c>
      <c r="T422" s="4" t="str">
        <f>IF(Table1[[#This Row],[Sales]]&lt;0,"loss","profit")</f>
        <v>profit</v>
      </c>
      <c r="U422" s="4" t="str" cm="1">
        <f t="array" ref="U422">_xlfn.IFS(Table1[[#This Row],[Sales]]&gt;2000,"large",Table1[[#This Row],[Sales]]&gt;=500,"medium",Table1[[#This Row],[Sales]]&lt;500,"small")</f>
        <v>small</v>
      </c>
      <c r="V422" s="22">
        <f>Table1[[#This Row],[Profit]]/Table1[[#This Row],[Sales]]*100</f>
        <v>54.552747693541917</v>
      </c>
    </row>
    <row r="423" spans="1:22" x14ac:dyDescent="0.35">
      <c r="A423" s="4" t="s">
        <v>757</v>
      </c>
      <c r="B423" s="5">
        <v>45807</v>
      </c>
      <c r="C423" s="4" t="s">
        <v>305</v>
      </c>
      <c r="D423" s="4" t="s">
        <v>20</v>
      </c>
      <c r="E423" s="4" t="s">
        <v>87</v>
      </c>
      <c r="F423" s="4" t="s">
        <v>92</v>
      </c>
      <c r="G423" s="4" t="s">
        <v>49</v>
      </c>
      <c r="H423" s="4" t="s">
        <v>128</v>
      </c>
      <c r="I423" s="4">
        <v>1</v>
      </c>
      <c r="J423" s="6">
        <v>83.03</v>
      </c>
      <c r="K423" s="7">
        <v>0</v>
      </c>
      <c r="L423" s="6">
        <f t="shared" si="12"/>
        <v>83.03</v>
      </c>
      <c r="M423" s="6">
        <v>51.87</v>
      </c>
      <c r="N423" s="8">
        <f t="shared" si="13"/>
        <v>31.160000000000004</v>
      </c>
      <c r="O423" s="4" t="s">
        <v>40</v>
      </c>
      <c r="P423" s="4" t="s">
        <v>26</v>
      </c>
      <c r="Q423" s="4">
        <v>3</v>
      </c>
      <c r="R423" s="4" t="str">
        <f>TEXT(Table1[[#This Row],[Order Date]],"mmm")</f>
        <v>May</v>
      </c>
      <c r="S423" s="4" t="str">
        <f>TEXT(Table1[[#This Row],[Order Date]],"mm")</f>
        <v>05</v>
      </c>
      <c r="T423" s="4" t="str">
        <f>IF(Table1[[#This Row],[Sales]]&lt;0,"loss","profit")</f>
        <v>profit</v>
      </c>
      <c r="U423" s="4" t="str" cm="1">
        <f t="array" ref="U423">_xlfn.IFS(Table1[[#This Row],[Sales]]&gt;2000,"large",Table1[[#This Row],[Sales]]&gt;=500,"medium",Table1[[#This Row],[Sales]]&lt;500,"small")</f>
        <v>small</v>
      </c>
      <c r="V423" s="22">
        <f>Table1[[#This Row],[Profit]]/Table1[[#This Row],[Sales]]*100</f>
        <v>37.528604118993137</v>
      </c>
    </row>
    <row r="424" spans="1:22" x14ac:dyDescent="0.35">
      <c r="A424" s="4" t="s">
        <v>758</v>
      </c>
      <c r="B424" s="5">
        <v>45807</v>
      </c>
      <c r="C424" s="4" t="s">
        <v>488</v>
      </c>
      <c r="D424" s="4" t="s">
        <v>43</v>
      </c>
      <c r="E424" s="4" t="s">
        <v>87</v>
      </c>
      <c r="F424" s="4" t="s">
        <v>92</v>
      </c>
      <c r="G424" s="4" t="s">
        <v>31</v>
      </c>
      <c r="H424" s="4" t="s">
        <v>147</v>
      </c>
      <c r="I424" s="4">
        <v>1</v>
      </c>
      <c r="J424" s="6">
        <v>30.13</v>
      </c>
      <c r="K424" s="7">
        <v>0.1</v>
      </c>
      <c r="L424" s="6">
        <f t="shared" si="12"/>
        <v>27.117000000000001</v>
      </c>
      <c r="M424" s="6">
        <v>20.399999999999999</v>
      </c>
      <c r="N424" s="8">
        <f t="shared" si="13"/>
        <v>6.7170000000000023</v>
      </c>
      <c r="O424" s="4" t="s">
        <v>60</v>
      </c>
      <c r="P424" s="4" t="s">
        <v>56</v>
      </c>
      <c r="Q424" s="4">
        <v>5</v>
      </c>
      <c r="R424" s="4" t="str">
        <f>TEXT(Table1[[#This Row],[Order Date]],"mmm")</f>
        <v>May</v>
      </c>
      <c r="S424" s="4" t="str">
        <f>TEXT(Table1[[#This Row],[Order Date]],"mm")</f>
        <v>05</v>
      </c>
      <c r="T424" s="4" t="str">
        <f>IF(Table1[[#This Row],[Sales]]&lt;0,"loss","profit")</f>
        <v>profit</v>
      </c>
      <c r="U424" s="4" t="str" cm="1">
        <f t="array" ref="U424">_xlfn.IFS(Table1[[#This Row],[Sales]]&gt;2000,"large",Table1[[#This Row],[Sales]]&gt;=500,"medium",Table1[[#This Row],[Sales]]&lt;500,"small")</f>
        <v>small</v>
      </c>
      <c r="V424" s="22">
        <f>Table1[[#This Row],[Profit]]/Table1[[#This Row],[Sales]]*100</f>
        <v>24.770439207876986</v>
      </c>
    </row>
    <row r="425" spans="1:22" x14ac:dyDescent="0.35">
      <c r="A425" s="4" t="s">
        <v>759</v>
      </c>
      <c r="B425" s="5">
        <v>45808</v>
      </c>
      <c r="C425" s="4" t="s">
        <v>130</v>
      </c>
      <c r="D425" s="4" t="s">
        <v>20</v>
      </c>
      <c r="E425" s="4" t="s">
        <v>21</v>
      </c>
      <c r="F425" s="4" t="s">
        <v>22</v>
      </c>
      <c r="G425" s="4" t="s">
        <v>49</v>
      </c>
      <c r="H425" s="4" t="s">
        <v>128</v>
      </c>
      <c r="I425" s="4">
        <v>6</v>
      </c>
      <c r="J425" s="6">
        <v>44.76</v>
      </c>
      <c r="K425" s="7">
        <v>0.1</v>
      </c>
      <c r="L425" s="6">
        <f t="shared" si="12"/>
        <v>241.70400000000001</v>
      </c>
      <c r="M425" s="6">
        <v>33.31</v>
      </c>
      <c r="N425" s="8">
        <f t="shared" si="13"/>
        <v>41.843999999999994</v>
      </c>
      <c r="O425" s="4" t="s">
        <v>25</v>
      </c>
      <c r="P425" s="4" t="s">
        <v>97</v>
      </c>
      <c r="Q425" s="4">
        <v>3</v>
      </c>
      <c r="R425" s="4" t="str">
        <f>TEXT(Table1[[#This Row],[Order Date]],"mmm")</f>
        <v>May</v>
      </c>
      <c r="S425" s="4" t="str">
        <f>TEXT(Table1[[#This Row],[Order Date]],"mm")</f>
        <v>05</v>
      </c>
      <c r="T425" s="4" t="str">
        <f>IF(Table1[[#This Row],[Sales]]&lt;0,"loss","profit")</f>
        <v>profit</v>
      </c>
      <c r="U425" s="4" t="str" cm="1">
        <f t="array" ref="U425">_xlfn.IFS(Table1[[#This Row],[Sales]]&gt;2000,"large",Table1[[#This Row],[Sales]]&gt;=500,"medium",Table1[[#This Row],[Sales]]&lt;500,"small")</f>
        <v>small</v>
      </c>
      <c r="V425" s="22">
        <f>Table1[[#This Row],[Profit]]/Table1[[#This Row],[Sales]]*100</f>
        <v>17.31208420216463</v>
      </c>
    </row>
    <row r="426" spans="1:22" x14ac:dyDescent="0.35">
      <c r="A426" s="4" t="s">
        <v>760</v>
      </c>
      <c r="B426" s="5">
        <v>45808</v>
      </c>
      <c r="C426" s="4" t="s">
        <v>215</v>
      </c>
      <c r="D426" s="4" t="s">
        <v>43</v>
      </c>
      <c r="E426" s="4" t="s">
        <v>87</v>
      </c>
      <c r="F426" s="4" t="s">
        <v>88</v>
      </c>
      <c r="G426" s="4" t="s">
        <v>31</v>
      </c>
      <c r="H426" s="4" t="s">
        <v>64</v>
      </c>
      <c r="I426" s="4">
        <v>1</v>
      </c>
      <c r="J426" s="6">
        <v>88.31</v>
      </c>
      <c r="K426" s="7">
        <v>0.05</v>
      </c>
      <c r="L426" s="6">
        <f t="shared" si="12"/>
        <v>83.894499999999994</v>
      </c>
      <c r="M426" s="6">
        <v>64.290000000000006</v>
      </c>
      <c r="N426" s="8">
        <f t="shared" si="13"/>
        <v>19.604499999999987</v>
      </c>
      <c r="O426" s="4" t="s">
        <v>84</v>
      </c>
      <c r="P426" s="4" t="s">
        <v>56</v>
      </c>
      <c r="Q426" s="4">
        <v>4</v>
      </c>
      <c r="R426" s="4" t="str">
        <f>TEXT(Table1[[#This Row],[Order Date]],"mmm")</f>
        <v>May</v>
      </c>
      <c r="S426" s="4" t="str">
        <f>TEXT(Table1[[#This Row],[Order Date]],"mm")</f>
        <v>05</v>
      </c>
      <c r="T426" s="4" t="str">
        <f>IF(Table1[[#This Row],[Sales]]&lt;0,"loss","profit")</f>
        <v>profit</v>
      </c>
      <c r="U426" s="4" t="str" cm="1">
        <f t="array" ref="U426">_xlfn.IFS(Table1[[#This Row],[Sales]]&gt;2000,"large",Table1[[#This Row],[Sales]]&gt;=500,"medium",Table1[[#This Row],[Sales]]&lt;500,"small")</f>
        <v>small</v>
      </c>
      <c r="V426" s="22">
        <f>Table1[[#This Row],[Profit]]/Table1[[#This Row],[Sales]]*100</f>
        <v>23.368039621190885</v>
      </c>
    </row>
    <row r="427" spans="1:22" x14ac:dyDescent="0.35">
      <c r="A427" s="4" t="s">
        <v>761</v>
      </c>
      <c r="B427" s="5">
        <v>45808</v>
      </c>
      <c r="C427" s="4" t="s">
        <v>762</v>
      </c>
      <c r="D427" s="4" t="s">
        <v>47</v>
      </c>
      <c r="E427" s="4" t="s">
        <v>29</v>
      </c>
      <c r="F427" s="4" t="s">
        <v>54</v>
      </c>
      <c r="G427" s="4" t="s">
        <v>23</v>
      </c>
      <c r="H427" s="4" t="s">
        <v>44</v>
      </c>
      <c r="I427" s="4">
        <v>2</v>
      </c>
      <c r="J427" s="6">
        <v>57.39</v>
      </c>
      <c r="K427" s="7">
        <v>0</v>
      </c>
      <c r="L427" s="6">
        <f t="shared" si="12"/>
        <v>114.78</v>
      </c>
      <c r="M427" s="6">
        <v>23.99</v>
      </c>
      <c r="N427" s="8">
        <f t="shared" si="13"/>
        <v>66.800000000000011</v>
      </c>
      <c r="O427" s="4" t="s">
        <v>25</v>
      </c>
      <c r="P427" s="4" t="s">
        <v>33</v>
      </c>
      <c r="Q427" s="4">
        <v>3</v>
      </c>
      <c r="R427" s="4" t="str">
        <f>TEXT(Table1[[#This Row],[Order Date]],"mmm")</f>
        <v>May</v>
      </c>
      <c r="S427" s="4" t="str">
        <f>TEXT(Table1[[#This Row],[Order Date]],"mm")</f>
        <v>05</v>
      </c>
      <c r="T427" s="4" t="str">
        <f>IF(Table1[[#This Row],[Sales]]&lt;0,"loss","profit")</f>
        <v>profit</v>
      </c>
      <c r="U427" s="4" t="str" cm="1">
        <f t="array" ref="U427">_xlfn.IFS(Table1[[#This Row],[Sales]]&gt;2000,"large",Table1[[#This Row],[Sales]]&gt;=500,"medium",Table1[[#This Row],[Sales]]&lt;500,"small")</f>
        <v>small</v>
      </c>
      <c r="V427" s="22">
        <f>Table1[[#This Row],[Profit]]/Table1[[#This Row],[Sales]]*100</f>
        <v>58.198292385433014</v>
      </c>
    </row>
    <row r="428" spans="1:22" x14ac:dyDescent="0.35">
      <c r="A428" s="4" t="s">
        <v>763</v>
      </c>
      <c r="B428" s="5">
        <v>45809</v>
      </c>
      <c r="C428" s="4" t="s">
        <v>749</v>
      </c>
      <c r="D428" s="4" t="s">
        <v>43</v>
      </c>
      <c r="E428" s="4" t="s">
        <v>29</v>
      </c>
      <c r="F428" s="4" t="s">
        <v>30</v>
      </c>
      <c r="G428" s="4" t="s">
        <v>38</v>
      </c>
      <c r="H428" s="4" t="s">
        <v>39</v>
      </c>
      <c r="I428" s="4">
        <v>2</v>
      </c>
      <c r="J428" s="6">
        <v>102.07</v>
      </c>
      <c r="K428" s="7">
        <v>0.1</v>
      </c>
      <c r="L428" s="6">
        <f t="shared" si="12"/>
        <v>183.726</v>
      </c>
      <c r="M428" s="6">
        <v>89.77</v>
      </c>
      <c r="N428" s="8">
        <f t="shared" si="13"/>
        <v>4.186000000000007</v>
      </c>
      <c r="O428" s="4" t="s">
        <v>51</v>
      </c>
      <c r="P428" s="4" t="s">
        <v>61</v>
      </c>
      <c r="Q428" s="4">
        <v>5</v>
      </c>
      <c r="R428" s="4" t="str">
        <f>TEXT(Table1[[#This Row],[Order Date]],"mmm")</f>
        <v>Jun</v>
      </c>
      <c r="S428" s="4" t="str">
        <f>TEXT(Table1[[#This Row],[Order Date]],"mm")</f>
        <v>06</v>
      </c>
      <c r="T428" s="4" t="str">
        <f>IF(Table1[[#This Row],[Sales]]&lt;0,"loss","profit")</f>
        <v>profit</v>
      </c>
      <c r="U428" s="4" t="str" cm="1">
        <f t="array" ref="U428">_xlfn.IFS(Table1[[#This Row],[Sales]]&gt;2000,"large",Table1[[#This Row],[Sales]]&gt;=500,"medium",Table1[[#This Row],[Sales]]&lt;500,"small")</f>
        <v>small</v>
      </c>
      <c r="V428" s="22">
        <f>Table1[[#This Row],[Profit]]/Table1[[#This Row],[Sales]]*100</f>
        <v>2.2783928240967568</v>
      </c>
    </row>
    <row r="429" spans="1:22" x14ac:dyDescent="0.35">
      <c r="A429" s="4" t="s">
        <v>764</v>
      </c>
      <c r="B429" s="5">
        <v>45809</v>
      </c>
      <c r="C429" s="4" t="s">
        <v>765</v>
      </c>
      <c r="D429" s="4" t="s">
        <v>20</v>
      </c>
      <c r="E429" s="4" t="s">
        <v>87</v>
      </c>
      <c r="F429" s="4" t="s">
        <v>88</v>
      </c>
      <c r="G429" s="4" t="s">
        <v>23</v>
      </c>
      <c r="H429" s="4" t="s">
        <v>24</v>
      </c>
      <c r="I429" s="4">
        <v>2</v>
      </c>
      <c r="J429" s="6">
        <v>62.58</v>
      </c>
      <c r="K429" s="7">
        <v>0.05</v>
      </c>
      <c r="L429" s="6">
        <f t="shared" si="12"/>
        <v>118.90199999999999</v>
      </c>
      <c r="M429" s="6">
        <v>32.03</v>
      </c>
      <c r="N429" s="8">
        <f t="shared" si="13"/>
        <v>54.841999999999985</v>
      </c>
      <c r="O429" s="4" t="s">
        <v>40</v>
      </c>
      <c r="P429" s="4" t="s">
        <v>26</v>
      </c>
      <c r="Q429" s="4">
        <v>3</v>
      </c>
      <c r="R429" s="4" t="str">
        <f>TEXT(Table1[[#This Row],[Order Date]],"mmm")</f>
        <v>Jun</v>
      </c>
      <c r="S429" s="4" t="str">
        <f>TEXT(Table1[[#This Row],[Order Date]],"mm")</f>
        <v>06</v>
      </c>
      <c r="T429" s="4" t="str">
        <f>IF(Table1[[#This Row],[Sales]]&lt;0,"loss","profit")</f>
        <v>profit</v>
      </c>
      <c r="U429" s="4" t="str" cm="1">
        <f t="array" ref="U429">_xlfn.IFS(Table1[[#This Row],[Sales]]&gt;2000,"large",Table1[[#This Row],[Sales]]&gt;=500,"medium",Table1[[#This Row],[Sales]]&lt;500,"small")</f>
        <v>small</v>
      </c>
      <c r="V429" s="22">
        <f>Table1[[#This Row],[Profit]]/Table1[[#This Row],[Sales]]*100</f>
        <v>46.123698508014996</v>
      </c>
    </row>
    <row r="430" spans="1:22" x14ac:dyDescent="0.35">
      <c r="A430" s="4" t="s">
        <v>766</v>
      </c>
      <c r="B430" s="5">
        <v>45809</v>
      </c>
      <c r="C430" s="4" t="s">
        <v>767</v>
      </c>
      <c r="D430" s="4" t="s">
        <v>43</v>
      </c>
      <c r="E430" s="4" t="s">
        <v>87</v>
      </c>
      <c r="F430" s="4" t="s">
        <v>124</v>
      </c>
      <c r="G430" s="4" t="s">
        <v>31</v>
      </c>
      <c r="H430" s="4" t="s">
        <v>125</v>
      </c>
      <c r="I430" s="4">
        <v>8</v>
      </c>
      <c r="J430" s="6">
        <v>72.13</v>
      </c>
      <c r="K430" s="7">
        <v>0.15</v>
      </c>
      <c r="L430" s="6">
        <f t="shared" si="12"/>
        <v>490.48399999999998</v>
      </c>
      <c r="M430" s="6">
        <v>47.83</v>
      </c>
      <c r="N430" s="8">
        <f t="shared" si="13"/>
        <v>107.84399999999999</v>
      </c>
      <c r="O430" s="4" t="s">
        <v>60</v>
      </c>
      <c r="P430" s="4" t="s">
        <v>75</v>
      </c>
      <c r="Q430" s="4">
        <v>5</v>
      </c>
      <c r="R430" s="4" t="str">
        <f>TEXT(Table1[[#This Row],[Order Date]],"mmm")</f>
        <v>Jun</v>
      </c>
      <c r="S430" s="4" t="str">
        <f>TEXT(Table1[[#This Row],[Order Date]],"mm")</f>
        <v>06</v>
      </c>
      <c r="T430" s="4" t="str">
        <f>IF(Table1[[#This Row],[Sales]]&lt;0,"loss","profit")</f>
        <v>profit</v>
      </c>
      <c r="U430" s="4" t="str" cm="1">
        <f t="array" ref="U430">_xlfn.IFS(Table1[[#This Row],[Sales]]&gt;2000,"large",Table1[[#This Row],[Sales]]&gt;=500,"medium",Table1[[#This Row],[Sales]]&lt;500,"small")</f>
        <v>small</v>
      </c>
      <c r="V430" s="22">
        <f>Table1[[#This Row],[Profit]]/Table1[[#This Row],[Sales]]*100</f>
        <v>21.987261562048914</v>
      </c>
    </row>
    <row r="431" spans="1:22" x14ac:dyDescent="0.35">
      <c r="A431" s="4" t="s">
        <v>768</v>
      </c>
      <c r="B431" s="5">
        <v>45810</v>
      </c>
      <c r="C431" s="4" t="s">
        <v>769</v>
      </c>
      <c r="D431" s="4" t="s">
        <v>47</v>
      </c>
      <c r="E431" s="4" t="s">
        <v>21</v>
      </c>
      <c r="F431" s="4" t="s">
        <v>81</v>
      </c>
      <c r="G431" s="4" t="s">
        <v>31</v>
      </c>
      <c r="H431" s="4" t="s">
        <v>147</v>
      </c>
      <c r="I431" s="4">
        <v>2</v>
      </c>
      <c r="J431" s="6">
        <v>65.44</v>
      </c>
      <c r="K431" s="7">
        <v>0</v>
      </c>
      <c r="L431" s="6">
        <f t="shared" si="12"/>
        <v>130.88</v>
      </c>
      <c r="M431" s="6">
        <v>43.92</v>
      </c>
      <c r="N431" s="8">
        <f t="shared" si="13"/>
        <v>43.039999999999992</v>
      </c>
      <c r="O431" s="4" t="s">
        <v>40</v>
      </c>
      <c r="P431" s="4" t="s">
        <v>72</v>
      </c>
      <c r="Q431" s="4">
        <v>3</v>
      </c>
      <c r="R431" s="4" t="str">
        <f>TEXT(Table1[[#This Row],[Order Date]],"mmm")</f>
        <v>Jun</v>
      </c>
      <c r="S431" s="4" t="str">
        <f>TEXT(Table1[[#This Row],[Order Date]],"mm")</f>
        <v>06</v>
      </c>
      <c r="T431" s="4" t="str">
        <f>IF(Table1[[#This Row],[Sales]]&lt;0,"loss","profit")</f>
        <v>profit</v>
      </c>
      <c r="U431" s="4" t="str" cm="1">
        <f t="array" ref="U431">_xlfn.IFS(Table1[[#This Row],[Sales]]&gt;2000,"large",Table1[[#This Row],[Sales]]&gt;=500,"medium",Table1[[#This Row],[Sales]]&lt;500,"small")</f>
        <v>small</v>
      </c>
      <c r="V431" s="22">
        <f>Table1[[#This Row],[Profit]]/Table1[[#This Row],[Sales]]*100</f>
        <v>32.885085574572123</v>
      </c>
    </row>
    <row r="432" spans="1:22" x14ac:dyDescent="0.35">
      <c r="A432" s="4" t="s">
        <v>770</v>
      </c>
      <c r="B432" s="5">
        <v>45810</v>
      </c>
      <c r="C432" s="4" t="s">
        <v>771</v>
      </c>
      <c r="D432" s="4" t="s">
        <v>47</v>
      </c>
      <c r="E432" s="4" t="s">
        <v>87</v>
      </c>
      <c r="F432" s="4" t="s">
        <v>124</v>
      </c>
      <c r="G432" s="4" t="s">
        <v>67</v>
      </c>
      <c r="H432" s="4" t="s">
        <v>121</v>
      </c>
      <c r="I432" s="4">
        <v>2</v>
      </c>
      <c r="J432" s="6">
        <v>85.89</v>
      </c>
      <c r="K432" s="7">
        <v>0.05</v>
      </c>
      <c r="L432" s="6">
        <f t="shared" si="12"/>
        <v>163.191</v>
      </c>
      <c r="M432" s="6">
        <v>57.22</v>
      </c>
      <c r="N432" s="8">
        <f t="shared" si="13"/>
        <v>48.751000000000005</v>
      </c>
      <c r="O432" s="4" t="s">
        <v>40</v>
      </c>
      <c r="P432" s="4" t="s">
        <v>26</v>
      </c>
      <c r="Q432" s="4">
        <v>5</v>
      </c>
      <c r="R432" s="4" t="str">
        <f>TEXT(Table1[[#This Row],[Order Date]],"mmm")</f>
        <v>Jun</v>
      </c>
      <c r="S432" s="4" t="str">
        <f>TEXT(Table1[[#This Row],[Order Date]],"mm")</f>
        <v>06</v>
      </c>
      <c r="T432" s="4" t="str">
        <f>IF(Table1[[#This Row],[Sales]]&lt;0,"loss","profit")</f>
        <v>profit</v>
      </c>
      <c r="U432" s="4" t="str" cm="1">
        <f t="array" ref="U432">_xlfn.IFS(Table1[[#This Row],[Sales]]&gt;2000,"large",Table1[[#This Row],[Sales]]&gt;=500,"medium",Table1[[#This Row],[Sales]]&lt;500,"small")</f>
        <v>small</v>
      </c>
      <c r="V432" s="22">
        <f>Table1[[#This Row],[Profit]]/Table1[[#This Row],[Sales]]*100</f>
        <v>29.873583714788193</v>
      </c>
    </row>
    <row r="433" spans="1:22" x14ac:dyDescent="0.35">
      <c r="A433" s="4" t="s">
        <v>772</v>
      </c>
      <c r="B433" s="5">
        <v>45810</v>
      </c>
      <c r="C433" s="4" t="s">
        <v>594</v>
      </c>
      <c r="D433" s="4" t="s">
        <v>43</v>
      </c>
      <c r="E433" s="4" t="s">
        <v>29</v>
      </c>
      <c r="F433" s="4" t="s">
        <v>108</v>
      </c>
      <c r="G433" s="4" t="s">
        <v>49</v>
      </c>
      <c r="H433" s="4" t="s">
        <v>187</v>
      </c>
      <c r="I433" s="4">
        <v>3</v>
      </c>
      <c r="J433" s="6">
        <v>57.74</v>
      </c>
      <c r="K433" s="7">
        <v>0.15</v>
      </c>
      <c r="L433" s="6">
        <f t="shared" si="12"/>
        <v>147.23699999999999</v>
      </c>
      <c r="M433" s="6">
        <v>33.24</v>
      </c>
      <c r="N433" s="8">
        <f t="shared" si="13"/>
        <v>47.516999999999996</v>
      </c>
      <c r="O433" s="4" t="s">
        <v>25</v>
      </c>
      <c r="P433" s="4" t="s">
        <v>75</v>
      </c>
      <c r="Q433" s="4">
        <v>3</v>
      </c>
      <c r="R433" s="4" t="str">
        <f>TEXT(Table1[[#This Row],[Order Date]],"mmm")</f>
        <v>Jun</v>
      </c>
      <c r="S433" s="4" t="str">
        <f>TEXT(Table1[[#This Row],[Order Date]],"mm")</f>
        <v>06</v>
      </c>
      <c r="T433" s="4" t="str">
        <f>IF(Table1[[#This Row],[Sales]]&lt;0,"loss","profit")</f>
        <v>profit</v>
      </c>
      <c r="U433" s="4" t="str" cm="1">
        <f t="array" ref="U433">_xlfn.IFS(Table1[[#This Row],[Sales]]&gt;2000,"large",Table1[[#This Row],[Sales]]&gt;=500,"medium",Table1[[#This Row],[Sales]]&lt;500,"small")</f>
        <v>small</v>
      </c>
      <c r="V433" s="22">
        <f>Table1[[#This Row],[Profit]]/Table1[[#This Row],[Sales]]*100</f>
        <v>32.272458689052343</v>
      </c>
    </row>
    <row r="434" spans="1:22" x14ac:dyDescent="0.35">
      <c r="A434" s="4" t="s">
        <v>773</v>
      </c>
      <c r="B434" s="5">
        <v>45811</v>
      </c>
      <c r="C434" s="4" t="s">
        <v>774</v>
      </c>
      <c r="D434" s="4" t="s">
        <v>43</v>
      </c>
      <c r="E434" s="4" t="s">
        <v>36</v>
      </c>
      <c r="F434" s="4" t="s">
        <v>37</v>
      </c>
      <c r="G434" s="4" t="s">
        <v>31</v>
      </c>
      <c r="H434" s="4" t="s">
        <v>125</v>
      </c>
      <c r="I434" s="4">
        <v>8</v>
      </c>
      <c r="J434" s="6">
        <v>163.91</v>
      </c>
      <c r="K434" s="7">
        <v>0.05</v>
      </c>
      <c r="L434" s="6">
        <f t="shared" si="12"/>
        <v>1245.7159999999999</v>
      </c>
      <c r="M434" s="6">
        <v>120.28</v>
      </c>
      <c r="N434" s="8">
        <f t="shared" si="13"/>
        <v>283.47599999999989</v>
      </c>
      <c r="O434" s="4" t="s">
        <v>60</v>
      </c>
      <c r="P434" s="4" t="s">
        <v>56</v>
      </c>
      <c r="Q434" s="4">
        <v>4</v>
      </c>
      <c r="R434" s="4" t="str">
        <f>TEXT(Table1[[#This Row],[Order Date]],"mmm")</f>
        <v>Jun</v>
      </c>
      <c r="S434" s="4" t="str">
        <f>TEXT(Table1[[#This Row],[Order Date]],"mm")</f>
        <v>06</v>
      </c>
      <c r="T434" s="4" t="str">
        <f>IF(Table1[[#This Row],[Sales]]&lt;0,"loss","profit")</f>
        <v>profit</v>
      </c>
      <c r="U434" s="4" t="str" cm="1">
        <f t="array" ref="U434">_xlfn.IFS(Table1[[#This Row],[Sales]]&gt;2000,"large",Table1[[#This Row],[Sales]]&gt;=500,"medium",Table1[[#This Row],[Sales]]&lt;500,"small")</f>
        <v>medium</v>
      </c>
      <c r="V434" s="22">
        <f>Table1[[#This Row],[Profit]]/Table1[[#This Row],[Sales]]*100</f>
        <v>22.756069601739075</v>
      </c>
    </row>
    <row r="435" spans="1:22" x14ac:dyDescent="0.35">
      <c r="A435" s="4" t="s">
        <v>775</v>
      </c>
      <c r="B435" s="5">
        <v>45811</v>
      </c>
      <c r="C435" s="4" t="s">
        <v>776</v>
      </c>
      <c r="D435" s="4" t="s">
        <v>47</v>
      </c>
      <c r="E435" s="4" t="s">
        <v>21</v>
      </c>
      <c r="F435" s="4" t="s">
        <v>59</v>
      </c>
      <c r="G435" s="4" t="s">
        <v>23</v>
      </c>
      <c r="H435" s="4" t="s">
        <v>135</v>
      </c>
      <c r="I435" s="4">
        <v>4</v>
      </c>
      <c r="J435" s="6">
        <v>17.87</v>
      </c>
      <c r="K435" s="7">
        <v>0</v>
      </c>
      <c r="L435" s="6">
        <f t="shared" si="12"/>
        <v>71.48</v>
      </c>
      <c r="M435" s="6">
        <v>10.83</v>
      </c>
      <c r="N435" s="8">
        <f t="shared" si="13"/>
        <v>28.160000000000004</v>
      </c>
      <c r="O435" s="4" t="s">
        <v>51</v>
      </c>
      <c r="P435" s="4" t="s">
        <v>56</v>
      </c>
      <c r="Q435" s="4">
        <v>4</v>
      </c>
      <c r="R435" s="4" t="str">
        <f>TEXT(Table1[[#This Row],[Order Date]],"mmm")</f>
        <v>Jun</v>
      </c>
      <c r="S435" s="4" t="str">
        <f>TEXT(Table1[[#This Row],[Order Date]],"mm")</f>
        <v>06</v>
      </c>
      <c r="T435" s="4" t="str">
        <f>IF(Table1[[#This Row],[Sales]]&lt;0,"loss","profit")</f>
        <v>profit</v>
      </c>
      <c r="U435" s="4" t="str" cm="1">
        <f t="array" ref="U435">_xlfn.IFS(Table1[[#This Row],[Sales]]&gt;2000,"large",Table1[[#This Row],[Sales]]&gt;=500,"medium",Table1[[#This Row],[Sales]]&lt;500,"small")</f>
        <v>small</v>
      </c>
      <c r="V435" s="22">
        <f>Table1[[#This Row],[Profit]]/Table1[[#This Row],[Sales]]*100</f>
        <v>39.395635142697259</v>
      </c>
    </row>
    <row r="436" spans="1:22" x14ac:dyDescent="0.35">
      <c r="A436" s="4" t="s">
        <v>777</v>
      </c>
      <c r="B436" s="5">
        <v>45811</v>
      </c>
      <c r="C436" s="4" t="s">
        <v>348</v>
      </c>
      <c r="D436" s="4" t="s">
        <v>43</v>
      </c>
      <c r="E436" s="4" t="s">
        <v>36</v>
      </c>
      <c r="F436" s="4" t="s">
        <v>201</v>
      </c>
      <c r="G436" s="4" t="s">
        <v>31</v>
      </c>
      <c r="H436" s="4" t="s">
        <v>125</v>
      </c>
      <c r="I436" s="4">
        <v>6</v>
      </c>
      <c r="J436" s="6">
        <v>158.04</v>
      </c>
      <c r="K436" s="7">
        <v>0.05</v>
      </c>
      <c r="L436" s="6">
        <f t="shared" si="12"/>
        <v>900.82799999999997</v>
      </c>
      <c r="M436" s="6">
        <v>94.48</v>
      </c>
      <c r="N436" s="8">
        <f t="shared" si="13"/>
        <v>333.94799999999998</v>
      </c>
      <c r="O436" s="4" t="s">
        <v>60</v>
      </c>
      <c r="P436" s="4" t="s">
        <v>56</v>
      </c>
      <c r="Q436" s="4">
        <v>4</v>
      </c>
      <c r="R436" s="4" t="str">
        <f>TEXT(Table1[[#This Row],[Order Date]],"mmm")</f>
        <v>Jun</v>
      </c>
      <c r="S436" s="4" t="str">
        <f>TEXT(Table1[[#This Row],[Order Date]],"mm")</f>
        <v>06</v>
      </c>
      <c r="T436" s="4" t="str">
        <f>IF(Table1[[#This Row],[Sales]]&lt;0,"loss","profit")</f>
        <v>profit</v>
      </c>
      <c r="U436" s="4" t="str" cm="1">
        <f t="array" ref="U436">_xlfn.IFS(Table1[[#This Row],[Sales]]&gt;2000,"large",Table1[[#This Row],[Sales]]&gt;=500,"medium",Table1[[#This Row],[Sales]]&lt;500,"small")</f>
        <v>medium</v>
      </c>
      <c r="V436" s="22">
        <f>Table1[[#This Row],[Profit]]/Table1[[#This Row],[Sales]]*100</f>
        <v>37.071227803753878</v>
      </c>
    </row>
    <row r="437" spans="1:22" x14ac:dyDescent="0.35">
      <c r="A437" s="4" t="s">
        <v>778</v>
      </c>
      <c r="B437" s="5">
        <v>45812</v>
      </c>
      <c r="C437" s="4" t="s">
        <v>180</v>
      </c>
      <c r="D437" s="4" t="s">
        <v>47</v>
      </c>
      <c r="E437" s="4" t="s">
        <v>36</v>
      </c>
      <c r="F437" s="4" t="s">
        <v>201</v>
      </c>
      <c r="G437" s="4" t="s">
        <v>23</v>
      </c>
      <c r="H437" s="4" t="s">
        <v>135</v>
      </c>
      <c r="I437" s="4">
        <v>3</v>
      </c>
      <c r="J437" s="6">
        <v>20.69</v>
      </c>
      <c r="K437" s="7">
        <v>0.1</v>
      </c>
      <c r="L437" s="6">
        <f t="shared" si="12"/>
        <v>55.863000000000007</v>
      </c>
      <c r="M437" s="6">
        <v>10.7</v>
      </c>
      <c r="N437" s="8">
        <f t="shared" si="13"/>
        <v>23.763000000000012</v>
      </c>
      <c r="O437" s="4" t="s">
        <v>84</v>
      </c>
      <c r="P437" s="4" t="s">
        <v>26</v>
      </c>
      <c r="Q437" s="4">
        <v>2</v>
      </c>
      <c r="R437" s="4" t="str">
        <f>TEXT(Table1[[#This Row],[Order Date]],"mmm")</f>
        <v>Jun</v>
      </c>
      <c r="S437" s="4" t="str">
        <f>TEXT(Table1[[#This Row],[Order Date]],"mm")</f>
        <v>06</v>
      </c>
      <c r="T437" s="4" t="str">
        <f>IF(Table1[[#This Row],[Sales]]&lt;0,"loss","profit")</f>
        <v>profit</v>
      </c>
      <c r="U437" s="4" t="str" cm="1">
        <f t="array" ref="U437">_xlfn.IFS(Table1[[#This Row],[Sales]]&gt;2000,"large",Table1[[#This Row],[Sales]]&gt;=500,"medium",Table1[[#This Row],[Sales]]&lt;500,"small")</f>
        <v>small</v>
      </c>
      <c r="V437" s="22">
        <f>Table1[[#This Row],[Profit]]/Table1[[#This Row],[Sales]]*100</f>
        <v>42.53799473712477</v>
      </c>
    </row>
    <row r="438" spans="1:22" x14ac:dyDescent="0.35">
      <c r="A438" s="4" t="s">
        <v>779</v>
      </c>
      <c r="B438" s="5">
        <v>45812</v>
      </c>
      <c r="C438" s="4" t="s">
        <v>154</v>
      </c>
      <c r="D438" s="4" t="s">
        <v>47</v>
      </c>
      <c r="E438" s="4" t="s">
        <v>21</v>
      </c>
      <c r="F438" s="4" t="s">
        <v>22</v>
      </c>
      <c r="G438" s="4" t="s">
        <v>67</v>
      </c>
      <c r="H438" s="4" t="s">
        <v>93</v>
      </c>
      <c r="I438" s="4">
        <v>1</v>
      </c>
      <c r="J438" s="6">
        <v>258.42</v>
      </c>
      <c r="K438" s="7">
        <v>0.1</v>
      </c>
      <c r="L438" s="6">
        <f t="shared" si="12"/>
        <v>232.57800000000003</v>
      </c>
      <c r="M438" s="6">
        <v>157.29</v>
      </c>
      <c r="N438" s="8">
        <f t="shared" si="13"/>
        <v>75.288000000000039</v>
      </c>
      <c r="O438" s="4" t="s">
        <v>84</v>
      </c>
      <c r="P438" s="4" t="s">
        <v>75</v>
      </c>
      <c r="Q438" s="4">
        <v>3</v>
      </c>
      <c r="R438" s="4" t="str">
        <f>TEXT(Table1[[#This Row],[Order Date]],"mmm")</f>
        <v>Jun</v>
      </c>
      <c r="S438" s="4" t="str">
        <f>TEXT(Table1[[#This Row],[Order Date]],"mm")</f>
        <v>06</v>
      </c>
      <c r="T438" s="4" t="str">
        <f>IF(Table1[[#This Row],[Sales]]&lt;0,"loss","profit")</f>
        <v>profit</v>
      </c>
      <c r="U438" s="4" t="str" cm="1">
        <f t="array" ref="U438">_xlfn.IFS(Table1[[#This Row],[Sales]]&gt;2000,"large",Table1[[#This Row],[Sales]]&gt;=500,"medium",Table1[[#This Row],[Sales]]&lt;500,"small")</f>
        <v>small</v>
      </c>
      <c r="V438" s="22">
        <f>Table1[[#This Row],[Profit]]/Table1[[#This Row],[Sales]]*100</f>
        <v>32.371075510151449</v>
      </c>
    </row>
    <row r="439" spans="1:22" x14ac:dyDescent="0.35">
      <c r="A439" s="4" t="s">
        <v>780</v>
      </c>
      <c r="B439" s="5">
        <v>45812</v>
      </c>
      <c r="C439" s="4" t="s">
        <v>398</v>
      </c>
      <c r="D439" s="4" t="s">
        <v>20</v>
      </c>
      <c r="E439" s="4" t="s">
        <v>21</v>
      </c>
      <c r="F439" s="4" t="s">
        <v>81</v>
      </c>
      <c r="G439" s="4" t="s">
        <v>49</v>
      </c>
      <c r="H439" s="4" t="s">
        <v>128</v>
      </c>
      <c r="I439" s="4">
        <v>1</v>
      </c>
      <c r="J439" s="6">
        <v>84.24</v>
      </c>
      <c r="K439" s="7">
        <v>0</v>
      </c>
      <c r="L439" s="6">
        <f t="shared" si="12"/>
        <v>84.24</v>
      </c>
      <c r="M439" s="6">
        <v>56.1</v>
      </c>
      <c r="N439" s="8">
        <f t="shared" si="13"/>
        <v>28.139999999999993</v>
      </c>
      <c r="O439" s="4" t="s">
        <v>25</v>
      </c>
      <c r="P439" s="4" t="s">
        <v>97</v>
      </c>
      <c r="Q439" s="4">
        <v>4</v>
      </c>
      <c r="R439" s="4" t="str">
        <f>TEXT(Table1[[#This Row],[Order Date]],"mmm")</f>
        <v>Jun</v>
      </c>
      <c r="S439" s="4" t="str">
        <f>TEXT(Table1[[#This Row],[Order Date]],"mm")</f>
        <v>06</v>
      </c>
      <c r="T439" s="4" t="str">
        <f>IF(Table1[[#This Row],[Sales]]&lt;0,"loss","profit")</f>
        <v>profit</v>
      </c>
      <c r="U439" s="4" t="str" cm="1">
        <f t="array" ref="U439">_xlfn.IFS(Table1[[#This Row],[Sales]]&gt;2000,"large",Table1[[#This Row],[Sales]]&gt;=500,"medium",Table1[[#This Row],[Sales]]&lt;500,"small")</f>
        <v>small</v>
      </c>
      <c r="V439" s="22">
        <f>Table1[[#This Row],[Profit]]/Table1[[#This Row],[Sales]]*100</f>
        <v>33.404558404558401</v>
      </c>
    </row>
    <row r="440" spans="1:22" x14ac:dyDescent="0.35">
      <c r="A440" s="4" t="s">
        <v>781</v>
      </c>
      <c r="B440" s="5">
        <v>45812</v>
      </c>
      <c r="C440" s="4" t="s">
        <v>782</v>
      </c>
      <c r="D440" s="4" t="s">
        <v>47</v>
      </c>
      <c r="E440" s="4" t="s">
        <v>29</v>
      </c>
      <c r="F440" s="4" t="s">
        <v>30</v>
      </c>
      <c r="G440" s="4" t="s">
        <v>31</v>
      </c>
      <c r="H440" s="4" t="s">
        <v>64</v>
      </c>
      <c r="I440" s="4">
        <v>2</v>
      </c>
      <c r="J440" s="6">
        <v>142.09</v>
      </c>
      <c r="K440" s="7">
        <v>0</v>
      </c>
      <c r="L440" s="6">
        <f t="shared" si="12"/>
        <v>284.18</v>
      </c>
      <c r="M440" s="6">
        <v>87.65</v>
      </c>
      <c r="N440" s="8">
        <f t="shared" si="13"/>
        <v>108.88</v>
      </c>
      <c r="O440" s="4" t="s">
        <v>25</v>
      </c>
      <c r="P440" s="4" t="s">
        <v>72</v>
      </c>
      <c r="Q440" s="4">
        <v>4</v>
      </c>
      <c r="R440" s="4" t="str">
        <f>TEXT(Table1[[#This Row],[Order Date]],"mmm")</f>
        <v>Jun</v>
      </c>
      <c r="S440" s="4" t="str">
        <f>TEXT(Table1[[#This Row],[Order Date]],"mm")</f>
        <v>06</v>
      </c>
      <c r="T440" s="4" t="str">
        <f>IF(Table1[[#This Row],[Sales]]&lt;0,"loss","profit")</f>
        <v>profit</v>
      </c>
      <c r="U440" s="4" t="str" cm="1">
        <f t="array" ref="U440">_xlfn.IFS(Table1[[#This Row],[Sales]]&gt;2000,"large",Table1[[#This Row],[Sales]]&gt;=500,"medium",Table1[[#This Row],[Sales]]&lt;500,"small")</f>
        <v>small</v>
      </c>
      <c r="V440" s="22">
        <f>Table1[[#This Row],[Profit]]/Table1[[#This Row],[Sales]]*100</f>
        <v>38.3137448096277</v>
      </c>
    </row>
    <row r="441" spans="1:22" x14ac:dyDescent="0.35">
      <c r="A441" s="4" t="s">
        <v>783</v>
      </c>
      <c r="B441" s="5">
        <v>45813</v>
      </c>
      <c r="C441" s="4" t="s">
        <v>446</v>
      </c>
      <c r="D441" s="4" t="s">
        <v>47</v>
      </c>
      <c r="E441" s="4" t="s">
        <v>87</v>
      </c>
      <c r="F441" s="4" t="s">
        <v>124</v>
      </c>
      <c r="G441" s="4" t="s">
        <v>49</v>
      </c>
      <c r="H441" s="4" t="s">
        <v>50</v>
      </c>
      <c r="I441" s="4">
        <v>6</v>
      </c>
      <c r="J441" s="6">
        <v>17.64</v>
      </c>
      <c r="K441" s="7">
        <v>0.1</v>
      </c>
      <c r="L441" s="6">
        <f t="shared" si="12"/>
        <v>95.256</v>
      </c>
      <c r="M441" s="6">
        <v>12.23</v>
      </c>
      <c r="N441" s="8">
        <f t="shared" si="13"/>
        <v>21.876000000000005</v>
      </c>
      <c r="O441" s="4" t="s">
        <v>84</v>
      </c>
      <c r="P441" s="4" t="s">
        <v>61</v>
      </c>
      <c r="Q441" s="4">
        <v>3</v>
      </c>
      <c r="R441" s="4" t="str">
        <f>TEXT(Table1[[#This Row],[Order Date]],"mmm")</f>
        <v>Jun</v>
      </c>
      <c r="S441" s="4" t="str">
        <f>TEXT(Table1[[#This Row],[Order Date]],"mm")</f>
        <v>06</v>
      </c>
      <c r="T441" s="4" t="str">
        <f>IF(Table1[[#This Row],[Sales]]&lt;0,"loss","profit")</f>
        <v>profit</v>
      </c>
      <c r="U441" s="4" t="str" cm="1">
        <f t="array" ref="U441">_xlfn.IFS(Table1[[#This Row],[Sales]]&gt;2000,"large",Table1[[#This Row],[Sales]]&gt;=500,"medium",Table1[[#This Row],[Sales]]&lt;500,"small")</f>
        <v>small</v>
      </c>
      <c r="V441" s="22">
        <f>Table1[[#This Row],[Profit]]/Table1[[#This Row],[Sales]]*100</f>
        <v>22.965482489292018</v>
      </c>
    </row>
    <row r="442" spans="1:22" x14ac:dyDescent="0.35">
      <c r="A442" s="4" t="s">
        <v>784</v>
      </c>
      <c r="B442" s="5">
        <v>45813</v>
      </c>
      <c r="C442" s="4" t="s">
        <v>142</v>
      </c>
      <c r="D442" s="4" t="s">
        <v>43</v>
      </c>
      <c r="E442" s="4" t="s">
        <v>36</v>
      </c>
      <c r="F442" s="4" t="s">
        <v>48</v>
      </c>
      <c r="G442" s="4" t="s">
        <v>38</v>
      </c>
      <c r="H442" s="4" t="s">
        <v>55</v>
      </c>
      <c r="I442" s="4">
        <v>1</v>
      </c>
      <c r="J442" s="6">
        <v>185.12</v>
      </c>
      <c r="K442" s="7">
        <v>0.1</v>
      </c>
      <c r="L442" s="6">
        <f t="shared" si="12"/>
        <v>166.608</v>
      </c>
      <c r="M442" s="6">
        <v>154.37</v>
      </c>
      <c r="N442" s="8">
        <f t="shared" si="13"/>
        <v>12.238</v>
      </c>
      <c r="O442" s="4" t="s">
        <v>25</v>
      </c>
      <c r="P442" s="4" t="s">
        <v>61</v>
      </c>
      <c r="Q442" s="4">
        <v>4</v>
      </c>
      <c r="R442" s="4" t="str">
        <f>TEXT(Table1[[#This Row],[Order Date]],"mmm")</f>
        <v>Jun</v>
      </c>
      <c r="S442" s="4" t="str">
        <f>TEXT(Table1[[#This Row],[Order Date]],"mm")</f>
        <v>06</v>
      </c>
      <c r="T442" s="4" t="str">
        <f>IF(Table1[[#This Row],[Sales]]&lt;0,"loss","profit")</f>
        <v>profit</v>
      </c>
      <c r="U442" s="4" t="str" cm="1">
        <f t="array" ref="U442">_xlfn.IFS(Table1[[#This Row],[Sales]]&gt;2000,"large",Table1[[#This Row],[Sales]]&gt;=500,"medium",Table1[[#This Row],[Sales]]&lt;500,"small")</f>
        <v>small</v>
      </c>
      <c r="V442" s="22">
        <f>Table1[[#This Row],[Profit]]/Table1[[#This Row],[Sales]]*100</f>
        <v>7.3453855757226547</v>
      </c>
    </row>
    <row r="443" spans="1:22" x14ac:dyDescent="0.35">
      <c r="A443" s="4" t="s">
        <v>785</v>
      </c>
      <c r="B443" s="5">
        <v>45814</v>
      </c>
      <c r="C443" s="4" t="s">
        <v>505</v>
      </c>
      <c r="D443" s="4" t="s">
        <v>43</v>
      </c>
      <c r="E443" s="4" t="s">
        <v>21</v>
      </c>
      <c r="F443" s="4" t="s">
        <v>81</v>
      </c>
      <c r="G443" s="4" t="s">
        <v>23</v>
      </c>
      <c r="H443" s="4" t="s">
        <v>24</v>
      </c>
      <c r="I443" s="4">
        <v>8</v>
      </c>
      <c r="J443" s="6">
        <v>59.69</v>
      </c>
      <c r="K443" s="7">
        <v>0.1</v>
      </c>
      <c r="L443" s="6">
        <f t="shared" si="12"/>
        <v>429.76799999999997</v>
      </c>
      <c r="M443" s="6">
        <v>36.99</v>
      </c>
      <c r="N443" s="8">
        <f t="shared" si="13"/>
        <v>133.84799999999996</v>
      </c>
      <c r="O443" s="4" t="s">
        <v>84</v>
      </c>
      <c r="P443" s="4" t="s">
        <v>75</v>
      </c>
      <c r="Q443" s="4">
        <v>5</v>
      </c>
      <c r="R443" s="4" t="str">
        <f>TEXT(Table1[[#This Row],[Order Date]],"mmm")</f>
        <v>Jun</v>
      </c>
      <c r="S443" s="4" t="str">
        <f>TEXT(Table1[[#This Row],[Order Date]],"mm")</f>
        <v>06</v>
      </c>
      <c r="T443" s="4" t="str">
        <f>IF(Table1[[#This Row],[Sales]]&lt;0,"loss","profit")</f>
        <v>profit</v>
      </c>
      <c r="U443" s="4" t="str" cm="1">
        <f t="array" ref="U443">_xlfn.IFS(Table1[[#This Row],[Sales]]&gt;2000,"large",Table1[[#This Row],[Sales]]&gt;=500,"medium",Table1[[#This Row],[Sales]]&lt;500,"small")</f>
        <v>small</v>
      </c>
      <c r="V443" s="22">
        <f>Table1[[#This Row],[Profit]]/Table1[[#This Row],[Sales]]*100</f>
        <v>31.144245267213932</v>
      </c>
    </row>
    <row r="444" spans="1:22" x14ac:dyDescent="0.35">
      <c r="A444" s="4" t="s">
        <v>786</v>
      </c>
      <c r="B444" s="5">
        <v>45814</v>
      </c>
      <c r="C444" s="4" t="s">
        <v>787</v>
      </c>
      <c r="D444" s="4" t="s">
        <v>43</v>
      </c>
      <c r="E444" s="4" t="s">
        <v>36</v>
      </c>
      <c r="F444" s="4" t="s">
        <v>37</v>
      </c>
      <c r="G444" s="4" t="s">
        <v>23</v>
      </c>
      <c r="H444" s="4" t="s">
        <v>71</v>
      </c>
      <c r="I444" s="4">
        <v>3</v>
      </c>
      <c r="J444" s="6">
        <v>158.27000000000001</v>
      </c>
      <c r="K444" s="7">
        <v>0.1</v>
      </c>
      <c r="L444" s="6">
        <f t="shared" si="12"/>
        <v>427.32900000000006</v>
      </c>
      <c r="M444" s="6">
        <v>91.18</v>
      </c>
      <c r="N444" s="8">
        <f t="shared" si="13"/>
        <v>153.78900000000004</v>
      </c>
      <c r="O444" s="4" t="s">
        <v>25</v>
      </c>
      <c r="P444" s="4" t="s">
        <v>56</v>
      </c>
      <c r="Q444" s="4">
        <v>5</v>
      </c>
      <c r="R444" s="4" t="str">
        <f>TEXT(Table1[[#This Row],[Order Date]],"mmm")</f>
        <v>Jun</v>
      </c>
      <c r="S444" s="4" t="str">
        <f>TEXT(Table1[[#This Row],[Order Date]],"mm")</f>
        <v>06</v>
      </c>
      <c r="T444" s="4" t="str">
        <f>IF(Table1[[#This Row],[Sales]]&lt;0,"loss","profit")</f>
        <v>profit</v>
      </c>
      <c r="U444" s="4" t="str" cm="1">
        <f t="array" ref="U444">_xlfn.IFS(Table1[[#This Row],[Sales]]&gt;2000,"large",Table1[[#This Row],[Sales]]&gt;=500,"medium",Table1[[#This Row],[Sales]]&lt;500,"small")</f>
        <v>small</v>
      </c>
      <c r="V444" s="22">
        <f>Table1[[#This Row],[Profit]]/Table1[[#This Row],[Sales]]*100</f>
        <v>35.988430459903263</v>
      </c>
    </row>
    <row r="445" spans="1:22" x14ac:dyDescent="0.35">
      <c r="A445" s="4" t="s">
        <v>788</v>
      </c>
      <c r="B445" s="5">
        <v>45814</v>
      </c>
      <c r="C445" s="4" t="s">
        <v>789</v>
      </c>
      <c r="D445" s="4" t="s">
        <v>47</v>
      </c>
      <c r="E445" s="4" t="s">
        <v>21</v>
      </c>
      <c r="F445" s="4" t="s">
        <v>81</v>
      </c>
      <c r="G445" s="4" t="s">
        <v>49</v>
      </c>
      <c r="H445" s="4" t="s">
        <v>128</v>
      </c>
      <c r="I445" s="4">
        <v>3</v>
      </c>
      <c r="J445" s="6">
        <v>109.75</v>
      </c>
      <c r="K445" s="7">
        <v>0</v>
      </c>
      <c r="L445" s="6">
        <f t="shared" si="12"/>
        <v>329.25</v>
      </c>
      <c r="M445" s="6">
        <v>79.75</v>
      </c>
      <c r="N445" s="8">
        <f t="shared" si="13"/>
        <v>90</v>
      </c>
      <c r="O445" s="4" t="s">
        <v>25</v>
      </c>
      <c r="P445" s="4" t="s">
        <v>75</v>
      </c>
      <c r="Q445" s="4">
        <v>4</v>
      </c>
      <c r="R445" s="4" t="str">
        <f>TEXT(Table1[[#This Row],[Order Date]],"mmm")</f>
        <v>Jun</v>
      </c>
      <c r="S445" s="4" t="str">
        <f>TEXT(Table1[[#This Row],[Order Date]],"mm")</f>
        <v>06</v>
      </c>
      <c r="T445" s="4" t="str">
        <f>IF(Table1[[#This Row],[Sales]]&lt;0,"loss","profit")</f>
        <v>profit</v>
      </c>
      <c r="U445" s="4" t="str" cm="1">
        <f t="array" ref="U445">_xlfn.IFS(Table1[[#This Row],[Sales]]&gt;2000,"large",Table1[[#This Row],[Sales]]&gt;=500,"medium",Table1[[#This Row],[Sales]]&lt;500,"small")</f>
        <v>small</v>
      </c>
      <c r="V445" s="22">
        <f>Table1[[#This Row],[Profit]]/Table1[[#This Row],[Sales]]*100</f>
        <v>27.33485193621868</v>
      </c>
    </row>
    <row r="446" spans="1:22" x14ac:dyDescent="0.35">
      <c r="A446" s="4" t="s">
        <v>790</v>
      </c>
      <c r="B446" s="5">
        <v>45814</v>
      </c>
      <c r="C446" s="4" t="s">
        <v>264</v>
      </c>
      <c r="D446" s="4" t="s">
        <v>20</v>
      </c>
      <c r="E446" s="4" t="s">
        <v>36</v>
      </c>
      <c r="F446" s="4" t="s">
        <v>48</v>
      </c>
      <c r="G446" s="4" t="s">
        <v>38</v>
      </c>
      <c r="H446" s="4" t="s">
        <v>39</v>
      </c>
      <c r="I446" s="4">
        <v>1</v>
      </c>
      <c r="J446" s="6">
        <v>162.19</v>
      </c>
      <c r="K446" s="7">
        <v>0.05</v>
      </c>
      <c r="L446" s="6">
        <f t="shared" si="12"/>
        <v>154.0805</v>
      </c>
      <c r="M446" s="6">
        <v>123.21</v>
      </c>
      <c r="N446" s="8">
        <f t="shared" si="13"/>
        <v>30.870500000000007</v>
      </c>
      <c r="O446" s="4" t="s">
        <v>60</v>
      </c>
      <c r="P446" s="4" t="s">
        <v>97</v>
      </c>
      <c r="Q446" s="4">
        <v>3</v>
      </c>
      <c r="R446" s="4" t="str">
        <f>TEXT(Table1[[#This Row],[Order Date]],"mmm")</f>
        <v>Jun</v>
      </c>
      <c r="S446" s="4" t="str">
        <f>TEXT(Table1[[#This Row],[Order Date]],"mm")</f>
        <v>06</v>
      </c>
      <c r="T446" s="4" t="str">
        <f>IF(Table1[[#This Row],[Sales]]&lt;0,"loss","profit")</f>
        <v>profit</v>
      </c>
      <c r="U446" s="4" t="str" cm="1">
        <f t="array" ref="U446">_xlfn.IFS(Table1[[#This Row],[Sales]]&gt;2000,"large",Table1[[#This Row],[Sales]]&gt;=500,"medium",Table1[[#This Row],[Sales]]&lt;500,"small")</f>
        <v>small</v>
      </c>
      <c r="V446" s="22">
        <f>Table1[[#This Row],[Profit]]/Table1[[#This Row],[Sales]]*100</f>
        <v>20.035306219800695</v>
      </c>
    </row>
    <row r="447" spans="1:22" x14ac:dyDescent="0.35">
      <c r="A447" s="4" t="s">
        <v>791</v>
      </c>
      <c r="B447" s="5">
        <v>45815</v>
      </c>
      <c r="C447" s="4" t="s">
        <v>792</v>
      </c>
      <c r="D447" s="4" t="s">
        <v>47</v>
      </c>
      <c r="E447" s="4" t="s">
        <v>87</v>
      </c>
      <c r="F447" s="4" t="s">
        <v>124</v>
      </c>
      <c r="G447" s="4" t="s">
        <v>67</v>
      </c>
      <c r="H447" s="4" t="s">
        <v>121</v>
      </c>
      <c r="I447" s="4">
        <v>5</v>
      </c>
      <c r="J447" s="6">
        <v>416.13</v>
      </c>
      <c r="K447" s="7">
        <v>0</v>
      </c>
      <c r="L447" s="6">
        <f t="shared" si="12"/>
        <v>2080.65</v>
      </c>
      <c r="M447" s="6">
        <v>302.85000000000002</v>
      </c>
      <c r="N447" s="8">
        <f t="shared" si="13"/>
        <v>566.40000000000009</v>
      </c>
      <c r="O447" s="4" t="s">
        <v>25</v>
      </c>
      <c r="P447" s="4" t="s">
        <v>118</v>
      </c>
      <c r="Q447" s="4">
        <v>4</v>
      </c>
      <c r="R447" s="4" t="str">
        <f>TEXT(Table1[[#This Row],[Order Date]],"mmm")</f>
        <v>Jun</v>
      </c>
      <c r="S447" s="4" t="str">
        <f>TEXT(Table1[[#This Row],[Order Date]],"mm")</f>
        <v>06</v>
      </c>
      <c r="T447" s="4" t="str">
        <f>IF(Table1[[#This Row],[Sales]]&lt;0,"loss","profit")</f>
        <v>profit</v>
      </c>
      <c r="U447" s="4" t="str" cm="1">
        <f t="array" ref="U447">_xlfn.IFS(Table1[[#This Row],[Sales]]&gt;2000,"large",Table1[[#This Row],[Sales]]&gt;=500,"medium",Table1[[#This Row],[Sales]]&lt;500,"small")</f>
        <v>large</v>
      </c>
      <c r="V447" s="22">
        <f>Table1[[#This Row],[Profit]]/Table1[[#This Row],[Sales]]*100</f>
        <v>27.222262273808667</v>
      </c>
    </row>
    <row r="448" spans="1:22" x14ac:dyDescent="0.35">
      <c r="A448" s="4" t="s">
        <v>793</v>
      </c>
      <c r="B448" s="5">
        <v>45815</v>
      </c>
      <c r="C448" s="4" t="s">
        <v>151</v>
      </c>
      <c r="D448" s="4" t="s">
        <v>20</v>
      </c>
      <c r="E448" s="4" t="s">
        <v>29</v>
      </c>
      <c r="F448" s="4" t="s">
        <v>30</v>
      </c>
      <c r="G448" s="4" t="s">
        <v>49</v>
      </c>
      <c r="H448" s="4" t="s">
        <v>50</v>
      </c>
      <c r="I448" s="4">
        <v>1</v>
      </c>
      <c r="J448" s="6">
        <v>20.2</v>
      </c>
      <c r="K448" s="7">
        <v>0.15</v>
      </c>
      <c r="L448" s="6">
        <f t="shared" si="12"/>
        <v>17.169999999999998</v>
      </c>
      <c r="M448" s="6">
        <v>11.56</v>
      </c>
      <c r="N448" s="8">
        <f t="shared" si="13"/>
        <v>5.6099999999999977</v>
      </c>
      <c r="O448" s="4" t="s">
        <v>40</v>
      </c>
      <c r="P448" s="4" t="s">
        <v>61</v>
      </c>
      <c r="Q448" s="4">
        <v>5</v>
      </c>
      <c r="R448" s="4" t="str">
        <f>TEXT(Table1[[#This Row],[Order Date]],"mmm")</f>
        <v>Jun</v>
      </c>
      <c r="S448" s="4" t="str">
        <f>TEXT(Table1[[#This Row],[Order Date]],"mm")</f>
        <v>06</v>
      </c>
      <c r="T448" s="4" t="str">
        <f>IF(Table1[[#This Row],[Sales]]&lt;0,"loss","profit")</f>
        <v>profit</v>
      </c>
      <c r="U448" s="4" t="str" cm="1">
        <f t="array" ref="U448">_xlfn.IFS(Table1[[#This Row],[Sales]]&gt;2000,"large",Table1[[#This Row],[Sales]]&gt;=500,"medium",Table1[[#This Row],[Sales]]&lt;500,"small")</f>
        <v>small</v>
      </c>
      <c r="V448" s="22">
        <f>Table1[[#This Row],[Profit]]/Table1[[#This Row],[Sales]]*100</f>
        <v>32.673267326732663</v>
      </c>
    </row>
    <row r="449" spans="1:22" x14ac:dyDescent="0.35">
      <c r="A449" s="4" t="s">
        <v>794</v>
      </c>
      <c r="B449" s="5">
        <v>45816</v>
      </c>
      <c r="C449" s="4" t="s">
        <v>795</v>
      </c>
      <c r="D449" s="4" t="s">
        <v>47</v>
      </c>
      <c r="E449" s="4" t="s">
        <v>36</v>
      </c>
      <c r="F449" s="4" t="s">
        <v>48</v>
      </c>
      <c r="G449" s="4" t="s">
        <v>23</v>
      </c>
      <c r="H449" s="4" t="s">
        <v>24</v>
      </c>
      <c r="I449" s="4">
        <v>8</v>
      </c>
      <c r="J449" s="6">
        <v>38.51</v>
      </c>
      <c r="K449" s="7">
        <v>0.05</v>
      </c>
      <c r="L449" s="6">
        <f t="shared" si="12"/>
        <v>292.67599999999999</v>
      </c>
      <c r="M449" s="6">
        <v>20.46</v>
      </c>
      <c r="N449" s="8">
        <f t="shared" si="13"/>
        <v>128.99599999999998</v>
      </c>
      <c r="O449" s="4" t="s">
        <v>60</v>
      </c>
      <c r="P449" s="4" t="s">
        <v>97</v>
      </c>
      <c r="Q449" s="4">
        <v>4</v>
      </c>
      <c r="R449" s="4" t="str">
        <f>TEXT(Table1[[#This Row],[Order Date]],"mmm")</f>
        <v>Jun</v>
      </c>
      <c r="S449" s="4" t="str">
        <f>TEXT(Table1[[#This Row],[Order Date]],"mm")</f>
        <v>06</v>
      </c>
      <c r="T449" s="4" t="str">
        <f>IF(Table1[[#This Row],[Sales]]&lt;0,"loss","profit")</f>
        <v>profit</v>
      </c>
      <c r="U449" s="4" t="str" cm="1">
        <f t="array" ref="U449">_xlfn.IFS(Table1[[#This Row],[Sales]]&gt;2000,"large",Table1[[#This Row],[Sales]]&gt;=500,"medium",Table1[[#This Row],[Sales]]&lt;500,"small")</f>
        <v>small</v>
      </c>
      <c r="V449" s="22">
        <f>Table1[[#This Row],[Profit]]/Table1[[#This Row],[Sales]]*100</f>
        <v>44.074676434008936</v>
      </c>
    </row>
    <row r="450" spans="1:22" x14ac:dyDescent="0.35">
      <c r="A450" s="4" t="s">
        <v>796</v>
      </c>
      <c r="B450" s="5">
        <v>45816</v>
      </c>
      <c r="C450" s="4" t="s">
        <v>797</v>
      </c>
      <c r="D450" s="4" t="s">
        <v>43</v>
      </c>
      <c r="E450" s="4" t="s">
        <v>87</v>
      </c>
      <c r="F450" s="4" t="s">
        <v>88</v>
      </c>
      <c r="G450" s="4" t="s">
        <v>67</v>
      </c>
      <c r="H450" s="4" t="s">
        <v>93</v>
      </c>
      <c r="I450" s="4">
        <v>1</v>
      </c>
      <c r="J450" s="6">
        <v>386.79</v>
      </c>
      <c r="K450" s="7">
        <v>0</v>
      </c>
      <c r="L450" s="6">
        <f t="shared" ref="L450:L513" si="14">I450*J450*(1-K450)</f>
        <v>386.79</v>
      </c>
      <c r="M450" s="6">
        <v>254.49</v>
      </c>
      <c r="N450" s="8">
        <f t="shared" ref="N450:N513" si="15">L450-I450*M450</f>
        <v>132.30000000000001</v>
      </c>
      <c r="O450" s="4" t="s">
        <v>60</v>
      </c>
      <c r="P450" s="4" t="s">
        <v>33</v>
      </c>
      <c r="Q450" s="4">
        <v>5</v>
      </c>
      <c r="R450" s="4" t="str">
        <f>TEXT(Table1[[#This Row],[Order Date]],"mmm")</f>
        <v>Jun</v>
      </c>
      <c r="S450" s="4" t="str">
        <f>TEXT(Table1[[#This Row],[Order Date]],"mm")</f>
        <v>06</v>
      </c>
      <c r="T450" s="4" t="str">
        <f>IF(Table1[[#This Row],[Sales]]&lt;0,"loss","profit")</f>
        <v>profit</v>
      </c>
      <c r="U450" s="4" t="str" cm="1">
        <f t="array" ref="U450">_xlfn.IFS(Table1[[#This Row],[Sales]]&gt;2000,"large",Table1[[#This Row],[Sales]]&gt;=500,"medium",Table1[[#This Row],[Sales]]&lt;500,"small")</f>
        <v>small</v>
      </c>
      <c r="V450" s="22">
        <f>Table1[[#This Row],[Profit]]/Table1[[#This Row],[Sales]]*100</f>
        <v>34.204607151167302</v>
      </c>
    </row>
    <row r="451" spans="1:22" x14ac:dyDescent="0.35">
      <c r="A451" s="4" t="s">
        <v>798</v>
      </c>
      <c r="B451" s="5">
        <v>45817</v>
      </c>
      <c r="C451" s="4" t="s">
        <v>164</v>
      </c>
      <c r="D451" s="4" t="s">
        <v>43</v>
      </c>
      <c r="E451" s="4" t="s">
        <v>87</v>
      </c>
      <c r="F451" s="4" t="s">
        <v>92</v>
      </c>
      <c r="G451" s="4" t="s">
        <v>67</v>
      </c>
      <c r="H451" s="4" t="s">
        <v>68</v>
      </c>
      <c r="I451" s="4">
        <v>2</v>
      </c>
      <c r="J451" s="6">
        <v>502.07</v>
      </c>
      <c r="K451" s="7">
        <v>0.1</v>
      </c>
      <c r="L451" s="6">
        <f t="shared" si="14"/>
        <v>903.726</v>
      </c>
      <c r="M451" s="6">
        <v>322.20999999999998</v>
      </c>
      <c r="N451" s="8">
        <f t="shared" si="15"/>
        <v>259.30600000000004</v>
      </c>
      <c r="O451" s="4" t="s">
        <v>60</v>
      </c>
      <c r="P451" s="4" t="s">
        <v>33</v>
      </c>
      <c r="Q451" s="4">
        <v>4</v>
      </c>
      <c r="R451" s="4" t="str">
        <f>TEXT(Table1[[#This Row],[Order Date]],"mmm")</f>
        <v>Jun</v>
      </c>
      <c r="S451" s="4" t="str">
        <f>TEXT(Table1[[#This Row],[Order Date]],"mm")</f>
        <v>06</v>
      </c>
      <c r="T451" s="4" t="str">
        <f>IF(Table1[[#This Row],[Sales]]&lt;0,"loss","profit")</f>
        <v>profit</v>
      </c>
      <c r="U451" s="4" t="str" cm="1">
        <f t="array" ref="U451">_xlfn.IFS(Table1[[#This Row],[Sales]]&gt;2000,"large",Table1[[#This Row],[Sales]]&gt;=500,"medium",Table1[[#This Row],[Sales]]&lt;500,"small")</f>
        <v>medium</v>
      </c>
      <c r="V451" s="22">
        <f>Table1[[#This Row],[Profit]]/Table1[[#This Row],[Sales]]*100</f>
        <v>28.692988804128689</v>
      </c>
    </row>
    <row r="452" spans="1:22" x14ac:dyDescent="0.35">
      <c r="A452" s="4" t="s">
        <v>799</v>
      </c>
      <c r="B452" s="5">
        <v>45817</v>
      </c>
      <c r="C452" s="4" t="s">
        <v>800</v>
      </c>
      <c r="D452" s="4" t="s">
        <v>20</v>
      </c>
      <c r="E452" s="4" t="s">
        <v>29</v>
      </c>
      <c r="F452" s="4" t="s">
        <v>54</v>
      </c>
      <c r="G452" s="4" t="s">
        <v>23</v>
      </c>
      <c r="H452" s="4" t="s">
        <v>24</v>
      </c>
      <c r="I452" s="4">
        <v>3</v>
      </c>
      <c r="J452" s="6">
        <v>26.85</v>
      </c>
      <c r="K452" s="7">
        <v>0</v>
      </c>
      <c r="L452" s="6">
        <f t="shared" si="14"/>
        <v>80.550000000000011</v>
      </c>
      <c r="M452" s="6">
        <v>12.32</v>
      </c>
      <c r="N452" s="8">
        <f t="shared" si="15"/>
        <v>43.590000000000011</v>
      </c>
      <c r="O452" s="4" t="s">
        <v>40</v>
      </c>
      <c r="P452" s="4" t="s">
        <v>33</v>
      </c>
      <c r="Q452" s="4">
        <v>4</v>
      </c>
      <c r="R452" s="4" t="str">
        <f>TEXT(Table1[[#This Row],[Order Date]],"mmm")</f>
        <v>Jun</v>
      </c>
      <c r="S452" s="4" t="str">
        <f>TEXT(Table1[[#This Row],[Order Date]],"mm")</f>
        <v>06</v>
      </c>
      <c r="T452" s="4" t="str">
        <f>IF(Table1[[#This Row],[Sales]]&lt;0,"loss","profit")</f>
        <v>profit</v>
      </c>
      <c r="U452" s="4" t="str" cm="1">
        <f t="array" ref="U452">_xlfn.IFS(Table1[[#This Row],[Sales]]&gt;2000,"large",Table1[[#This Row],[Sales]]&gt;=500,"medium",Table1[[#This Row],[Sales]]&lt;500,"small")</f>
        <v>small</v>
      </c>
      <c r="V452" s="22">
        <f>Table1[[#This Row],[Profit]]/Table1[[#This Row],[Sales]]*100</f>
        <v>54.115456238361269</v>
      </c>
    </row>
    <row r="453" spans="1:22" x14ac:dyDescent="0.35">
      <c r="A453" s="4" t="s">
        <v>801</v>
      </c>
      <c r="B453" s="5">
        <v>45817</v>
      </c>
      <c r="C453" s="4" t="s">
        <v>802</v>
      </c>
      <c r="D453" s="4" t="s">
        <v>43</v>
      </c>
      <c r="E453" s="4" t="s">
        <v>21</v>
      </c>
      <c r="F453" s="4" t="s">
        <v>81</v>
      </c>
      <c r="G453" s="4" t="s">
        <v>23</v>
      </c>
      <c r="H453" s="4" t="s">
        <v>135</v>
      </c>
      <c r="I453" s="4">
        <v>1</v>
      </c>
      <c r="J453" s="6">
        <v>18.079999999999998</v>
      </c>
      <c r="K453" s="7">
        <v>0</v>
      </c>
      <c r="L453" s="6">
        <f t="shared" si="14"/>
        <v>18.079999999999998</v>
      </c>
      <c r="M453" s="6">
        <v>8.44</v>
      </c>
      <c r="N453" s="8">
        <f t="shared" si="15"/>
        <v>9.6399999999999988</v>
      </c>
      <c r="O453" s="4" t="s">
        <v>84</v>
      </c>
      <c r="P453" s="4" t="s">
        <v>118</v>
      </c>
      <c r="Q453" s="4">
        <v>3</v>
      </c>
      <c r="R453" s="4" t="str">
        <f>TEXT(Table1[[#This Row],[Order Date]],"mmm")</f>
        <v>Jun</v>
      </c>
      <c r="S453" s="4" t="str">
        <f>TEXT(Table1[[#This Row],[Order Date]],"mm")</f>
        <v>06</v>
      </c>
      <c r="T453" s="4" t="str">
        <f>IF(Table1[[#This Row],[Sales]]&lt;0,"loss","profit")</f>
        <v>profit</v>
      </c>
      <c r="U453" s="4" t="str" cm="1">
        <f t="array" ref="U453">_xlfn.IFS(Table1[[#This Row],[Sales]]&gt;2000,"large",Table1[[#This Row],[Sales]]&gt;=500,"medium",Table1[[#This Row],[Sales]]&lt;500,"small")</f>
        <v>small</v>
      </c>
      <c r="V453" s="22">
        <f>Table1[[#This Row],[Profit]]/Table1[[#This Row],[Sales]]*100</f>
        <v>53.318584070796462</v>
      </c>
    </row>
    <row r="454" spans="1:22" x14ac:dyDescent="0.35">
      <c r="A454" s="4" t="s">
        <v>803</v>
      </c>
      <c r="B454" s="5">
        <v>45818</v>
      </c>
      <c r="C454" s="4" t="s">
        <v>270</v>
      </c>
      <c r="D454" s="4" t="s">
        <v>20</v>
      </c>
      <c r="E454" s="4" t="s">
        <v>21</v>
      </c>
      <c r="F454" s="4" t="s">
        <v>81</v>
      </c>
      <c r="G454" s="4" t="s">
        <v>67</v>
      </c>
      <c r="H454" s="4" t="s">
        <v>68</v>
      </c>
      <c r="I454" s="4">
        <v>1</v>
      </c>
      <c r="J454" s="6">
        <v>872.62</v>
      </c>
      <c r="K454" s="7">
        <v>0.1</v>
      </c>
      <c r="L454" s="6">
        <f t="shared" si="14"/>
        <v>785.35800000000006</v>
      </c>
      <c r="M454" s="6">
        <v>531.4</v>
      </c>
      <c r="N454" s="8">
        <f t="shared" si="15"/>
        <v>253.95800000000008</v>
      </c>
      <c r="O454" s="4" t="s">
        <v>84</v>
      </c>
      <c r="P454" s="4" t="s">
        <v>61</v>
      </c>
      <c r="Q454" s="4">
        <v>5</v>
      </c>
      <c r="R454" s="4" t="str">
        <f>TEXT(Table1[[#This Row],[Order Date]],"mmm")</f>
        <v>Jun</v>
      </c>
      <c r="S454" s="4" t="str">
        <f>TEXT(Table1[[#This Row],[Order Date]],"mm")</f>
        <v>06</v>
      </c>
      <c r="T454" s="4" t="str">
        <f>IF(Table1[[#This Row],[Sales]]&lt;0,"loss","profit")</f>
        <v>profit</v>
      </c>
      <c r="U454" s="4" t="str" cm="1">
        <f t="array" ref="U454">_xlfn.IFS(Table1[[#This Row],[Sales]]&gt;2000,"large",Table1[[#This Row],[Sales]]&gt;=500,"medium",Table1[[#This Row],[Sales]]&lt;500,"small")</f>
        <v>medium</v>
      </c>
      <c r="V454" s="22">
        <f>Table1[[#This Row],[Profit]]/Table1[[#This Row],[Sales]]*100</f>
        <v>32.336590446649815</v>
      </c>
    </row>
    <row r="455" spans="1:22" x14ac:dyDescent="0.35">
      <c r="A455" s="4" t="s">
        <v>804</v>
      </c>
      <c r="B455" s="5">
        <v>45818</v>
      </c>
      <c r="C455" s="4" t="s">
        <v>805</v>
      </c>
      <c r="D455" s="4" t="s">
        <v>20</v>
      </c>
      <c r="E455" s="4" t="s">
        <v>36</v>
      </c>
      <c r="F455" s="4" t="s">
        <v>201</v>
      </c>
      <c r="G455" s="4" t="s">
        <v>23</v>
      </c>
      <c r="H455" s="4" t="s">
        <v>24</v>
      </c>
      <c r="I455" s="4">
        <v>3</v>
      </c>
      <c r="J455" s="6">
        <v>60.34</v>
      </c>
      <c r="K455" s="7">
        <v>0.1</v>
      </c>
      <c r="L455" s="6">
        <f t="shared" si="14"/>
        <v>162.91800000000001</v>
      </c>
      <c r="M455" s="6">
        <v>26.06</v>
      </c>
      <c r="N455" s="8">
        <f t="shared" si="15"/>
        <v>84.738000000000014</v>
      </c>
      <c r="O455" s="4" t="s">
        <v>51</v>
      </c>
      <c r="P455" s="4" t="s">
        <v>118</v>
      </c>
      <c r="Q455" s="4">
        <v>5</v>
      </c>
      <c r="R455" s="4" t="str">
        <f>TEXT(Table1[[#This Row],[Order Date]],"mmm")</f>
        <v>Jun</v>
      </c>
      <c r="S455" s="4" t="str">
        <f>TEXT(Table1[[#This Row],[Order Date]],"mm")</f>
        <v>06</v>
      </c>
      <c r="T455" s="4" t="str">
        <f>IF(Table1[[#This Row],[Sales]]&lt;0,"loss","profit")</f>
        <v>profit</v>
      </c>
      <c r="U455" s="4" t="str" cm="1">
        <f t="array" ref="U455">_xlfn.IFS(Table1[[#This Row],[Sales]]&gt;2000,"large",Table1[[#This Row],[Sales]]&gt;=500,"medium",Table1[[#This Row],[Sales]]&lt;500,"small")</f>
        <v>small</v>
      </c>
      <c r="V455" s="22">
        <f>Table1[[#This Row],[Profit]]/Table1[[#This Row],[Sales]]*100</f>
        <v>52.012668950023944</v>
      </c>
    </row>
    <row r="456" spans="1:22" x14ac:dyDescent="0.35">
      <c r="A456" s="4" t="s">
        <v>806</v>
      </c>
      <c r="B456" s="5">
        <v>45818</v>
      </c>
      <c r="C456" s="4" t="s">
        <v>616</v>
      </c>
      <c r="D456" s="4" t="s">
        <v>47</v>
      </c>
      <c r="E456" s="4" t="s">
        <v>29</v>
      </c>
      <c r="F456" s="4" t="s">
        <v>30</v>
      </c>
      <c r="G456" s="4" t="s">
        <v>38</v>
      </c>
      <c r="H456" s="4" t="s">
        <v>39</v>
      </c>
      <c r="I456" s="4">
        <v>6</v>
      </c>
      <c r="J456" s="6">
        <v>184.12</v>
      </c>
      <c r="K456" s="7">
        <v>0</v>
      </c>
      <c r="L456" s="6">
        <f t="shared" si="14"/>
        <v>1104.72</v>
      </c>
      <c r="M456" s="6">
        <v>144.19999999999999</v>
      </c>
      <c r="N456" s="8">
        <f t="shared" si="15"/>
        <v>239.5200000000001</v>
      </c>
      <c r="O456" s="4" t="s">
        <v>51</v>
      </c>
      <c r="P456" s="4" t="s">
        <v>72</v>
      </c>
      <c r="Q456" s="4">
        <v>5</v>
      </c>
      <c r="R456" s="4" t="str">
        <f>TEXT(Table1[[#This Row],[Order Date]],"mmm")</f>
        <v>Jun</v>
      </c>
      <c r="S456" s="4" t="str">
        <f>TEXT(Table1[[#This Row],[Order Date]],"mm")</f>
        <v>06</v>
      </c>
      <c r="T456" s="4" t="str">
        <f>IF(Table1[[#This Row],[Sales]]&lt;0,"loss","profit")</f>
        <v>profit</v>
      </c>
      <c r="U456" s="4" t="str" cm="1">
        <f t="array" ref="U456">_xlfn.IFS(Table1[[#This Row],[Sales]]&gt;2000,"large",Table1[[#This Row],[Sales]]&gt;=500,"medium",Table1[[#This Row],[Sales]]&lt;500,"small")</f>
        <v>medium</v>
      </c>
      <c r="V456" s="22">
        <f>Table1[[#This Row],[Profit]]/Table1[[#This Row],[Sales]]*100</f>
        <v>21.681512057353906</v>
      </c>
    </row>
    <row r="457" spans="1:22" x14ac:dyDescent="0.35">
      <c r="A457" s="4" t="s">
        <v>807</v>
      </c>
      <c r="B457" s="5">
        <v>45818</v>
      </c>
      <c r="C457" s="4" t="s">
        <v>659</v>
      </c>
      <c r="D457" s="4" t="s">
        <v>20</v>
      </c>
      <c r="E457" s="4" t="s">
        <v>21</v>
      </c>
      <c r="F457" s="4" t="s">
        <v>22</v>
      </c>
      <c r="G457" s="4" t="s">
        <v>31</v>
      </c>
      <c r="H457" s="4" t="s">
        <v>147</v>
      </c>
      <c r="I457" s="4">
        <v>6</v>
      </c>
      <c r="J457" s="6">
        <v>64.650000000000006</v>
      </c>
      <c r="K457" s="7">
        <v>0.05</v>
      </c>
      <c r="L457" s="6">
        <f t="shared" si="14"/>
        <v>368.505</v>
      </c>
      <c r="M457" s="6">
        <v>36.64</v>
      </c>
      <c r="N457" s="8">
        <f t="shared" si="15"/>
        <v>148.66499999999999</v>
      </c>
      <c r="O457" s="4" t="s">
        <v>25</v>
      </c>
      <c r="P457" s="4" t="s">
        <v>61</v>
      </c>
      <c r="Q457" s="4">
        <v>5</v>
      </c>
      <c r="R457" s="4" t="str">
        <f>TEXT(Table1[[#This Row],[Order Date]],"mmm")</f>
        <v>Jun</v>
      </c>
      <c r="S457" s="4" t="str">
        <f>TEXT(Table1[[#This Row],[Order Date]],"mm")</f>
        <v>06</v>
      </c>
      <c r="T457" s="4" t="str">
        <f>IF(Table1[[#This Row],[Sales]]&lt;0,"loss","profit")</f>
        <v>profit</v>
      </c>
      <c r="U457" s="4" t="str" cm="1">
        <f t="array" ref="U457">_xlfn.IFS(Table1[[#This Row],[Sales]]&gt;2000,"large",Table1[[#This Row],[Sales]]&gt;=500,"medium",Table1[[#This Row],[Sales]]&lt;500,"small")</f>
        <v>small</v>
      </c>
      <c r="V457" s="22">
        <f>Table1[[#This Row],[Profit]]/Table1[[#This Row],[Sales]]*100</f>
        <v>40.342736190825093</v>
      </c>
    </row>
    <row r="458" spans="1:22" x14ac:dyDescent="0.35">
      <c r="A458" s="4" t="s">
        <v>808</v>
      </c>
      <c r="B458" s="5">
        <v>45819</v>
      </c>
      <c r="C458" s="4" t="s">
        <v>809</v>
      </c>
      <c r="D458" s="4" t="s">
        <v>47</v>
      </c>
      <c r="E458" s="4" t="s">
        <v>21</v>
      </c>
      <c r="F458" s="4" t="s">
        <v>22</v>
      </c>
      <c r="G458" s="4" t="s">
        <v>49</v>
      </c>
      <c r="H458" s="4" t="s">
        <v>78</v>
      </c>
      <c r="I458" s="4">
        <v>1</v>
      </c>
      <c r="J458" s="6">
        <v>261.93</v>
      </c>
      <c r="K458" s="7">
        <v>0.1</v>
      </c>
      <c r="L458" s="6">
        <f t="shared" si="14"/>
        <v>235.73700000000002</v>
      </c>
      <c r="M458" s="6">
        <v>180.49</v>
      </c>
      <c r="N458" s="8">
        <f t="shared" si="15"/>
        <v>55.247000000000014</v>
      </c>
      <c r="O458" s="4" t="s">
        <v>25</v>
      </c>
      <c r="P458" s="4" t="s">
        <v>61</v>
      </c>
      <c r="Q458" s="4">
        <v>3</v>
      </c>
      <c r="R458" s="4" t="str">
        <f>TEXT(Table1[[#This Row],[Order Date]],"mmm")</f>
        <v>Jun</v>
      </c>
      <c r="S458" s="4" t="str">
        <f>TEXT(Table1[[#This Row],[Order Date]],"mm")</f>
        <v>06</v>
      </c>
      <c r="T458" s="4" t="str">
        <f>IF(Table1[[#This Row],[Sales]]&lt;0,"loss","profit")</f>
        <v>profit</v>
      </c>
      <c r="U458" s="4" t="str" cm="1">
        <f t="array" ref="U458">_xlfn.IFS(Table1[[#This Row],[Sales]]&gt;2000,"large",Table1[[#This Row],[Sales]]&gt;=500,"medium",Table1[[#This Row],[Sales]]&lt;500,"small")</f>
        <v>small</v>
      </c>
      <c r="V458" s="22">
        <f>Table1[[#This Row],[Profit]]/Table1[[#This Row],[Sales]]*100</f>
        <v>23.435862847155946</v>
      </c>
    </row>
    <row r="459" spans="1:22" x14ac:dyDescent="0.35">
      <c r="A459" s="4" t="s">
        <v>810</v>
      </c>
      <c r="B459" s="5">
        <v>45819</v>
      </c>
      <c r="C459" s="4" t="s">
        <v>168</v>
      </c>
      <c r="D459" s="4" t="s">
        <v>47</v>
      </c>
      <c r="E459" s="4" t="s">
        <v>21</v>
      </c>
      <c r="F459" s="4" t="s">
        <v>22</v>
      </c>
      <c r="G459" s="4" t="s">
        <v>49</v>
      </c>
      <c r="H459" s="4" t="s">
        <v>187</v>
      </c>
      <c r="I459" s="4">
        <v>4</v>
      </c>
      <c r="J459" s="6">
        <v>133.62</v>
      </c>
      <c r="K459" s="7">
        <v>0.1</v>
      </c>
      <c r="L459" s="6">
        <f t="shared" si="14"/>
        <v>481.03200000000004</v>
      </c>
      <c r="M459" s="6">
        <v>79.260000000000005</v>
      </c>
      <c r="N459" s="8">
        <f t="shared" si="15"/>
        <v>163.99200000000002</v>
      </c>
      <c r="O459" s="4" t="s">
        <v>60</v>
      </c>
      <c r="P459" s="4" t="s">
        <v>75</v>
      </c>
      <c r="Q459" s="4">
        <v>5</v>
      </c>
      <c r="R459" s="4" t="str">
        <f>TEXT(Table1[[#This Row],[Order Date]],"mmm")</f>
        <v>Jun</v>
      </c>
      <c r="S459" s="4" t="str">
        <f>TEXT(Table1[[#This Row],[Order Date]],"mm")</f>
        <v>06</v>
      </c>
      <c r="T459" s="4" t="str">
        <f>IF(Table1[[#This Row],[Sales]]&lt;0,"loss","profit")</f>
        <v>profit</v>
      </c>
      <c r="U459" s="4" t="str" cm="1">
        <f t="array" ref="U459">_xlfn.IFS(Table1[[#This Row],[Sales]]&gt;2000,"large",Table1[[#This Row],[Sales]]&gt;=500,"medium",Table1[[#This Row],[Sales]]&lt;500,"small")</f>
        <v>small</v>
      </c>
      <c r="V459" s="22">
        <f>Table1[[#This Row],[Profit]]/Table1[[#This Row],[Sales]]*100</f>
        <v>34.091702838896374</v>
      </c>
    </row>
    <row r="460" spans="1:22" x14ac:dyDescent="0.35">
      <c r="A460" s="4" t="s">
        <v>811</v>
      </c>
      <c r="B460" s="5">
        <v>45819</v>
      </c>
      <c r="C460" s="4" t="s">
        <v>805</v>
      </c>
      <c r="D460" s="4" t="s">
        <v>47</v>
      </c>
      <c r="E460" s="4" t="s">
        <v>21</v>
      </c>
      <c r="F460" s="4" t="s">
        <v>22</v>
      </c>
      <c r="G460" s="4" t="s">
        <v>23</v>
      </c>
      <c r="H460" s="4" t="s">
        <v>135</v>
      </c>
      <c r="I460" s="4">
        <v>2</v>
      </c>
      <c r="J460" s="6">
        <v>20.67</v>
      </c>
      <c r="K460" s="7">
        <v>0</v>
      </c>
      <c r="L460" s="6">
        <f t="shared" si="14"/>
        <v>41.34</v>
      </c>
      <c r="M460" s="6">
        <v>8.74</v>
      </c>
      <c r="N460" s="8">
        <f t="shared" si="15"/>
        <v>23.860000000000003</v>
      </c>
      <c r="O460" s="4" t="s">
        <v>51</v>
      </c>
      <c r="P460" s="4" t="s">
        <v>72</v>
      </c>
      <c r="Q460" s="4">
        <v>4</v>
      </c>
      <c r="R460" s="4" t="str">
        <f>TEXT(Table1[[#This Row],[Order Date]],"mmm")</f>
        <v>Jun</v>
      </c>
      <c r="S460" s="4" t="str">
        <f>TEXT(Table1[[#This Row],[Order Date]],"mm")</f>
        <v>06</v>
      </c>
      <c r="T460" s="4" t="str">
        <f>IF(Table1[[#This Row],[Sales]]&lt;0,"loss","profit")</f>
        <v>profit</v>
      </c>
      <c r="U460" s="4" t="str" cm="1">
        <f t="array" ref="U460">_xlfn.IFS(Table1[[#This Row],[Sales]]&gt;2000,"large",Table1[[#This Row],[Sales]]&gt;=500,"medium",Table1[[#This Row],[Sales]]&lt;500,"small")</f>
        <v>small</v>
      </c>
      <c r="V460" s="22">
        <f>Table1[[#This Row],[Profit]]/Table1[[#This Row],[Sales]]*100</f>
        <v>57.716497339138847</v>
      </c>
    </row>
    <row r="461" spans="1:22" x14ac:dyDescent="0.35">
      <c r="A461" s="4" t="s">
        <v>812</v>
      </c>
      <c r="B461" s="5">
        <v>45819</v>
      </c>
      <c r="C461" s="4" t="s">
        <v>813</v>
      </c>
      <c r="D461" s="4" t="s">
        <v>20</v>
      </c>
      <c r="E461" s="4" t="s">
        <v>36</v>
      </c>
      <c r="F461" s="4" t="s">
        <v>37</v>
      </c>
      <c r="G461" s="4" t="s">
        <v>38</v>
      </c>
      <c r="H461" s="4" t="s">
        <v>55</v>
      </c>
      <c r="I461" s="4">
        <v>2</v>
      </c>
      <c r="J461" s="6">
        <v>37.9</v>
      </c>
      <c r="K461" s="7">
        <v>0</v>
      </c>
      <c r="L461" s="6">
        <f t="shared" si="14"/>
        <v>75.8</v>
      </c>
      <c r="M461" s="6">
        <v>33.28</v>
      </c>
      <c r="N461" s="8">
        <f t="shared" si="15"/>
        <v>9.2399999999999949</v>
      </c>
      <c r="O461" s="4" t="s">
        <v>51</v>
      </c>
      <c r="P461" s="4" t="s">
        <v>72</v>
      </c>
      <c r="Q461" s="4">
        <v>4</v>
      </c>
      <c r="R461" s="4" t="str">
        <f>TEXT(Table1[[#This Row],[Order Date]],"mmm")</f>
        <v>Jun</v>
      </c>
      <c r="S461" s="4" t="str">
        <f>TEXT(Table1[[#This Row],[Order Date]],"mm")</f>
        <v>06</v>
      </c>
      <c r="T461" s="4" t="str">
        <f>IF(Table1[[#This Row],[Sales]]&lt;0,"loss","profit")</f>
        <v>profit</v>
      </c>
      <c r="U461" s="4" t="str" cm="1">
        <f t="array" ref="U461">_xlfn.IFS(Table1[[#This Row],[Sales]]&gt;2000,"large",Table1[[#This Row],[Sales]]&gt;=500,"medium",Table1[[#This Row],[Sales]]&lt;500,"small")</f>
        <v>small</v>
      </c>
      <c r="V461" s="22">
        <f>Table1[[#This Row],[Profit]]/Table1[[#This Row],[Sales]]*100</f>
        <v>12.189973614775719</v>
      </c>
    </row>
    <row r="462" spans="1:22" x14ac:dyDescent="0.35">
      <c r="A462" s="4" t="s">
        <v>814</v>
      </c>
      <c r="B462" s="5">
        <v>45819</v>
      </c>
      <c r="C462" s="4" t="s">
        <v>767</v>
      </c>
      <c r="D462" s="4" t="s">
        <v>20</v>
      </c>
      <c r="E462" s="4" t="s">
        <v>87</v>
      </c>
      <c r="F462" s="4" t="s">
        <v>92</v>
      </c>
      <c r="G462" s="4" t="s">
        <v>38</v>
      </c>
      <c r="H462" s="4" t="s">
        <v>39</v>
      </c>
      <c r="I462" s="4">
        <v>1</v>
      </c>
      <c r="J462" s="6">
        <v>362.4</v>
      </c>
      <c r="K462" s="7">
        <v>0.1</v>
      </c>
      <c r="L462" s="6">
        <f t="shared" si="14"/>
        <v>326.15999999999997</v>
      </c>
      <c r="M462" s="6">
        <v>297.41000000000003</v>
      </c>
      <c r="N462" s="8">
        <f t="shared" si="15"/>
        <v>28.749999999999943</v>
      </c>
      <c r="O462" s="4" t="s">
        <v>60</v>
      </c>
      <c r="P462" s="4" t="s">
        <v>72</v>
      </c>
      <c r="Q462" s="4">
        <v>5</v>
      </c>
      <c r="R462" s="4" t="str">
        <f>TEXT(Table1[[#This Row],[Order Date]],"mmm")</f>
        <v>Jun</v>
      </c>
      <c r="S462" s="4" t="str">
        <f>TEXT(Table1[[#This Row],[Order Date]],"mm")</f>
        <v>06</v>
      </c>
      <c r="T462" s="4" t="str">
        <f>IF(Table1[[#This Row],[Sales]]&lt;0,"loss","profit")</f>
        <v>profit</v>
      </c>
      <c r="U462" s="4" t="str" cm="1">
        <f t="array" ref="U462">_xlfn.IFS(Table1[[#This Row],[Sales]]&gt;2000,"large",Table1[[#This Row],[Sales]]&gt;=500,"medium",Table1[[#This Row],[Sales]]&lt;500,"small")</f>
        <v>small</v>
      </c>
      <c r="V462" s="22">
        <f>Table1[[#This Row],[Profit]]/Table1[[#This Row],[Sales]]*100</f>
        <v>8.814692175619312</v>
      </c>
    </row>
    <row r="463" spans="1:22" x14ac:dyDescent="0.35">
      <c r="A463" s="4" t="s">
        <v>815</v>
      </c>
      <c r="B463" s="5">
        <v>45820</v>
      </c>
      <c r="C463" s="4" t="s">
        <v>333</v>
      </c>
      <c r="D463" s="4" t="s">
        <v>43</v>
      </c>
      <c r="E463" s="4" t="s">
        <v>29</v>
      </c>
      <c r="F463" s="4" t="s">
        <v>108</v>
      </c>
      <c r="G463" s="4" t="s">
        <v>49</v>
      </c>
      <c r="H463" s="4" t="s">
        <v>187</v>
      </c>
      <c r="I463" s="4">
        <v>8</v>
      </c>
      <c r="J463" s="6">
        <v>84.97</v>
      </c>
      <c r="K463" s="7">
        <v>0</v>
      </c>
      <c r="L463" s="6">
        <f t="shared" si="14"/>
        <v>679.76</v>
      </c>
      <c r="M463" s="6">
        <v>53.71</v>
      </c>
      <c r="N463" s="8">
        <f t="shared" si="15"/>
        <v>250.07999999999998</v>
      </c>
      <c r="O463" s="4" t="s">
        <v>40</v>
      </c>
      <c r="P463" s="4" t="s">
        <v>72</v>
      </c>
      <c r="Q463" s="4">
        <v>4</v>
      </c>
      <c r="R463" s="4" t="str">
        <f>TEXT(Table1[[#This Row],[Order Date]],"mmm")</f>
        <v>Jun</v>
      </c>
      <c r="S463" s="4" t="str">
        <f>TEXT(Table1[[#This Row],[Order Date]],"mm")</f>
        <v>06</v>
      </c>
      <c r="T463" s="4" t="str">
        <f>IF(Table1[[#This Row],[Sales]]&lt;0,"loss","profit")</f>
        <v>profit</v>
      </c>
      <c r="U463" s="4" t="str" cm="1">
        <f t="array" ref="U463">_xlfn.IFS(Table1[[#This Row],[Sales]]&gt;2000,"large",Table1[[#This Row],[Sales]]&gt;=500,"medium",Table1[[#This Row],[Sales]]&lt;500,"small")</f>
        <v>medium</v>
      </c>
      <c r="V463" s="22">
        <f>Table1[[#This Row],[Profit]]/Table1[[#This Row],[Sales]]*100</f>
        <v>36.789455101800634</v>
      </c>
    </row>
    <row r="464" spans="1:22" x14ac:dyDescent="0.35">
      <c r="A464" s="4" t="s">
        <v>816</v>
      </c>
      <c r="B464" s="5">
        <v>45821</v>
      </c>
      <c r="C464" s="4" t="s">
        <v>320</v>
      </c>
      <c r="D464" s="4" t="s">
        <v>20</v>
      </c>
      <c r="E464" s="4" t="s">
        <v>87</v>
      </c>
      <c r="F464" s="4" t="s">
        <v>92</v>
      </c>
      <c r="G464" s="4" t="s">
        <v>23</v>
      </c>
      <c r="H464" s="4" t="s">
        <v>71</v>
      </c>
      <c r="I464" s="4">
        <v>4</v>
      </c>
      <c r="J464" s="6">
        <v>66.63</v>
      </c>
      <c r="K464" s="7">
        <v>0.1</v>
      </c>
      <c r="L464" s="6">
        <f t="shared" si="14"/>
        <v>239.86799999999999</v>
      </c>
      <c r="M464" s="6">
        <v>41.47</v>
      </c>
      <c r="N464" s="8">
        <f t="shared" si="15"/>
        <v>73.988</v>
      </c>
      <c r="O464" s="4" t="s">
        <v>60</v>
      </c>
      <c r="P464" s="4" t="s">
        <v>56</v>
      </c>
      <c r="Q464" s="4">
        <v>4</v>
      </c>
      <c r="R464" s="4" t="str">
        <f>TEXT(Table1[[#This Row],[Order Date]],"mmm")</f>
        <v>Jun</v>
      </c>
      <c r="S464" s="4" t="str">
        <f>TEXT(Table1[[#This Row],[Order Date]],"mm")</f>
        <v>06</v>
      </c>
      <c r="T464" s="4" t="str">
        <f>IF(Table1[[#This Row],[Sales]]&lt;0,"loss","profit")</f>
        <v>profit</v>
      </c>
      <c r="U464" s="4" t="str" cm="1">
        <f t="array" ref="U464">_xlfn.IFS(Table1[[#This Row],[Sales]]&gt;2000,"large",Table1[[#This Row],[Sales]]&gt;=500,"medium",Table1[[#This Row],[Sales]]&lt;500,"small")</f>
        <v>small</v>
      </c>
      <c r="V464" s="22">
        <f>Table1[[#This Row],[Profit]]/Table1[[#This Row],[Sales]]*100</f>
        <v>30.845298247369385</v>
      </c>
    </row>
    <row r="465" spans="1:22" x14ac:dyDescent="0.35">
      <c r="A465" s="4" t="s">
        <v>817</v>
      </c>
      <c r="B465" s="5">
        <v>45822</v>
      </c>
      <c r="C465" s="4" t="s">
        <v>367</v>
      </c>
      <c r="D465" s="4" t="s">
        <v>47</v>
      </c>
      <c r="E465" s="4" t="s">
        <v>29</v>
      </c>
      <c r="F465" s="4" t="s">
        <v>54</v>
      </c>
      <c r="G465" s="4" t="s">
        <v>38</v>
      </c>
      <c r="H465" s="4" t="s">
        <v>55</v>
      </c>
      <c r="I465" s="4">
        <v>3</v>
      </c>
      <c r="J465" s="6">
        <v>153.38</v>
      </c>
      <c r="K465" s="7">
        <v>0</v>
      </c>
      <c r="L465" s="6">
        <f t="shared" si="14"/>
        <v>460.14</v>
      </c>
      <c r="M465" s="6">
        <v>121.1</v>
      </c>
      <c r="N465" s="8">
        <f t="shared" si="15"/>
        <v>96.840000000000032</v>
      </c>
      <c r="O465" s="4" t="s">
        <v>60</v>
      </c>
      <c r="P465" s="4" t="s">
        <v>26</v>
      </c>
      <c r="Q465" s="4">
        <v>5</v>
      </c>
      <c r="R465" s="4" t="str">
        <f>TEXT(Table1[[#This Row],[Order Date]],"mmm")</f>
        <v>Jun</v>
      </c>
      <c r="S465" s="4" t="str">
        <f>TEXT(Table1[[#This Row],[Order Date]],"mm")</f>
        <v>06</v>
      </c>
      <c r="T465" s="4" t="str">
        <f>IF(Table1[[#This Row],[Sales]]&lt;0,"loss","profit")</f>
        <v>profit</v>
      </c>
      <c r="U465" s="4" t="str" cm="1">
        <f t="array" ref="U465">_xlfn.IFS(Table1[[#This Row],[Sales]]&gt;2000,"large",Table1[[#This Row],[Sales]]&gt;=500,"medium",Table1[[#This Row],[Sales]]&lt;500,"small")</f>
        <v>small</v>
      </c>
      <c r="V465" s="22">
        <f>Table1[[#This Row],[Profit]]/Table1[[#This Row],[Sales]]*100</f>
        <v>21.045768679097673</v>
      </c>
    </row>
    <row r="466" spans="1:22" x14ac:dyDescent="0.35">
      <c r="A466" s="4" t="s">
        <v>818</v>
      </c>
      <c r="B466" s="5">
        <v>45823</v>
      </c>
      <c r="C466" s="4" t="s">
        <v>139</v>
      </c>
      <c r="D466" s="4" t="s">
        <v>47</v>
      </c>
      <c r="E466" s="4" t="s">
        <v>21</v>
      </c>
      <c r="F466" s="4" t="s">
        <v>81</v>
      </c>
      <c r="G466" s="4" t="s">
        <v>67</v>
      </c>
      <c r="H466" s="4" t="s">
        <v>121</v>
      </c>
      <c r="I466" s="4">
        <v>2</v>
      </c>
      <c r="J466" s="6">
        <v>449.53</v>
      </c>
      <c r="K466" s="7">
        <v>0.1</v>
      </c>
      <c r="L466" s="6">
        <f t="shared" si="14"/>
        <v>809.154</v>
      </c>
      <c r="M466" s="6">
        <v>315.42</v>
      </c>
      <c r="N466" s="8">
        <f t="shared" si="15"/>
        <v>178.31399999999996</v>
      </c>
      <c r="O466" s="4" t="s">
        <v>84</v>
      </c>
      <c r="P466" s="4" t="s">
        <v>97</v>
      </c>
      <c r="Q466" s="4">
        <v>4</v>
      </c>
      <c r="R466" s="4" t="str">
        <f>TEXT(Table1[[#This Row],[Order Date]],"mmm")</f>
        <v>Jun</v>
      </c>
      <c r="S466" s="4" t="str">
        <f>TEXT(Table1[[#This Row],[Order Date]],"mm")</f>
        <v>06</v>
      </c>
      <c r="T466" s="4" t="str">
        <f>IF(Table1[[#This Row],[Sales]]&lt;0,"loss","profit")</f>
        <v>profit</v>
      </c>
      <c r="U466" s="4" t="str" cm="1">
        <f t="array" ref="U466">_xlfn.IFS(Table1[[#This Row],[Sales]]&gt;2000,"large",Table1[[#This Row],[Sales]]&gt;=500,"medium",Table1[[#This Row],[Sales]]&lt;500,"small")</f>
        <v>medium</v>
      </c>
      <c r="V466" s="22">
        <f>Table1[[#This Row],[Profit]]/Table1[[#This Row],[Sales]]*100</f>
        <v>22.037090590913468</v>
      </c>
    </row>
    <row r="467" spans="1:22" x14ac:dyDescent="0.35">
      <c r="A467" s="4" t="s">
        <v>819</v>
      </c>
      <c r="B467" s="5">
        <v>45823</v>
      </c>
      <c r="C467" s="4" t="s">
        <v>215</v>
      </c>
      <c r="D467" s="4" t="s">
        <v>20</v>
      </c>
      <c r="E467" s="4" t="s">
        <v>87</v>
      </c>
      <c r="F467" s="4" t="s">
        <v>88</v>
      </c>
      <c r="G467" s="4" t="s">
        <v>23</v>
      </c>
      <c r="H467" s="4" t="s">
        <v>135</v>
      </c>
      <c r="I467" s="4">
        <v>2</v>
      </c>
      <c r="J467" s="6">
        <v>28.02</v>
      </c>
      <c r="K467" s="7">
        <v>0</v>
      </c>
      <c r="L467" s="6">
        <f t="shared" si="14"/>
        <v>56.04</v>
      </c>
      <c r="M467" s="6">
        <v>11.96</v>
      </c>
      <c r="N467" s="8">
        <f t="shared" si="15"/>
        <v>32.119999999999997</v>
      </c>
      <c r="O467" s="4" t="s">
        <v>40</v>
      </c>
      <c r="P467" s="4" t="s">
        <v>56</v>
      </c>
      <c r="Q467" s="4">
        <v>3</v>
      </c>
      <c r="R467" s="4" t="str">
        <f>TEXT(Table1[[#This Row],[Order Date]],"mmm")</f>
        <v>Jun</v>
      </c>
      <c r="S467" s="4" t="str">
        <f>TEXT(Table1[[#This Row],[Order Date]],"mm")</f>
        <v>06</v>
      </c>
      <c r="T467" s="4" t="str">
        <f>IF(Table1[[#This Row],[Sales]]&lt;0,"loss","profit")</f>
        <v>profit</v>
      </c>
      <c r="U467" s="4" t="str" cm="1">
        <f t="array" ref="U467">_xlfn.IFS(Table1[[#This Row],[Sales]]&gt;2000,"large",Table1[[#This Row],[Sales]]&gt;=500,"medium",Table1[[#This Row],[Sales]]&lt;500,"small")</f>
        <v>small</v>
      </c>
      <c r="V467" s="22">
        <f>Table1[[#This Row],[Profit]]/Table1[[#This Row],[Sales]]*100</f>
        <v>57.316202712348321</v>
      </c>
    </row>
    <row r="468" spans="1:22" x14ac:dyDescent="0.35">
      <c r="A468" s="4" t="s">
        <v>820</v>
      </c>
      <c r="B468" s="5">
        <v>45824</v>
      </c>
      <c r="C468" s="4" t="s">
        <v>91</v>
      </c>
      <c r="D468" s="4" t="s">
        <v>20</v>
      </c>
      <c r="E468" s="4" t="s">
        <v>36</v>
      </c>
      <c r="F468" s="4" t="s">
        <v>37</v>
      </c>
      <c r="G468" s="4" t="s">
        <v>23</v>
      </c>
      <c r="H468" s="4" t="s">
        <v>44</v>
      </c>
      <c r="I468" s="4">
        <v>8</v>
      </c>
      <c r="J468" s="6">
        <v>73.42</v>
      </c>
      <c r="K468" s="7">
        <v>0</v>
      </c>
      <c r="L468" s="6">
        <f t="shared" si="14"/>
        <v>587.36</v>
      </c>
      <c r="M468" s="6">
        <v>34.630000000000003</v>
      </c>
      <c r="N468" s="8">
        <f t="shared" si="15"/>
        <v>310.32</v>
      </c>
      <c r="O468" s="4" t="s">
        <v>40</v>
      </c>
      <c r="P468" s="4" t="s">
        <v>26</v>
      </c>
      <c r="Q468" s="4">
        <v>4</v>
      </c>
      <c r="R468" s="4" t="str">
        <f>TEXT(Table1[[#This Row],[Order Date]],"mmm")</f>
        <v>Jun</v>
      </c>
      <c r="S468" s="4" t="str">
        <f>TEXT(Table1[[#This Row],[Order Date]],"mm")</f>
        <v>06</v>
      </c>
      <c r="T468" s="4" t="str">
        <f>IF(Table1[[#This Row],[Sales]]&lt;0,"loss","profit")</f>
        <v>profit</v>
      </c>
      <c r="U468" s="4" t="str" cm="1">
        <f t="array" ref="U468">_xlfn.IFS(Table1[[#This Row],[Sales]]&gt;2000,"large",Table1[[#This Row],[Sales]]&gt;=500,"medium",Table1[[#This Row],[Sales]]&lt;500,"small")</f>
        <v>medium</v>
      </c>
      <c r="V468" s="22">
        <f>Table1[[#This Row],[Profit]]/Table1[[#This Row],[Sales]]*100</f>
        <v>52.83301552710433</v>
      </c>
    </row>
    <row r="469" spans="1:22" x14ac:dyDescent="0.35">
      <c r="A469" s="4" t="s">
        <v>821</v>
      </c>
      <c r="B469" s="5">
        <v>45824</v>
      </c>
      <c r="C469" s="4" t="s">
        <v>117</v>
      </c>
      <c r="D469" s="4" t="s">
        <v>20</v>
      </c>
      <c r="E469" s="4" t="s">
        <v>29</v>
      </c>
      <c r="F469" s="4" t="s">
        <v>54</v>
      </c>
      <c r="G469" s="4" t="s">
        <v>38</v>
      </c>
      <c r="H469" s="4" t="s">
        <v>96</v>
      </c>
      <c r="I469" s="4">
        <v>3</v>
      </c>
      <c r="J469" s="6">
        <v>209.42</v>
      </c>
      <c r="K469" s="7">
        <v>0</v>
      </c>
      <c r="L469" s="6">
        <f t="shared" si="14"/>
        <v>628.26</v>
      </c>
      <c r="M469" s="6">
        <v>180.6</v>
      </c>
      <c r="N469" s="8">
        <f t="shared" si="15"/>
        <v>86.460000000000036</v>
      </c>
      <c r="O469" s="4" t="s">
        <v>60</v>
      </c>
      <c r="P469" s="4" t="s">
        <v>56</v>
      </c>
      <c r="Q469" s="4">
        <v>4</v>
      </c>
      <c r="R469" s="4" t="str">
        <f>TEXT(Table1[[#This Row],[Order Date]],"mmm")</f>
        <v>Jun</v>
      </c>
      <c r="S469" s="4" t="str">
        <f>TEXT(Table1[[#This Row],[Order Date]],"mm")</f>
        <v>06</v>
      </c>
      <c r="T469" s="4" t="str">
        <f>IF(Table1[[#This Row],[Sales]]&lt;0,"loss","profit")</f>
        <v>profit</v>
      </c>
      <c r="U469" s="4" t="str" cm="1">
        <f t="array" ref="U469">_xlfn.IFS(Table1[[#This Row],[Sales]]&gt;2000,"large",Table1[[#This Row],[Sales]]&gt;=500,"medium",Table1[[#This Row],[Sales]]&lt;500,"small")</f>
        <v>medium</v>
      </c>
      <c r="V469" s="22">
        <f>Table1[[#This Row],[Profit]]/Table1[[#This Row],[Sales]]*100</f>
        <v>13.761818355457939</v>
      </c>
    </row>
    <row r="470" spans="1:22" x14ac:dyDescent="0.35">
      <c r="A470" s="4" t="s">
        <v>822</v>
      </c>
      <c r="B470" s="5">
        <v>45825</v>
      </c>
      <c r="C470" s="4" t="s">
        <v>270</v>
      </c>
      <c r="D470" s="4" t="s">
        <v>20</v>
      </c>
      <c r="E470" s="4" t="s">
        <v>87</v>
      </c>
      <c r="F470" s="4" t="s">
        <v>92</v>
      </c>
      <c r="G470" s="4" t="s">
        <v>38</v>
      </c>
      <c r="H470" s="4" t="s">
        <v>109</v>
      </c>
      <c r="I470" s="4">
        <v>3</v>
      </c>
      <c r="J470" s="6">
        <v>606.11</v>
      </c>
      <c r="K470" s="7">
        <v>0</v>
      </c>
      <c r="L470" s="6">
        <f t="shared" si="14"/>
        <v>1818.33</v>
      </c>
      <c r="M470" s="6">
        <v>483.75</v>
      </c>
      <c r="N470" s="8">
        <f t="shared" si="15"/>
        <v>367.07999999999993</v>
      </c>
      <c r="O470" s="4" t="s">
        <v>51</v>
      </c>
      <c r="P470" s="4" t="s">
        <v>26</v>
      </c>
      <c r="Q470" s="4">
        <v>5</v>
      </c>
      <c r="R470" s="4" t="str">
        <f>TEXT(Table1[[#This Row],[Order Date]],"mmm")</f>
        <v>Jun</v>
      </c>
      <c r="S470" s="4" t="str">
        <f>TEXT(Table1[[#This Row],[Order Date]],"mm")</f>
        <v>06</v>
      </c>
      <c r="T470" s="4" t="str">
        <f>IF(Table1[[#This Row],[Sales]]&lt;0,"loss","profit")</f>
        <v>profit</v>
      </c>
      <c r="U470" s="4" t="str" cm="1">
        <f t="array" ref="U470">_xlfn.IFS(Table1[[#This Row],[Sales]]&gt;2000,"large",Table1[[#This Row],[Sales]]&gt;=500,"medium",Table1[[#This Row],[Sales]]&lt;500,"small")</f>
        <v>medium</v>
      </c>
      <c r="V470" s="22">
        <f>Table1[[#This Row],[Profit]]/Table1[[#This Row],[Sales]]*100</f>
        <v>20.187754697992112</v>
      </c>
    </row>
    <row r="471" spans="1:22" x14ac:dyDescent="0.35">
      <c r="A471" s="4" t="s">
        <v>823</v>
      </c>
      <c r="B471" s="5">
        <v>45825</v>
      </c>
      <c r="C471" s="4" t="s">
        <v>626</v>
      </c>
      <c r="D471" s="4" t="s">
        <v>43</v>
      </c>
      <c r="E471" s="4" t="s">
        <v>36</v>
      </c>
      <c r="F471" s="4" t="s">
        <v>37</v>
      </c>
      <c r="G471" s="4" t="s">
        <v>38</v>
      </c>
      <c r="H471" s="4" t="s">
        <v>96</v>
      </c>
      <c r="I471" s="4">
        <v>2</v>
      </c>
      <c r="J471" s="6">
        <v>419.64</v>
      </c>
      <c r="K471" s="7">
        <v>0.2</v>
      </c>
      <c r="L471" s="6">
        <f t="shared" si="14"/>
        <v>671.42399999999998</v>
      </c>
      <c r="M471" s="6">
        <v>361.21</v>
      </c>
      <c r="N471" s="8">
        <f t="shared" si="15"/>
        <v>-50.995999999999981</v>
      </c>
      <c r="O471" s="4" t="s">
        <v>60</v>
      </c>
      <c r="P471" s="4" t="s">
        <v>97</v>
      </c>
      <c r="Q471" s="4">
        <v>4</v>
      </c>
      <c r="R471" s="4" t="str">
        <f>TEXT(Table1[[#This Row],[Order Date]],"mmm")</f>
        <v>Jun</v>
      </c>
      <c r="S471" s="4" t="str">
        <f>TEXT(Table1[[#This Row],[Order Date]],"mm")</f>
        <v>06</v>
      </c>
      <c r="T471" s="4" t="str">
        <f>IF(Table1[[#This Row],[Sales]]&lt;0,"loss","profit")</f>
        <v>profit</v>
      </c>
      <c r="U471" s="4" t="str" cm="1">
        <f t="array" ref="U471">_xlfn.IFS(Table1[[#This Row],[Sales]]&gt;2000,"large",Table1[[#This Row],[Sales]]&gt;=500,"medium",Table1[[#This Row],[Sales]]&lt;500,"small")</f>
        <v>medium</v>
      </c>
      <c r="V471" s="22">
        <f>Table1[[#This Row],[Profit]]/Table1[[#This Row],[Sales]]*100</f>
        <v>-7.5952006481746226</v>
      </c>
    </row>
    <row r="472" spans="1:22" x14ac:dyDescent="0.35">
      <c r="A472" s="4" t="s">
        <v>824</v>
      </c>
      <c r="B472" s="5">
        <v>45825</v>
      </c>
      <c r="C472" s="4" t="s">
        <v>659</v>
      </c>
      <c r="D472" s="4" t="s">
        <v>20</v>
      </c>
      <c r="E472" s="4" t="s">
        <v>36</v>
      </c>
      <c r="F472" s="4" t="s">
        <v>37</v>
      </c>
      <c r="G472" s="4" t="s">
        <v>49</v>
      </c>
      <c r="H472" s="4" t="s">
        <v>187</v>
      </c>
      <c r="I472" s="4">
        <v>1</v>
      </c>
      <c r="J472" s="6">
        <v>98.95</v>
      </c>
      <c r="K472" s="7">
        <v>0.05</v>
      </c>
      <c r="L472" s="6">
        <f t="shared" si="14"/>
        <v>94.002499999999998</v>
      </c>
      <c r="M472" s="6">
        <v>73.56</v>
      </c>
      <c r="N472" s="8">
        <f t="shared" si="15"/>
        <v>20.442499999999995</v>
      </c>
      <c r="O472" s="4" t="s">
        <v>40</v>
      </c>
      <c r="P472" s="4" t="s">
        <v>26</v>
      </c>
      <c r="Q472" s="4">
        <v>5</v>
      </c>
      <c r="R472" s="4" t="str">
        <f>TEXT(Table1[[#This Row],[Order Date]],"mmm")</f>
        <v>Jun</v>
      </c>
      <c r="S472" s="4" t="str">
        <f>TEXT(Table1[[#This Row],[Order Date]],"mm")</f>
        <v>06</v>
      </c>
      <c r="T472" s="4" t="str">
        <f>IF(Table1[[#This Row],[Sales]]&lt;0,"loss","profit")</f>
        <v>profit</v>
      </c>
      <c r="U472" s="4" t="str" cm="1">
        <f t="array" ref="U472">_xlfn.IFS(Table1[[#This Row],[Sales]]&gt;2000,"large",Table1[[#This Row],[Sales]]&gt;=500,"medium",Table1[[#This Row],[Sales]]&lt;500,"small")</f>
        <v>small</v>
      </c>
      <c r="V472" s="22">
        <f>Table1[[#This Row],[Profit]]/Table1[[#This Row],[Sales]]*100</f>
        <v>21.746762054200683</v>
      </c>
    </row>
    <row r="473" spans="1:22" x14ac:dyDescent="0.35">
      <c r="A473" s="4" t="s">
        <v>825</v>
      </c>
      <c r="B473" s="5">
        <v>45826</v>
      </c>
      <c r="C473" s="4" t="s">
        <v>826</v>
      </c>
      <c r="D473" s="4" t="s">
        <v>43</v>
      </c>
      <c r="E473" s="4" t="s">
        <v>29</v>
      </c>
      <c r="F473" s="4" t="s">
        <v>30</v>
      </c>
      <c r="G473" s="4" t="s">
        <v>23</v>
      </c>
      <c r="H473" s="4" t="s">
        <v>44</v>
      </c>
      <c r="I473" s="4">
        <v>3</v>
      </c>
      <c r="J473" s="6">
        <v>119.21</v>
      </c>
      <c r="K473" s="7">
        <v>0</v>
      </c>
      <c r="L473" s="6">
        <f t="shared" si="14"/>
        <v>357.63</v>
      </c>
      <c r="M473" s="6">
        <v>57.06</v>
      </c>
      <c r="N473" s="8">
        <f t="shared" si="15"/>
        <v>186.45</v>
      </c>
      <c r="O473" s="4" t="s">
        <v>25</v>
      </c>
      <c r="P473" s="4" t="s">
        <v>26</v>
      </c>
      <c r="Q473" s="4">
        <v>4</v>
      </c>
      <c r="R473" s="4" t="str">
        <f>TEXT(Table1[[#This Row],[Order Date]],"mmm")</f>
        <v>Jun</v>
      </c>
      <c r="S473" s="4" t="str">
        <f>TEXT(Table1[[#This Row],[Order Date]],"mm")</f>
        <v>06</v>
      </c>
      <c r="T473" s="4" t="str">
        <f>IF(Table1[[#This Row],[Sales]]&lt;0,"loss","profit")</f>
        <v>profit</v>
      </c>
      <c r="U473" s="4" t="str" cm="1">
        <f t="array" ref="U473">_xlfn.IFS(Table1[[#This Row],[Sales]]&gt;2000,"large",Table1[[#This Row],[Sales]]&gt;=500,"medium",Table1[[#This Row],[Sales]]&lt;500,"small")</f>
        <v>small</v>
      </c>
      <c r="V473" s="22">
        <f>Table1[[#This Row],[Profit]]/Table1[[#This Row],[Sales]]*100</f>
        <v>52.134888012750601</v>
      </c>
    </row>
    <row r="474" spans="1:22" x14ac:dyDescent="0.35">
      <c r="A474" s="4" t="s">
        <v>827</v>
      </c>
      <c r="B474" s="5">
        <v>45827</v>
      </c>
      <c r="C474" s="4" t="s">
        <v>354</v>
      </c>
      <c r="D474" s="4" t="s">
        <v>43</v>
      </c>
      <c r="E474" s="4" t="s">
        <v>21</v>
      </c>
      <c r="F474" s="4" t="s">
        <v>22</v>
      </c>
      <c r="G474" s="4" t="s">
        <v>67</v>
      </c>
      <c r="H474" s="4" t="s">
        <v>140</v>
      </c>
      <c r="I474" s="4">
        <v>3</v>
      </c>
      <c r="J474" s="6">
        <v>205.63</v>
      </c>
      <c r="K474" s="7">
        <v>0</v>
      </c>
      <c r="L474" s="6">
        <f t="shared" si="14"/>
        <v>616.89</v>
      </c>
      <c r="M474" s="6">
        <v>152.81</v>
      </c>
      <c r="N474" s="8">
        <f t="shared" si="15"/>
        <v>158.45999999999998</v>
      </c>
      <c r="O474" s="4" t="s">
        <v>51</v>
      </c>
      <c r="P474" s="4" t="s">
        <v>75</v>
      </c>
      <c r="Q474" s="4">
        <v>5</v>
      </c>
      <c r="R474" s="4" t="str">
        <f>TEXT(Table1[[#This Row],[Order Date]],"mmm")</f>
        <v>Jun</v>
      </c>
      <c r="S474" s="4" t="str">
        <f>TEXT(Table1[[#This Row],[Order Date]],"mm")</f>
        <v>06</v>
      </c>
      <c r="T474" s="4" t="str">
        <f>IF(Table1[[#This Row],[Sales]]&lt;0,"loss","profit")</f>
        <v>profit</v>
      </c>
      <c r="U474" s="4" t="str" cm="1">
        <f t="array" ref="U474">_xlfn.IFS(Table1[[#This Row],[Sales]]&gt;2000,"large",Table1[[#This Row],[Sales]]&gt;=500,"medium",Table1[[#This Row],[Sales]]&lt;500,"small")</f>
        <v>medium</v>
      </c>
      <c r="V474" s="22">
        <f>Table1[[#This Row],[Profit]]/Table1[[#This Row],[Sales]]*100</f>
        <v>25.686913388124299</v>
      </c>
    </row>
    <row r="475" spans="1:22" x14ac:dyDescent="0.35">
      <c r="A475" s="4" t="s">
        <v>828</v>
      </c>
      <c r="B475" s="5">
        <v>45827</v>
      </c>
      <c r="C475" s="4" t="s">
        <v>829</v>
      </c>
      <c r="D475" s="4" t="s">
        <v>47</v>
      </c>
      <c r="E475" s="4" t="s">
        <v>36</v>
      </c>
      <c r="F475" s="4" t="s">
        <v>201</v>
      </c>
      <c r="G475" s="4" t="s">
        <v>23</v>
      </c>
      <c r="H475" s="4" t="s">
        <v>44</v>
      </c>
      <c r="I475" s="4">
        <v>2</v>
      </c>
      <c r="J475" s="6">
        <v>51.68</v>
      </c>
      <c r="K475" s="7">
        <v>0.1</v>
      </c>
      <c r="L475" s="6">
        <f t="shared" si="14"/>
        <v>93.024000000000001</v>
      </c>
      <c r="M475" s="6">
        <v>29.13</v>
      </c>
      <c r="N475" s="8">
        <f t="shared" si="15"/>
        <v>34.764000000000003</v>
      </c>
      <c r="O475" s="4" t="s">
        <v>25</v>
      </c>
      <c r="P475" s="4" t="s">
        <v>56</v>
      </c>
      <c r="Q475" s="4">
        <v>5</v>
      </c>
      <c r="R475" s="4" t="str">
        <f>TEXT(Table1[[#This Row],[Order Date]],"mmm")</f>
        <v>Jun</v>
      </c>
      <c r="S475" s="4" t="str">
        <f>TEXT(Table1[[#This Row],[Order Date]],"mm")</f>
        <v>06</v>
      </c>
      <c r="T475" s="4" t="str">
        <f>IF(Table1[[#This Row],[Sales]]&lt;0,"loss","profit")</f>
        <v>profit</v>
      </c>
      <c r="U475" s="4" t="str" cm="1">
        <f t="array" ref="U475">_xlfn.IFS(Table1[[#This Row],[Sales]]&gt;2000,"large",Table1[[#This Row],[Sales]]&gt;=500,"medium",Table1[[#This Row],[Sales]]&lt;500,"small")</f>
        <v>small</v>
      </c>
      <c r="V475" s="22">
        <f>Table1[[#This Row],[Profit]]/Table1[[#This Row],[Sales]]*100</f>
        <v>37.371001031991746</v>
      </c>
    </row>
    <row r="476" spans="1:22" x14ac:dyDescent="0.35">
      <c r="A476" s="4" t="s">
        <v>830</v>
      </c>
      <c r="B476" s="5">
        <v>45827</v>
      </c>
      <c r="C476" s="4" t="s">
        <v>589</v>
      </c>
      <c r="D476" s="4" t="s">
        <v>20</v>
      </c>
      <c r="E476" s="4" t="s">
        <v>36</v>
      </c>
      <c r="F476" s="4" t="s">
        <v>48</v>
      </c>
      <c r="G476" s="4" t="s">
        <v>38</v>
      </c>
      <c r="H476" s="4" t="s">
        <v>55</v>
      </c>
      <c r="I476" s="4">
        <v>2</v>
      </c>
      <c r="J476" s="6">
        <v>60.91</v>
      </c>
      <c r="K476" s="7">
        <v>0.15</v>
      </c>
      <c r="L476" s="6">
        <f t="shared" si="14"/>
        <v>103.547</v>
      </c>
      <c r="M476" s="6">
        <v>53.27</v>
      </c>
      <c r="N476" s="8">
        <f t="shared" si="15"/>
        <v>-2.9930000000000092</v>
      </c>
      <c r="O476" s="4" t="s">
        <v>40</v>
      </c>
      <c r="P476" s="4" t="s">
        <v>33</v>
      </c>
      <c r="Q476" s="4">
        <v>1</v>
      </c>
      <c r="R476" s="4" t="str">
        <f>TEXT(Table1[[#This Row],[Order Date]],"mmm")</f>
        <v>Jun</v>
      </c>
      <c r="S476" s="4" t="str">
        <f>TEXT(Table1[[#This Row],[Order Date]],"mm")</f>
        <v>06</v>
      </c>
      <c r="T476" s="4" t="str">
        <f>IF(Table1[[#This Row],[Sales]]&lt;0,"loss","profit")</f>
        <v>profit</v>
      </c>
      <c r="U476" s="4" t="str" cm="1">
        <f t="array" ref="U476">_xlfn.IFS(Table1[[#This Row],[Sales]]&gt;2000,"large",Table1[[#This Row],[Sales]]&gt;=500,"medium",Table1[[#This Row],[Sales]]&lt;500,"small")</f>
        <v>small</v>
      </c>
      <c r="V476" s="22">
        <f>Table1[[#This Row],[Profit]]/Table1[[#This Row],[Sales]]*100</f>
        <v>-2.890474856828309</v>
      </c>
    </row>
    <row r="477" spans="1:22" x14ac:dyDescent="0.35">
      <c r="A477" s="4" t="s">
        <v>831</v>
      </c>
      <c r="B477" s="5">
        <v>45827</v>
      </c>
      <c r="C477" s="4" t="s">
        <v>83</v>
      </c>
      <c r="D477" s="4" t="s">
        <v>20</v>
      </c>
      <c r="E477" s="4" t="s">
        <v>29</v>
      </c>
      <c r="F477" s="4" t="s">
        <v>30</v>
      </c>
      <c r="G477" s="4" t="s">
        <v>23</v>
      </c>
      <c r="H477" s="4" t="s">
        <v>135</v>
      </c>
      <c r="I477" s="4">
        <v>3</v>
      </c>
      <c r="J477" s="6">
        <v>34.619999999999997</v>
      </c>
      <c r="K477" s="7">
        <v>0.15</v>
      </c>
      <c r="L477" s="6">
        <f t="shared" si="14"/>
        <v>88.280999999999992</v>
      </c>
      <c r="M477" s="6">
        <v>19.23</v>
      </c>
      <c r="N477" s="8">
        <f t="shared" si="15"/>
        <v>30.590999999999994</v>
      </c>
      <c r="O477" s="4" t="s">
        <v>84</v>
      </c>
      <c r="P477" s="4" t="s">
        <v>118</v>
      </c>
      <c r="Q477" s="4">
        <v>4</v>
      </c>
      <c r="R477" s="4" t="str">
        <f>TEXT(Table1[[#This Row],[Order Date]],"mmm")</f>
        <v>Jun</v>
      </c>
      <c r="S477" s="4" t="str">
        <f>TEXT(Table1[[#This Row],[Order Date]],"mm")</f>
        <v>06</v>
      </c>
      <c r="T477" s="4" t="str">
        <f>IF(Table1[[#This Row],[Sales]]&lt;0,"loss","profit")</f>
        <v>profit</v>
      </c>
      <c r="U477" s="4" t="str" cm="1">
        <f t="array" ref="U477">_xlfn.IFS(Table1[[#This Row],[Sales]]&gt;2000,"large",Table1[[#This Row],[Sales]]&gt;=500,"medium",Table1[[#This Row],[Sales]]&lt;500,"small")</f>
        <v>small</v>
      </c>
      <c r="V477" s="22">
        <f>Table1[[#This Row],[Profit]]/Table1[[#This Row],[Sales]]*100</f>
        <v>34.651850341523087</v>
      </c>
    </row>
    <row r="478" spans="1:22" x14ac:dyDescent="0.35">
      <c r="A478" s="4" t="s">
        <v>832</v>
      </c>
      <c r="B478" s="5">
        <v>45827</v>
      </c>
      <c r="C478" s="4" t="s">
        <v>408</v>
      </c>
      <c r="D478" s="4" t="s">
        <v>20</v>
      </c>
      <c r="E478" s="4" t="s">
        <v>29</v>
      </c>
      <c r="F478" s="4" t="s">
        <v>54</v>
      </c>
      <c r="G478" s="4" t="s">
        <v>31</v>
      </c>
      <c r="H478" s="4" t="s">
        <v>64</v>
      </c>
      <c r="I478" s="4">
        <v>2</v>
      </c>
      <c r="J478" s="6">
        <v>74.989999999999995</v>
      </c>
      <c r="K478" s="7">
        <v>0.15</v>
      </c>
      <c r="L478" s="6">
        <f t="shared" si="14"/>
        <v>127.48299999999999</v>
      </c>
      <c r="M478" s="6">
        <v>51.75</v>
      </c>
      <c r="N478" s="8">
        <f t="shared" si="15"/>
        <v>23.98299999999999</v>
      </c>
      <c r="O478" s="4" t="s">
        <v>84</v>
      </c>
      <c r="P478" s="4" t="s">
        <v>33</v>
      </c>
      <c r="Q478" s="4">
        <v>3</v>
      </c>
      <c r="R478" s="4" t="str">
        <f>TEXT(Table1[[#This Row],[Order Date]],"mmm")</f>
        <v>Jun</v>
      </c>
      <c r="S478" s="4" t="str">
        <f>TEXT(Table1[[#This Row],[Order Date]],"mm")</f>
        <v>06</v>
      </c>
      <c r="T478" s="4" t="str">
        <f>IF(Table1[[#This Row],[Sales]]&lt;0,"loss","profit")</f>
        <v>profit</v>
      </c>
      <c r="U478" s="4" t="str" cm="1">
        <f t="array" ref="U478">_xlfn.IFS(Table1[[#This Row],[Sales]]&gt;2000,"large",Table1[[#This Row],[Sales]]&gt;=500,"medium",Table1[[#This Row],[Sales]]&lt;500,"small")</f>
        <v>small</v>
      </c>
      <c r="V478" s="22">
        <f>Table1[[#This Row],[Profit]]/Table1[[#This Row],[Sales]]*100</f>
        <v>18.812704439023236</v>
      </c>
    </row>
    <row r="479" spans="1:22" x14ac:dyDescent="0.35">
      <c r="A479" s="4" t="s">
        <v>833</v>
      </c>
      <c r="B479" s="5">
        <v>45828</v>
      </c>
      <c r="C479" s="4" t="s">
        <v>834</v>
      </c>
      <c r="D479" s="4" t="s">
        <v>43</v>
      </c>
      <c r="E479" s="4" t="s">
        <v>21</v>
      </c>
      <c r="F479" s="4" t="s">
        <v>59</v>
      </c>
      <c r="G479" s="4" t="s">
        <v>67</v>
      </c>
      <c r="H479" s="4" t="s">
        <v>68</v>
      </c>
      <c r="I479" s="4">
        <v>5</v>
      </c>
      <c r="J479" s="6">
        <v>1024.1400000000001</v>
      </c>
      <c r="K479" s="7">
        <v>0</v>
      </c>
      <c r="L479" s="6">
        <f t="shared" si="14"/>
        <v>5120.7000000000007</v>
      </c>
      <c r="M479" s="6">
        <v>691.38</v>
      </c>
      <c r="N479" s="8">
        <f t="shared" si="15"/>
        <v>1663.8000000000006</v>
      </c>
      <c r="O479" s="4" t="s">
        <v>60</v>
      </c>
      <c r="P479" s="4" t="s">
        <v>26</v>
      </c>
      <c r="Q479" s="4">
        <v>4</v>
      </c>
      <c r="R479" s="4" t="str">
        <f>TEXT(Table1[[#This Row],[Order Date]],"mmm")</f>
        <v>Jun</v>
      </c>
      <c r="S479" s="4" t="str">
        <f>TEXT(Table1[[#This Row],[Order Date]],"mm")</f>
        <v>06</v>
      </c>
      <c r="T479" s="4" t="str">
        <f>IF(Table1[[#This Row],[Sales]]&lt;0,"loss","profit")</f>
        <v>profit</v>
      </c>
      <c r="U479" s="4" t="str" cm="1">
        <f t="array" ref="U479">_xlfn.IFS(Table1[[#This Row],[Sales]]&gt;2000,"large",Table1[[#This Row],[Sales]]&gt;=500,"medium",Table1[[#This Row],[Sales]]&lt;500,"small")</f>
        <v>large</v>
      </c>
      <c r="V479" s="22">
        <f>Table1[[#This Row],[Profit]]/Table1[[#This Row],[Sales]]*100</f>
        <v>32.491651532017116</v>
      </c>
    </row>
    <row r="480" spans="1:22" x14ac:dyDescent="0.35">
      <c r="A480" s="4" t="s">
        <v>835</v>
      </c>
      <c r="B480" s="5">
        <v>45828</v>
      </c>
      <c r="C480" s="4" t="s">
        <v>115</v>
      </c>
      <c r="D480" s="4" t="s">
        <v>43</v>
      </c>
      <c r="E480" s="4" t="s">
        <v>36</v>
      </c>
      <c r="F480" s="4" t="s">
        <v>201</v>
      </c>
      <c r="G480" s="4" t="s">
        <v>67</v>
      </c>
      <c r="H480" s="4" t="s">
        <v>121</v>
      </c>
      <c r="I480" s="4">
        <v>3</v>
      </c>
      <c r="J480" s="6">
        <v>321.07</v>
      </c>
      <c r="K480" s="7">
        <v>0</v>
      </c>
      <c r="L480" s="6">
        <f t="shared" si="14"/>
        <v>963.21</v>
      </c>
      <c r="M480" s="6">
        <v>237.47</v>
      </c>
      <c r="N480" s="8">
        <f t="shared" si="15"/>
        <v>250.80000000000007</v>
      </c>
      <c r="O480" s="4" t="s">
        <v>25</v>
      </c>
      <c r="P480" s="4" t="s">
        <v>26</v>
      </c>
      <c r="Q480" s="4">
        <v>4</v>
      </c>
      <c r="R480" s="4" t="str">
        <f>TEXT(Table1[[#This Row],[Order Date]],"mmm")</f>
        <v>Jun</v>
      </c>
      <c r="S480" s="4" t="str">
        <f>TEXT(Table1[[#This Row],[Order Date]],"mm")</f>
        <v>06</v>
      </c>
      <c r="T480" s="4" t="str">
        <f>IF(Table1[[#This Row],[Sales]]&lt;0,"loss","profit")</f>
        <v>profit</v>
      </c>
      <c r="U480" s="4" t="str" cm="1">
        <f t="array" ref="U480">_xlfn.IFS(Table1[[#This Row],[Sales]]&gt;2000,"large",Table1[[#This Row],[Sales]]&gt;=500,"medium",Table1[[#This Row],[Sales]]&lt;500,"small")</f>
        <v>medium</v>
      </c>
      <c r="V480" s="22">
        <f>Table1[[#This Row],[Profit]]/Table1[[#This Row],[Sales]]*100</f>
        <v>26.037935652661421</v>
      </c>
    </row>
    <row r="481" spans="1:22" x14ac:dyDescent="0.35">
      <c r="A481" s="4" t="s">
        <v>836</v>
      </c>
      <c r="B481" s="5">
        <v>45829</v>
      </c>
      <c r="C481" s="4" t="s">
        <v>837</v>
      </c>
      <c r="D481" s="4" t="s">
        <v>43</v>
      </c>
      <c r="E481" s="4" t="s">
        <v>87</v>
      </c>
      <c r="F481" s="4" t="s">
        <v>124</v>
      </c>
      <c r="G481" s="4" t="s">
        <v>23</v>
      </c>
      <c r="H481" s="4" t="s">
        <v>135</v>
      </c>
      <c r="I481" s="4">
        <v>2</v>
      </c>
      <c r="J481" s="6">
        <v>24.95</v>
      </c>
      <c r="K481" s="7">
        <v>0.1</v>
      </c>
      <c r="L481" s="6">
        <f t="shared" si="14"/>
        <v>44.91</v>
      </c>
      <c r="M481" s="6">
        <v>13</v>
      </c>
      <c r="N481" s="8">
        <f t="shared" si="15"/>
        <v>18.909999999999997</v>
      </c>
      <c r="O481" s="4" t="s">
        <v>25</v>
      </c>
      <c r="P481" s="4" t="s">
        <v>97</v>
      </c>
      <c r="Q481" s="4">
        <v>5</v>
      </c>
      <c r="R481" s="4" t="str">
        <f>TEXT(Table1[[#This Row],[Order Date]],"mmm")</f>
        <v>Jun</v>
      </c>
      <c r="S481" s="4" t="str">
        <f>TEXT(Table1[[#This Row],[Order Date]],"mm")</f>
        <v>06</v>
      </c>
      <c r="T481" s="4" t="str">
        <f>IF(Table1[[#This Row],[Sales]]&lt;0,"loss","profit")</f>
        <v>profit</v>
      </c>
      <c r="U481" s="4" t="str" cm="1">
        <f t="array" ref="U481">_xlfn.IFS(Table1[[#This Row],[Sales]]&gt;2000,"large",Table1[[#This Row],[Sales]]&gt;=500,"medium",Table1[[#This Row],[Sales]]&lt;500,"small")</f>
        <v>small</v>
      </c>
      <c r="V481" s="22">
        <f>Table1[[#This Row],[Profit]]/Table1[[#This Row],[Sales]]*100</f>
        <v>42.106435092407033</v>
      </c>
    </row>
    <row r="482" spans="1:22" x14ac:dyDescent="0.35">
      <c r="A482" s="4" t="s">
        <v>838</v>
      </c>
      <c r="B482" s="5">
        <v>45829</v>
      </c>
      <c r="C482" s="4" t="s">
        <v>307</v>
      </c>
      <c r="D482" s="4" t="s">
        <v>43</v>
      </c>
      <c r="E482" s="4" t="s">
        <v>87</v>
      </c>
      <c r="F482" s="4" t="s">
        <v>88</v>
      </c>
      <c r="G482" s="4" t="s">
        <v>31</v>
      </c>
      <c r="H482" s="4" t="s">
        <v>147</v>
      </c>
      <c r="I482" s="4">
        <v>1</v>
      </c>
      <c r="J482" s="6">
        <v>74.62</v>
      </c>
      <c r="K482" s="7">
        <v>0.1</v>
      </c>
      <c r="L482" s="6">
        <f t="shared" si="14"/>
        <v>67.158000000000001</v>
      </c>
      <c r="M482" s="6">
        <v>50.53</v>
      </c>
      <c r="N482" s="8">
        <f t="shared" si="15"/>
        <v>16.628</v>
      </c>
      <c r="O482" s="4" t="s">
        <v>40</v>
      </c>
      <c r="P482" s="4" t="s">
        <v>118</v>
      </c>
      <c r="Q482" s="4">
        <v>5</v>
      </c>
      <c r="R482" s="4" t="str">
        <f>TEXT(Table1[[#This Row],[Order Date]],"mmm")</f>
        <v>Jun</v>
      </c>
      <c r="S482" s="4" t="str">
        <f>TEXT(Table1[[#This Row],[Order Date]],"mm")</f>
        <v>06</v>
      </c>
      <c r="T482" s="4" t="str">
        <f>IF(Table1[[#This Row],[Sales]]&lt;0,"loss","profit")</f>
        <v>profit</v>
      </c>
      <c r="U482" s="4" t="str" cm="1">
        <f t="array" ref="U482">_xlfn.IFS(Table1[[#This Row],[Sales]]&gt;2000,"large",Table1[[#This Row],[Sales]]&gt;=500,"medium",Table1[[#This Row],[Sales]]&lt;500,"small")</f>
        <v>small</v>
      </c>
      <c r="V482" s="22">
        <f>Table1[[#This Row],[Profit]]/Table1[[#This Row],[Sales]]*100</f>
        <v>24.759522320497929</v>
      </c>
    </row>
    <row r="483" spans="1:22" x14ac:dyDescent="0.35">
      <c r="A483" s="4" t="s">
        <v>839</v>
      </c>
      <c r="B483" s="5">
        <v>45830</v>
      </c>
      <c r="C483" s="4" t="s">
        <v>840</v>
      </c>
      <c r="D483" s="4" t="s">
        <v>43</v>
      </c>
      <c r="E483" s="4" t="s">
        <v>36</v>
      </c>
      <c r="F483" s="4" t="s">
        <v>37</v>
      </c>
      <c r="G483" s="4" t="s">
        <v>49</v>
      </c>
      <c r="H483" s="4" t="s">
        <v>128</v>
      </c>
      <c r="I483" s="4">
        <v>1</v>
      </c>
      <c r="J483" s="6">
        <v>130.75</v>
      </c>
      <c r="K483" s="7">
        <v>0.1</v>
      </c>
      <c r="L483" s="6">
        <f t="shared" si="14"/>
        <v>117.675</v>
      </c>
      <c r="M483" s="6">
        <v>91.08</v>
      </c>
      <c r="N483" s="8">
        <f t="shared" si="15"/>
        <v>26.594999999999999</v>
      </c>
      <c r="O483" s="4" t="s">
        <v>84</v>
      </c>
      <c r="P483" s="4" t="s">
        <v>56</v>
      </c>
      <c r="Q483" s="4">
        <v>3</v>
      </c>
      <c r="R483" s="4" t="str">
        <f>TEXT(Table1[[#This Row],[Order Date]],"mmm")</f>
        <v>Jun</v>
      </c>
      <c r="S483" s="4" t="str">
        <f>TEXT(Table1[[#This Row],[Order Date]],"mm")</f>
        <v>06</v>
      </c>
      <c r="T483" s="4" t="str">
        <f>IF(Table1[[#This Row],[Sales]]&lt;0,"loss","profit")</f>
        <v>profit</v>
      </c>
      <c r="U483" s="4" t="str" cm="1">
        <f t="array" ref="U483">_xlfn.IFS(Table1[[#This Row],[Sales]]&gt;2000,"large",Table1[[#This Row],[Sales]]&gt;=500,"medium",Table1[[#This Row],[Sales]]&lt;500,"small")</f>
        <v>small</v>
      </c>
      <c r="V483" s="22">
        <f>Table1[[#This Row],[Profit]]/Table1[[#This Row],[Sales]]*100</f>
        <v>22.600382409177818</v>
      </c>
    </row>
    <row r="484" spans="1:22" x14ac:dyDescent="0.35">
      <c r="A484" s="4" t="s">
        <v>841</v>
      </c>
      <c r="B484" s="5">
        <v>45830</v>
      </c>
      <c r="C484" s="4" t="s">
        <v>842</v>
      </c>
      <c r="D484" s="4" t="s">
        <v>43</v>
      </c>
      <c r="E484" s="4" t="s">
        <v>29</v>
      </c>
      <c r="F484" s="4" t="s">
        <v>30</v>
      </c>
      <c r="G484" s="4" t="s">
        <v>38</v>
      </c>
      <c r="H484" s="4" t="s">
        <v>55</v>
      </c>
      <c r="I484" s="4">
        <v>3</v>
      </c>
      <c r="J484" s="6">
        <v>155.32</v>
      </c>
      <c r="K484" s="7">
        <v>0</v>
      </c>
      <c r="L484" s="6">
        <f t="shared" si="14"/>
        <v>465.96</v>
      </c>
      <c r="M484" s="6">
        <v>126.75</v>
      </c>
      <c r="N484" s="8">
        <f t="shared" si="15"/>
        <v>85.70999999999998</v>
      </c>
      <c r="O484" s="4" t="s">
        <v>84</v>
      </c>
      <c r="P484" s="4" t="s">
        <v>75</v>
      </c>
      <c r="Q484" s="4">
        <v>3</v>
      </c>
      <c r="R484" s="4" t="str">
        <f>TEXT(Table1[[#This Row],[Order Date]],"mmm")</f>
        <v>Jun</v>
      </c>
      <c r="S484" s="4" t="str">
        <f>TEXT(Table1[[#This Row],[Order Date]],"mm")</f>
        <v>06</v>
      </c>
      <c r="T484" s="4" t="str">
        <f>IF(Table1[[#This Row],[Sales]]&lt;0,"loss","profit")</f>
        <v>profit</v>
      </c>
      <c r="U484" s="4" t="str" cm="1">
        <f t="array" ref="U484">_xlfn.IFS(Table1[[#This Row],[Sales]]&gt;2000,"large",Table1[[#This Row],[Sales]]&gt;=500,"medium",Table1[[#This Row],[Sales]]&lt;500,"small")</f>
        <v>small</v>
      </c>
      <c r="V484" s="22">
        <f>Table1[[#This Row],[Profit]]/Table1[[#This Row],[Sales]]*100</f>
        <v>18.394282771053305</v>
      </c>
    </row>
    <row r="485" spans="1:22" x14ac:dyDescent="0.35">
      <c r="A485" s="4" t="s">
        <v>843</v>
      </c>
      <c r="B485" s="5">
        <v>45830</v>
      </c>
      <c r="C485" s="4" t="s">
        <v>844</v>
      </c>
      <c r="D485" s="4" t="s">
        <v>20</v>
      </c>
      <c r="E485" s="4" t="s">
        <v>29</v>
      </c>
      <c r="F485" s="4" t="s">
        <v>54</v>
      </c>
      <c r="G485" s="4" t="s">
        <v>31</v>
      </c>
      <c r="H485" s="4" t="s">
        <v>125</v>
      </c>
      <c r="I485" s="4">
        <v>1</v>
      </c>
      <c r="J485" s="6">
        <v>139.53</v>
      </c>
      <c r="K485" s="7">
        <v>0.15</v>
      </c>
      <c r="L485" s="6">
        <f t="shared" si="14"/>
        <v>118.6005</v>
      </c>
      <c r="M485" s="6">
        <v>103.47</v>
      </c>
      <c r="N485" s="8">
        <f t="shared" si="15"/>
        <v>15.130499999999998</v>
      </c>
      <c r="O485" s="4" t="s">
        <v>25</v>
      </c>
      <c r="P485" s="4" t="s">
        <v>56</v>
      </c>
      <c r="Q485" s="4">
        <v>5</v>
      </c>
      <c r="R485" s="4" t="str">
        <f>TEXT(Table1[[#This Row],[Order Date]],"mmm")</f>
        <v>Jun</v>
      </c>
      <c r="S485" s="4" t="str">
        <f>TEXT(Table1[[#This Row],[Order Date]],"mm")</f>
        <v>06</v>
      </c>
      <c r="T485" s="4" t="str">
        <f>IF(Table1[[#This Row],[Sales]]&lt;0,"loss","profit")</f>
        <v>profit</v>
      </c>
      <c r="U485" s="4" t="str" cm="1">
        <f t="array" ref="U485">_xlfn.IFS(Table1[[#This Row],[Sales]]&gt;2000,"large",Table1[[#This Row],[Sales]]&gt;=500,"medium",Table1[[#This Row],[Sales]]&lt;500,"small")</f>
        <v>small</v>
      </c>
      <c r="V485" s="22">
        <f>Table1[[#This Row],[Profit]]/Table1[[#This Row],[Sales]]*100</f>
        <v>12.757534749010333</v>
      </c>
    </row>
    <row r="486" spans="1:22" x14ac:dyDescent="0.35">
      <c r="A486" s="4" t="s">
        <v>845</v>
      </c>
      <c r="B486" s="5">
        <v>45830</v>
      </c>
      <c r="C486" s="4" t="s">
        <v>637</v>
      </c>
      <c r="D486" s="4" t="s">
        <v>20</v>
      </c>
      <c r="E486" s="4" t="s">
        <v>29</v>
      </c>
      <c r="F486" s="4" t="s">
        <v>108</v>
      </c>
      <c r="G486" s="4" t="s">
        <v>23</v>
      </c>
      <c r="H486" s="4" t="s">
        <v>71</v>
      </c>
      <c r="I486" s="4">
        <v>5</v>
      </c>
      <c r="J486" s="6">
        <v>162.54</v>
      </c>
      <c r="K486" s="7">
        <v>0</v>
      </c>
      <c r="L486" s="6">
        <f t="shared" si="14"/>
        <v>812.69999999999993</v>
      </c>
      <c r="M486" s="6">
        <v>69.66</v>
      </c>
      <c r="N486" s="8">
        <f t="shared" si="15"/>
        <v>464.4</v>
      </c>
      <c r="O486" s="4" t="s">
        <v>51</v>
      </c>
      <c r="P486" s="4" t="s">
        <v>56</v>
      </c>
      <c r="Q486" s="4">
        <v>4</v>
      </c>
      <c r="R486" s="4" t="str">
        <f>TEXT(Table1[[#This Row],[Order Date]],"mmm")</f>
        <v>Jun</v>
      </c>
      <c r="S486" s="4" t="str">
        <f>TEXT(Table1[[#This Row],[Order Date]],"mm")</f>
        <v>06</v>
      </c>
      <c r="T486" s="4" t="str">
        <f>IF(Table1[[#This Row],[Sales]]&lt;0,"loss","profit")</f>
        <v>profit</v>
      </c>
      <c r="U486" s="4" t="str" cm="1">
        <f t="array" ref="U486">_xlfn.IFS(Table1[[#This Row],[Sales]]&gt;2000,"large",Table1[[#This Row],[Sales]]&gt;=500,"medium",Table1[[#This Row],[Sales]]&lt;500,"small")</f>
        <v>medium</v>
      </c>
      <c r="V486" s="22">
        <f>Table1[[#This Row],[Profit]]/Table1[[#This Row],[Sales]]*100</f>
        <v>57.142857142857139</v>
      </c>
    </row>
    <row r="487" spans="1:22" x14ac:dyDescent="0.35">
      <c r="A487" s="4" t="s">
        <v>846</v>
      </c>
      <c r="B487" s="5">
        <v>45831</v>
      </c>
      <c r="C487" s="4" t="s">
        <v>614</v>
      </c>
      <c r="D487" s="4" t="s">
        <v>20</v>
      </c>
      <c r="E487" s="4" t="s">
        <v>21</v>
      </c>
      <c r="F487" s="4" t="s">
        <v>81</v>
      </c>
      <c r="G487" s="4" t="s">
        <v>31</v>
      </c>
      <c r="H487" s="4" t="s">
        <v>64</v>
      </c>
      <c r="I487" s="4">
        <v>2</v>
      </c>
      <c r="J487" s="6">
        <v>144.25</v>
      </c>
      <c r="K487" s="7">
        <v>0.05</v>
      </c>
      <c r="L487" s="6">
        <f t="shared" si="14"/>
        <v>274.07499999999999</v>
      </c>
      <c r="M487" s="6">
        <v>105.58</v>
      </c>
      <c r="N487" s="8">
        <f t="shared" si="15"/>
        <v>62.914999999999992</v>
      </c>
      <c r="O487" s="4" t="s">
        <v>84</v>
      </c>
      <c r="P487" s="4" t="s">
        <v>97</v>
      </c>
      <c r="Q487" s="4">
        <v>3</v>
      </c>
      <c r="R487" s="4" t="str">
        <f>TEXT(Table1[[#This Row],[Order Date]],"mmm")</f>
        <v>Jun</v>
      </c>
      <c r="S487" s="4" t="str">
        <f>TEXT(Table1[[#This Row],[Order Date]],"mm")</f>
        <v>06</v>
      </c>
      <c r="T487" s="4" t="str">
        <f>IF(Table1[[#This Row],[Sales]]&lt;0,"loss","profit")</f>
        <v>profit</v>
      </c>
      <c r="U487" s="4" t="str" cm="1">
        <f t="array" ref="U487">_xlfn.IFS(Table1[[#This Row],[Sales]]&gt;2000,"large",Table1[[#This Row],[Sales]]&gt;=500,"medium",Table1[[#This Row],[Sales]]&lt;500,"small")</f>
        <v>small</v>
      </c>
      <c r="V487" s="22">
        <f>Table1[[#This Row],[Profit]]/Table1[[#This Row],[Sales]]*100</f>
        <v>22.955395420961413</v>
      </c>
    </row>
    <row r="488" spans="1:22" x14ac:dyDescent="0.35">
      <c r="A488" s="4" t="s">
        <v>847</v>
      </c>
      <c r="B488" s="5">
        <v>45831</v>
      </c>
      <c r="C488" s="4" t="s">
        <v>848</v>
      </c>
      <c r="D488" s="4" t="s">
        <v>47</v>
      </c>
      <c r="E488" s="4" t="s">
        <v>36</v>
      </c>
      <c r="F488" s="4" t="s">
        <v>37</v>
      </c>
      <c r="G488" s="4" t="s">
        <v>38</v>
      </c>
      <c r="H488" s="4" t="s">
        <v>109</v>
      </c>
      <c r="I488" s="4">
        <v>1</v>
      </c>
      <c r="J488" s="6">
        <v>1075.94</v>
      </c>
      <c r="K488" s="7">
        <v>0.05</v>
      </c>
      <c r="L488" s="6">
        <f t="shared" si="14"/>
        <v>1022.143</v>
      </c>
      <c r="M488" s="6">
        <v>897.42</v>
      </c>
      <c r="N488" s="8">
        <f t="shared" si="15"/>
        <v>124.72300000000007</v>
      </c>
      <c r="O488" s="4" t="s">
        <v>25</v>
      </c>
      <c r="P488" s="4" t="s">
        <v>97</v>
      </c>
      <c r="Q488" s="4">
        <v>4</v>
      </c>
      <c r="R488" s="4" t="str">
        <f>TEXT(Table1[[#This Row],[Order Date]],"mmm")</f>
        <v>Jun</v>
      </c>
      <c r="S488" s="4" t="str">
        <f>TEXT(Table1[[#This Row],[Order Date]],"mm")</f>
        <v>06</v>
      </c>
      <c r="T488" s="4" t="str">
        <f>IF(Table1[[#This Row],[Sales]]&lt;0,"loss","profit")</f>
        <v>profit</v>
      </c>
      <c r="U488" s="4" t="str" cm="1">
        <f t="array" ref="U488">_xlfn.IFS(Table1[[#This Row],[Sales]]&gt;2000,"large",Table1[[#This Row],[Sales]]&gt;=500,"medium",Table1[[#This Row],[Sales]]&lt;500,"small")</f>
        <v>medium</v>
      </c>
      <c r="V488" s="22">
        <f>Table1[[#This Row],[Profit]]/Table1[[#This Row],[Sales]]*100</f>
        <v>12.202108706903052</v>
      </c>
    </row>
    <row r="489" spans="1:22" x14ac:dyDescent="0.35">
      <c r="A489" s="4" t="s">
        <v>849</v>
      </c>
      <c r="B489" s="5">
        <v>45832</v>
      </c>
      <c r="C489" s="4" t="s">
        <v>120</v>
      </c>
      <c r="D489" s="4" t="s">
        <v>20</v>
      </c>
      <c r="E489" s="4" t="s">
        <v>36</v>
      </c>
      <c r="F489" s="4" t="s">
        <v>201</v>
      </c>
      <c r="G489" s="4" t="s">
        <v>38</v>
      </c>
      <c r="H489" s="4" t="s">
        <v>55</v>
      </c>
      <c r="I489" s="4">
        <v>4</v>
      </c>
      <c r="J489" s="6">
        <v>267.45</v>
      </c>
      <c r="K489" s="7">
        <v>0.15</v>
      </c>
      <c r="L489" s="6">
        <f t="shared" si="14"/>
        <v>909.32999999999993</v>
      </c>
      <c r="M489" s="6">
        <v>203.12</v>
      </c>
      <c r="N489" s="8">
        <f t="shared" si="15"/>
        <v>96.849999999999909</v>
      </c>
      <c r="O489" s="4" t="s">
        <v>51</v>
      </c>
      <c r="P489" s="4" t="s">
        <v>75</v>
      </c>
      <c r="Q489" s="4">
        <v>5</v>
      </c>
      <c r="R489" s="4" t="str">
        <f>TEXT(Table1[[#This Row],[Order Date]],"mmm")</f>
        <v>Jun</v>
      </c>
      <c r="S489" s="4" t="str">
        <f>TEXT(Table1[[#This Row],[Order Date]],"mm")</f>
        <v>06</v>
      </c>
      <c r="T489" s="4" t="str">
        <f>IF(Table1[[#This Row],[Sales]]&lt;0,"loss","profit")</f>
        <v>profit</v>
      </c>
      <c r="U489" s="4" t="str" cm="1">
        <f t="array" ref="U489">_xlfn.IFS(Table1[[#This Row],[Sales]]&gt;2000,"large",Table1[[#This Row],[Sales]]&gt;=500,"medium",Table1[[#This Row],[Sales]]&lt;500,"small")</f>
        <v>medium</v>
      </c>
      <c r="V489" s="22">
        <f>Table1[[#This Row],[Profit]]/Table1[[#This Row],[Sales]]*100</f>
        <v>10.650698866198182</v>
      </c>
    </row>
    <row r="490" spans="1:22" x14ac:dyDescent="0.35">
      <c r="A490" s="4" t="s">
        <v>850</v>
      </c>
      <c r="B490" s="5">
        <v>45832</v>
      </c>
      <c r="C490" s="4" t="s">
        <v>848</v>
      </c>
      <c r="D490" s="4" t="s">
        <v>43</v>
      </c>
      <c r="E490" s="4" t="s">
        <v>87</v>
      </c>
      <c r="F490" s="4" t="s">
        <v>92</v>
      </c>
      <c r="G490" s="4" t="s">
        <v>31</v>
      </c>
      <c r="H490" s="4" t="s">
        <v>147</v>
      </c>
      <c r="I490" s="4">
        <v>3</v>
      </c>
      <c r="J490" s="6">
        <v>90.61</v>
      </c>
      <c r="K490" s="7">
        <v>0</v>
      </c>
      <c r="L490" s="6">
        <f t="shared" si="14"/>
        <v>271.83</v>
      </c>
      <c r="M490" s="6">
        <v>53.66</v>
      </c>
      <c r="N490" s="8">
        <f t="shared" si="15"/>
        <v>110.85</v>
      </c>
      <c r="O490" s="4" t="s">
        <v>60</v>
      </c>
      <c r="P490" s="4" t="s">
        <v>72</v>
      </c>
      <c r="Q490" s="4">
        <v>5</v>
      </c>
      <c r="R490" s="4" t="str">
        <f>TEXT(Table1[[#This Row],[Order Date]],"mmm")</f>
        <v>Jun</v>
      </c>
      <c r="S490" s="4" t="str">
        <f>TEXT(Table1[[#This Row],[Order Date]],"mm")</f>
        <v>06</v>
      </c>
      <c r="T490" s="4" t="str">
        <f>IF(Table1[[#This Row],[Sales]]&lt;0,"loss","profit")</f>
        <v>profit</v>
      </c>
      <c r="U490" s="4" t="str" cm="1">
        <f t="array" ref="U490">_xlfn.IFS(Table1[[#This Row],[Sales]]&gt;2000,"large",Table1[[#This Row],[Sales]]&gt;=500,"medium",Table1[[#This Row],[Sales]]&lt;500,"small")</f>
        <v>small</v>
      </c>
      <c r="V490" s="22">
        <f>Table1[[#This Row],[Profit]]/Table1[[#This Row],[Sales]]*100</f>
        <v>40.77916344774308</v>
      </c>
    </row>
    <row r="491" spans="1:22" x14ac:dyDescent="0.35">
      <c r="A491" s="4" t="s">
        <v>851</v>
      </c>
      <c r="B491" s="5">
        <v>45832</v>
      </c>
      <c r="C491" s="4" t="s">
        <v>227</v>
      </c>
      <c r="D491" s="4" t="s">
        <v>47</v>
      </c>
      <c r="E491" s="4" t="s">
        <v>36</v>
      </c>
      <c r="F491" s="4" t="s">
        <v>48</v>
      </c>
      <c r="G491" s="4" t="s">
        <v>67</v>
      </c>
      <c r="H491" s="4" t="s">
        <v>68</v>
      </c>
      <c r="I491" s="4">
        <v>8</v>
      </c>
      <c r="J491" s="6">
        <v>1134.76</v>
      </c>
      <c r="K491" s="7">
        <v>0.1</v>
      </c>
      <c r="L491" s="6">
        <f t="shared" si="14"/>
        <v>8170.2719999999999</v>
      </c>
      <c r="M491" s="6">
        <v>699.48</v>
      </c>
      <c r="N491" s="8">
        <f t="shared" si="15"/>
        <v>2574.4319999999998</v>
      </c>
      <c r="O491" s="4" t="s">
        <v>84</v>
      </c>
      <c r="P491" s="4" t="s">
        <v>26</v>
      </c>
      <c r="Q491" s="4">
        <v>4</v>
      </c>
      <c r="R491" s="4" t="str">
        <f>TEXT(Table1[[#This Row],[Order Date]],"mmm")</f>
        <v>Jun</v>
      </c>
      <c r="S491" s="4" t="str">
        <f>TEXT(Table1[[#This Row],[Order Date]],"mm")</f>
        <v>06</v>
      </c>
      <c r="T491" s="4" t="str">
        <f>IF(Table1[[#This Row],[Sales]]&lt;0,"loss","profit")</f>
        <v>profit</v>
      </c>
      <c r="U491" s="4" t="str" cm="1">
        <f t="array" ref="U491">_xlfn.IFS(Table1[[#This Row],[Sales]]&gt;2000,"large",Table1[[#This Row],[Sales]]&gt;=500,"medium",Table1[[#This Row],[Sales]]&lt;500,"small")</f>
        <v>large</v>
      </c>
      <c r="V491" s="22">
        <f>Table1[[#This Row],[Profit]]/Table1[[#This Row],[Sales]]*100</f>
        <v>31.509746554337482</v>
      </c>
    </row>
    <row r="492" spans="1:22" x14ac:dyDescent="0.35">
      <c r="A492" s="4" t="s">
        <v>852</v>
      </c>
      <c r="B492" s="5">
        <v>45832</v>
      </c>
      <c r="C492" s="4" t="s">
        <v>655</v>
      </c>
      <c r="D492" s="4" t="s">
        <v>20</v>
      </c>
      <c r="E492" s="4" t="s">
        <v>21</v>
      </c>
      <c r="F492" s="4" t="s">
        <v>81</v>
      </c>
      <c r="G492" s="4" t="s">
        <v>49</v>
      </c>
      <c r="H492" s="4" t="s">
        <v>187</v>
      </c>
      <c r="I492" s="4">
        <v>2</v>
      </c>
      <c r="J492" s="6">
        <v>148.4</v>
      </c>
      <c r="K492" s="7">
        <v>0.05</v>
      </c>
      <c r="L492" s="6">
        <f t="shared" si="14"/>
        <v>281.95999999999998</v>
      </c>
      <c r="M492" s="6">
        <v>103.17</v>
      </c>
      <c r="N492" s="8">
        <f t="shared" si="15"/>
        <v>75.619999999999976</v>
      </c>
      <c r="O492" s="4" t="s">
        <v>40</v>
      </c>
      <c r="P492" s="4" t="s">
        <v>56</v>
      </c>
      <c r="Q492" s="4">
        <v>5</v>
      </c>
      <c r="R492" s="4" t="str">
        <f>TEXT(Table1[[#This Row],[Order Date]],"mmm")</f>
        <v>Jun</v>
      </c>
      <c r="S492" s="4" t="str">
        <f>TEXT(Table1[[#This Row],[Order Date]],"mm")</f>
        <v>06</v>
      </c>
      <c r="T492" s="4" t="str">
        <f>IF(Table1[[#This Row],[Sales]]&lt;0,"loss","profit")</f>
        <v>profit</v>
      </c>
      <c r="U492" s="4" t="str" cm="1">
        <f t="array" ref="U492">_xlfn.IFS(Table1[[#This Row],[Sales]]&gt;2000,"large",Table1[[#This Row],[Sales]]&gt;=500,"medium",Table1[[#This Row],[Sales]]&lt;500,"small")</f>
        <v>small</v>
      </c>
      <c r="V492" s="22">
        <f>Table1[[#This Row],[Profit]]/Table1[[#This Row],[Sales]]*100</f>
        <v>26.819407008086248</v>
      </c>
    </row>
    <row r="493" spans="1:22" x14ac:dyDescent="0.35">
      <c r="A493" s="4" t="s">
        <v>853</v>
      </c>
      <c r="B493" s="5">
        <v>45832</v>
      </c>
      <c r="C493" s="4" t="s">
        <v>526</v>
      </c>
      <c r="D493" s="4" t="s">
        <v>20</v>
      </c>
      <c r="E493" s="4" t="s">
        <v>36</v>
      </c>
      <c r="F493" s="4" t="s">
        <v>201</v>
      </c>
      <c r="G493" s="4" t="s">
        <v>31</v>
      </c>
      <c r="H493" s="4" t="s">
        <v>147</v>
      </c>
      <c r="I493" s="4">
        <v>3</v>
      </c>
      <c r="J493" s="6">
        <v>58.43</v>
      </c>
      <c r="K493" s="7">
        <v>0.1</v>
      </c>
      <c r="L493" s="6">
        <f t="shared" si="14"/>
        <v>157.761</v>
      </c>
      <c r="M493" s="6">
        <v>36.79</v>
      </c>
      <c r="N493" s="8">
        <f t="shared" si="15"/>
        <v>47.390999999999991</v>
      </c>
      <c r="O493" s="4" t="s">
        <v>84</v>
      </c>
      <c r="P493" s="4" t="s">
        <v>26</v>
      </c>
      <c r="Q493" s="4">
        <v>5</v>
      </c>
      <c r="R493" s="4" t="str">
        <f>TEXT(Table1[[#This Row],[Order Date]],"mmm")</f>
        <v>Jun</v>
      </c>
      <c r="S493" s="4" t="str">
        <f>TEXT(Table1[[#This Row],[Order Date]],"mm")</f>
        <v>06</v>
      </c>
      <c r="T493" s="4" t="str">
        <f>IF(Table1[[#This Row],[Sales]]&lt;0,"loss","profit")</f>
        <v>profit</v>
      </c>
      <c r="U493" s="4" t="str" cm="1">
        <f t="array" ref="U493">_xlfn.IFS(Table1[[#This Row],[Sales]]&gt;2000,"large",Table1[[#This Row],[Sales]]&gt;=500,"medium",Table1[[#This Row],[Sales]]&lt;500,"small")</f>
        <v>small</v>
      </c>
      <c r="V493" s="22">
        <f>Table1[[#This Row],[Profit]]/Table1[[#This Row],[Sales]]*100</f>
        <v>30.039743662882458</v>
      </c>
    </row>
    <row r="494" spans="1:22" x14ac:dyDescent="0.35">
      <c r="A494" s="4" t="s">
        <v>854</v>
      </c>
      <c r="B494" s="5">
        <v>45833</v>
      </c>
      <c r="C494" s="4" t="s">
        <v>612</v>
      </c>
      <c r="D494" s="4" t="s">
        <v>20</v>
      </c>
      <c r="E494" s="4" t="s">
        <v>21</v>
      </c>
      <c r="F494" s="4" t="s">
        <v>22</v>
      </c>
      <c r="G494" s="4" t="s">
        <v>38</v>
      </c>
      <c r="H494" s="4" t="s">
        <v>96</v>
      </c>
      <c r="I494" s="4">
        <v>1</v>
      </c>
      <c r="J494" s="6">
        <v>260.04000000000002</v>
      </c>
      <c r="K494" s="7">
        <v>0.05</v>
      </c>
      <c r="L494" s="6">
        <f t="shared" si="14"/>
        <v>247.03800000000001</v>
      </c>
      <c r="M494" s="6">
        <v>222.12</v>
      </c>
      <c r="N494" s="8">
        <f t="shared" si="15"/>
        <v>24.918000000000006</v>
      </c>
      <c r="O494" s="4" t="s">
        <v>84</v>
      </c>
      <c r="P494" s="4" t="s">
        <v>97</v>
      </c>
      <c r="Q494" s="4">
        <v>5</v>
      </c>
      <c r="R494" s="4" t="str">
        <f>TEXT(Table1[[#This Row],[Order Date]],"mmm")</f>
        <v>Jun</v>
      </c>
      <c r="S494" s="4" t="str">
        <f>TEXT(Table1[[#This Row],[Order Date]],"mm")</f>
        <v>06</v>
      </c>
      <c r="T494" s="4" t="str">
        <f>IF(Table1[[#This Row],[Sales]]&lt;0,"loss","profit")</f>
        <v>profit</v>
      </c>
      <c r="U494" s="4" t="str" cm="1">
        <f t="array" ref="U494">_xlfn.IFS(Table1[[#This Row],[Sales]]&gt;2000,"large",Table1[[#This Row],[Sales]]&gt;=500,"medium",Table1[[#This Row],[Sales]]&lt;500,"small")</f>
        <v>small</v>
      </c>
      <c r="V494" s="22">
        <f>Table1[[#This Row],[Profit]]/Table1[[#This Row],[Sales]]*100</f>
        <v>10.086707308187407</v>
      </c>
    </row>
    <row r="495" spans="1:22" x14ac:dyDescent="0.35">
      <c r="A495" s="4" t="s">
        <v>855</v>
      </c>
      <c r="B495" s="5">
        <v>45834</v>
      </c>
      <c r="C495" s="4" t="s">
        <v>856</v>
      </c>
      <c r="D495" s="4" t="s">
        <v>47</v>
      </c>
      <c r="E495" s="4" t="s">
        <v>87</v>
      </c>
      <c r="F495" s="4" t="s">
        <v>124</v>
      </c>
      <c r="G495" s="4" t="s">
        <v>67</v>
      </c>
      <c r="H495" s="4" t="s">
        <v>68</v>
      </c>
      <c r="I495" s="4">
        <v>3</v>
      </c>
      <c r="J495" s="6">
        <v>1086.1600000000001</v>
      </c>
      <c r="K495" s="7">
        <v>0</v>
      </c>
      <c r="L495" s="6">
        <f t="shared" si="14"/>
        <v>3258.4800000000005</v>
      </c>
      <c r="M495" s="6">
        <v>839.93</v>
      </c>
      <c r="N495" s="8">
        <f t="shared" si="15"/>
        <v>738.69000000000051</v>
      </c>
      <c r="O495" s="4" t="s">
        <v>60</v>
      </c>
      <c r="P495" s="4" t="s">
        <v>97</v>
      </c>
      <c r="Q495" s="4">
        <v>4</v>
      </c>
      <c r="R495" s="4" t="str">
        <f>TEXT(Table1[[#This Row],[Order Date]],"mmm")</f>
        <v>Jun</v>
      </c>
      <c r="S495" s="4" t="str">
        <f>TEXT(Table1[[#This Row],[Order Date]],"mm")</f>
        <v>06</v>
      </c>
      <c r="T495" s="4" t="str">
        <f>IF(Table1[[#This Row],[Sales]]&lt;0,"loss","profit")</f>
        <v>profit</v>
      </c>
      <c r="U495" s="4" t="str" cm="1">
        <f t="array" ref="U495">_xlfn.IFS(Table1[[#This Row],[Sales]]&gt;2000,"large",Table1[[#This Row],[Sales]]&gt;=500,"medium",Table1[[#This Row],[Sales]]&lt;500,"small")</f>
        <v>large</v>
      </c>
      <c r="V495" s="22">
        <f>Table1[[#This Row],[Profit]]/Table1[[#This Row],[Sales]]*100</f>
        <v>22.669772409221491</v>
      </c>
    </row>
    <row r="496" spans="1:22" x14ac:dyDescent="0.35">
      <c r="A496" s="4" t="s">
        <v>857</v>
      </c>
      <c r="B496" s="5">
        <v>45834</v>
      </c>
      <c r="C496" s="4" t="s">
        <v>858</v>
      </c>
      <c r="D496" s="4" t="s">
        <v>20</v>
      </c>
      <c r="E496" s="4" t="s">
        <v>87</v>
      </c>
      <c r="F496" s="4" t="s">
        <v>88</v>
      </c>
      <c r="G496" s="4" t="s">
        <v>67</v>
      </c>
      <c r="H496" s="4" t="s">
        <v>68</v>
      </c>
      <c r="I496" s="4">
        <v>8</v>
      </c>
      <c r="J496" s="6">
        <v>1150.28</v>
      </c>
      <c r="K496" s="7">
        <v>0.2</v>
      </c>
      <c r="L496" s="6">
        <f t="shared" si="14"/>
        <v>7361.7920000000004</v>
      </c>
      <c r="M496" s="6">
        <v>716.78</v>
      </c>
      <c r="N496" s="8">
        <f t="shared" si="15"/>
        <v>1627.5520000000006</v>
      </c>
      <c r="O496" s="4" t="s">
        <v>84</v>
      </c>
      <c r="P496" s="4" t="s">
        <v>56</v>
      </c>
      <c r="Q496" s="4">
        <v>5</v>
      </c>
      <c r="R496" s="4" t="str">
        <f>TEXT(Table1[[#This Row],[Order Date]],"mmm")</f>
        <v>Jun</v>
      </c>
      <c r="S496" s="4" t="str">
        <f>TEXT(Table1[[#This Row],[Order Date]],"mm")</f>
        <v>06</v>
      </c>
      <c r="T496" s="4" t="str">
        <f>IF(Table1[[#This Row],[Sales]]&lt;0,"loss","profit")</f>
        <v>profit</v>
      </c>
      <c r="U496" s="4" t="str" cm="1">
        <f t="array" ref="U496">_xlfn.IFS(Table1[[#This Row],[Sales]]&gt;2000,"large",Table1[[#This Row],[Sales]]&gt;=500,"medium",Table1[[#This Row],[Sales]]&lt;500,"small")</f>
        <v>large</v>
      </c>
      <c r="V496" s="22">
        <f>Table1[[#This Row],[Profit]]/Table1[[#This Row],[Sales]]*100</f>
        <v>22.108095420245512</v>
      </c>
    </row>
    <row r="497" spans="1:22" x14ac:dyDescent="0.35">
      <c r="A497" s="4" t="s">
        <v>859</v>
      </c>
      <c r="B497" s="5">
        <v>45834</v>
      </c>
      <c r="C497" s="4" t="s">
        <v>589</v>
      </c>
      <c r="D497" s="4" t="s">
        <v>47</v>
      </c>
      <c r="E497" s="4" t="s">
        <v>36</v>
      </c>
      <c r="F497" s="4" t="s">
        <v>48</v>
      </c>
      <c r="G497" s="4" t="s">
        <v>38</v>
      </c>
      <c r="H497" s="4" t="s">
        <v>109</v>
      </c>
      <c r="I497" s="4">
        <v>1</v>
      </c>
      <c r="J497" s="6">
        <v>339.83</v>
      </c>
      <c r="K497" s="7">
        <v>0</v>
      </c>
      <c r="L497" s="6">
        <f t="shared" si="14"/>
        <v>339.83</v>
      </c>
      <c r="M497" s="6">
        <v>274.33999999999997</v>
      </c>
      <c r="N497" s="8">
        <f t="shared" si="15"/>
        <v>65.490000000000009</v>
      </c>
      <c r="O497" s="4" t="s">
        <v>60</v>
      </c>
      <c r="P497" s="4" t="s">
        <v>97</v>
      </c>
      <c r="Q497" s="4">
        <v>5</v>
      </c>
      <c r="R497" s="4" t="str">
        <f>TEXT(Table1[[#This Row],[Order Date]],"mmm")</f>
        <v>Jun</v>
      </c>
      <c r="S497" s="4" t="str">
        <f>TEXT(Table1[[#This Row],[Order Date]],"mm")</f>
        <v>06</v>
      </c>
      <c r="T497" s="4" t="str">
        <f>IF(Table1[[#This Row],[Sales]]&lt;0,"loss","profit")</f>
        <v>profit</v>
      </c>
      <c r="U497" s="4" t="str" cm="1">
        <f t="array" ref="U497">_xlfn.IFS(Table1[[#This Row],[Sales]]&gt;2000,"large",Table1[[#This Row],[Sales]]&gt;=500,"medium",Table1[[#This Row],[Sales]]&lt;500,"small")</f>
        <v>small</v>
      </c>
      <c r="V497" s="22">
        <f>Table1[[#This Row],[Profit]]/Table1[[#This Row],[Sales]]*100</f>
        <v>19.271400406085398</v>
      </c>
    </row>
    <row r="498" spans="1:22" x14ac:dyDescent="0.35">
      <c r="A498" s="4" t="s">
        <v>860</v>
      </c>
      <c r="B498" s="5">
        <v>45835</v>
      </c>
      <c r="C498" s="4" t="s">
        <v>420</v>
      </c>
      <c r="D498" s="4" t="s">
        <v>43</v>
      </c>
      <c r="E498" s="4" t="s">
        <v>87</v>
      </c>
      <c r="F498" s="4" t="s">
        <v>92</v>
      </c>
      <c r="G498" s="4" t="s">
        <v>49</v>
      </c>
      <c r="H498" s="4" t="s">
        <v>187</v>
      </c>
      <c r="I498" s="4">
        <v>1</v>
      </c>
      <c r="J498" s="6">
        <v>47.78</v>
      </c>
      <c r="K498" s="7">
        <v>0.05</v>
      </c>
      <c r="L498" s="6">
        <f t="shared" si="14"/>
        <v>45.390999999999998</v>
      </c>
      <c r="M498" s="6">
        <v>29.02</v>
      </c>
      <c r="N498" s="8">
        <f t="shared" si="15"/>
        <v>16.370999999999999</v>
      </c>
      <c r="O498" s="4" t="s">
        <v>84</v>
      </c>
      <c r="P498" s="4" t="s">
        <v>72</v>
      </c>
      <c r="Q498" s="4">
        <v>5</v>
      </c>
      <c r="R498" s="4" t="str">
        <f>TEXT(Table1[[#This Row],[Order Date]],"mmm")</f>
        <v>Jun</v>
      </c>
      <c r="S498" s="4" t="str">
        <f>TEXT(Table1[[#This Row],[Order Date]],"mm")</f>
        <v>06</v>
      </c>
      <c r="T498" s="4" t="str">
        <f>IF(Table1[[#This Row],[Sales]]&lt;0,"loss","profit")</f>
        <v>profit</v>
      </c>
      <c r="U498" s="4" t="str" cm="1">
        <f t="array" ref="U498">_xlfn.IFS(Table1[[#This Row],[Sales]]&gt;2000,"large",Table1[[#This Row],[Sales]]&gt;=500,"medium",Table1[[#This Row],[Sales]]&lt;500,"small")</f>
        <v>small</v>
      </c>
      <c r="V498" s="22">
        <f>Table1[[#This Row],[Profit]]/Table1[[#This Row],[Sales]]*100</f>
        <v>36.066621136348616</v>
      </c>
    </row>
    <row r="499" spans="1:22" x14ac:dyDescent="0.35">
      <c r="A499" s="4" t="s">
        <v>861</v>
      </c>
      <c r="B499" s="5">
        <v>45836</v>
      </c>
      <c r="C499" s="4" t="s">
        <v>158</v>
      </c>
      <c r="D499" s="4" t="s">
        <v>43</v>
      </c>
      <c r="E499" s="4" t="s">
        <v>87</v>
      </c>
      <c r="F499" s="4" t="s">
        <v>88</v>
      </c>
      <c r="G499" s="4" t="s">
        <v>67</v>
      </c>
      <c r="H499" s="4" t="s">
        <v>93</v>
      </c>
      <c r="I499" s="4">
        <v>1</v>
      </c>
      <c r="J499" s="6">
        <v>320.8</v>
      </c>
      <c r="K499" s="7">
        <v>0</v>
      </c>
      <c r="L499" s="6">
        <f t="shared" si="14"/>
        <v>320.8</v>
      </c>
      <c r="M499" s="6">
        <v>230.43</v>
      </c>
      <c r="N499" s="8">
        <f t="shared" si="15"/>
        <v>90.37</v>
      </c>
      <c r="O499" s="4" t="s">
        <v>84</v>
      </c>
      <c r="P499" s="4" t="s">
        <v>118</v>
      </c>
      <c r="Q499" s="4">
        <v>4</v>
      </c>
      <c r="R499" s="4" t="str">
        <f>TEXT(Table1[[#This Row],[Order Date]],"mmm")</f>
        <v>Jun</v>
      </c>
      <c r="S499" s="4" t="str">
        <f>TEXT(Table1[[#This Row],[Order Date]],"mm")</f>
        <v>06</v>
      </c>
      <c r="T499" s="4" t="str">
        <f>IF(Table1[[#This Row],[Sales]]&lt;0,"loss","profit")</f>
        <v>profit</v>
      </c>
      <c r="U499" s="4" t="str" cm="1">
        <f t="array" ref="U499">_xlfn.IFS(Table1[[#This Row],[Sales]]&gt;2000,"large",Table1[[#This Row],[Sales]]&gt;=500,"medium",Table1[[#This Row],[Sales]]&lt;500,"small")</f>
        <v>small</v>
      </c>
      <c r="V499" s="22">
        <f>Table1[[#This Row],[Profit]]/Table1[[#This Row],[Sales]]*100</f>
        <v>28.170199501246884</v>
      </c>
    </row>
    <row r="500" spans="1:22" x14ac:dyDescent="0.35">
      <c r="A500" s="4" t="s">
        <v>862</v>
      </c>
      <c r="B500" s="5">
        <v>45837</v>
      </c>
      <c r="C500" s="4" t="s">
        <v>231</v>
      </c>
      <c r="D500" s="4" t="s">
        <v>20</v>
      </c>
      <c r="E500" s="4" t="s">
        <v>36</v>
      </c>
      <c r="F500" s="4" t="s">
        <v>37</v>
      </c>
      <c r="G500" s="4" t="s">
        <v>23</v>
      </c>
      <c r="H500" s="4" t="s">
        <v>135</v>
      </c>
      <c r="I500" s="4">
        <v>2</v>
      </c>
      <c r="J500" s="6">
        <v>8.2799999999999994</v>
      </c>
      <c r="K500" s="7">
        <v>0</v>
      </c>
      <c r="L500" s="6">
        <f t="shared" si="14"/>
        <v>16.559999999999999</v>
      </c>
      <c r="M500" s="6">
        <v>5.1100000000000003</v>
      </c>
      <c r="N500" s="8">
        <f t="shared" si="15"/>
        <v>6.3399999999999981</v>
      </c>
      <c r="O500" s="4" t="s">
        <v>40</v>
      </c>
      <c r="P500" s="4" t="s">
        <v>33</v>
      </c>
      <c r="Q500" s="4">
        <v>2</v>
      </c>
      <c r="R500" s="4" t="str">
        <f>TEXT(Table1[[#This Row],[Order Date]],"mmm")</f>
        <v>Jun</v>
      </c>
      <c r="S500" s="4" t="str">
        <f>TEXT(Table1[[#This Row],[Order Date]],"mm")</f>
        <v>06</v>
      </c>
      <c r="T500" s="4" t="str">
        <f>IF(Table1[[#This Row],[Sales]]&lt;0,"loss","profit")</f>
        <v>profit</v>
      </c>
      <c r="U500" s="4" t="str" cm="1">
        <f t="array" ref="U500">_xlfn.IFS(Table1[[#This Row],[Sales]]&gt;2000,"large",Table1[[#This Row],[Sales]]&gt;=500,"medium",Table1[[#This Row],[Sales]]&lt;500,"small")</f>
        <v>small</v>
      </c>
      <c r="V500" s="22">
        <f>Table1[[#This Row],[Profit]]/Table1[[#This Row],[Sales]]*100</f>
        <v>38.285024154589365</v>
      </c>
    </row>
    <row r="501" spans="1:22" x14ac:dyDescent="0.35">
      <c r="A501" s="4" t="s">
        <v>863</v>
      </c>
      <c r="B501" s="5">
        <v>45837</v>
      </c>
      <c r="C501" s="4" t="s">
        <v>732</v>
      </c>
      <c r="D501" s="4" t="s">
        <v>20</v>
      </c>
      <c r="E501" s="4" t="s">
        <v>36</v>
      </c>
      <c r="F501" s="4" t="s">
        <v>37</v>
      </c>
      <c r="G501" s="4" t="s">
        <v>23</v>
      </c>
      <c r="H501" s="4" t="s">
        <v>135</v>
      </c>
      <c r="I501" s="4">
        <v>8</v>
      </c>
      <c r="J501" s="6">
        <v>16.989999999999998</v>
      </c>
      <c r="K501" s="7">
        <v>0.2</v>
      </c>
      <c r="L501" s="6">
        <f t="shared" si="14"/>
        <v>108.73599999999999</v>
      </c>
      <c r="M501" s="6">
        <v>10.050000000000001</v>
      </c>
      <c r="N501" s="8">
        <f t="shared" si="15"/>
        <v>28.335999999999984</v>
      </c>
      <c r="O501" s="4" t="s">
        <v>60</v>
      </c>
      <c r="P501" s="4" t="s">
        <v>75</v>
      </c>
      <c r="Q501" s="4">
        <v>3</v>
      </c>
      <c r="R501" s="4" t="str">
        <f>TEXT(Table1[[#This Row],[Order Date]],"mmm")</f>
        <v>Jun</v>
      </c>
      <c r="S501" s="4" t="str">
        <f>TEXT(Table1[[#This Row],[Order Date]],"mm")</f>
        <v>06</v>
      </c>
      <c r="T501" s="4" t="str">
        <f>IF(Table1[[#This Row],[Sales]]&lt;0,"loss","profit")</f>
        <v>profit</v>
      </c>
      <c r="U501" s="4" t="str" cm="1">
        <f t="array" ref="U501">_xlfn.IFS(Table1[[#This Row],[Sales]]&gt;2000,"large",Table1[[#This Row],[Sales]]&gt;=500,"medium",Table1[[#This Row],[Sales]]&lt;500,"small")</f>
        <v>small</v>
      </c>
      <c r="V501" s="22">
        <f>Table1[[#This Row],[Profit]]/Table1[[#This Row],[Sales]]*100</f>
        <v>26.05944673337256</v>
      </c>
    </row>
    <row r="502" spans="1:22" x14ac:dyDescent="0.35">
      <c r="A502" s="4" t="s">
        <v>864</v>
      </c>
      <c r="B502" s="5">
        <v>45837</v>
      </c>
      <c r="C502" s="4" t="s">
        <v>299</v>
      </c>
      <c r="D502" s="4" t="s">
        <v>20</v>
      </c>
      <c r="E502" s="4" t="s">
        <v>87</v>
      </c>
      <c r="F502" s="4" t="s">
        <v>124</v>
      </c>
      <c r="G502" s="4" t="s">
        <v>23</v>
      </c>
      <c r="H502" s="4" t="s">
        <v>71</v>
      </c>
      <c r="I502" s="4">
        <v>1</v>
      </c>
      <c r="J502" s="6">
        <v>216.07</v>
      </c>
      <c r="K502" s="7">
        <v>0</v>
      </c>
      <c r="L502" s="6">
        <f t="shared" si="14"/>
        <v>216.07</v>
      </c>
      <c r="M502" s="6">
        <v>104.19</v>
      </c>
      <c r="N502" s="8">
        <f t="shared" si="15"/>
        <v>111.88</v>
      </c>
      <c r="O502" s="4" t="s">
        <v>40</v>
      </c>
      <c r="P502" s="4" t="s">
        <v>118</v>
      </c>
      <c r="Q502" s="4">
        <v>5</v>
      </c>
      <c r="R502" s="4" t="str">
        <f>TEXT(Table1[[#This Row],[Order Date]],"mmm")</f>
        <v>Jun</v>
      </c>
      <c r="S502" s="4" t="str">
        <f>TEXT(Table1[[#This Row],[Order Date]],"mm")</f>
        <v>06</v>
      </c>
      <c r="T502" s="4" t="str">
        <f>IF(Table1[[#This Row],[Sales]]&lt;0,"loss","profit")</f>
        <v>profit</v>
      </c>
      <c r="U502" s="4" t="str" cm="1">
        <f t="array" ref="U502">_xlfn.IFS(Table1[[#This Row],[Sales]]&gt;2000,"large",Table1[[#This Row],[Sales]]&gt;=500,"medium",Table1[[#This Row],[Sales]]&lt;500,"small")</f>
        <v>small</v>
      </c>
      <c r="V502" s="22">
        <f>Table1[[#This Row],[Profit]]/Table1[[#This Row],[Sales]]*100</f>
        <v>51.779515897625771</v>
      </c>
    </row>
    <row r="503" spans="1:22" x14ac:dyDescent="0.35">
      <c r="A503" s="4" t="s">
        <v>865</v>
      </c>
      <c r="B503" s="5">
        <v>45838</v>
      </c>
      <c r="C503" s="4" t="s">
        <v>233</v>
      </c>
      <c r="D503" s="4" t="s">
        <v>43</v>
      </c>
      <c r="E503" s="4" t="s">
        <v>36</v>
      </c>
      <c r="F503" s="4" t="s">
        <v>48</v>
      </c>
      <c r="G503" s="4" t="s">
        <v>38</v>
      </c>
      <c r="H503" s="4" t="s">
        <v>55</v>
      </c>
      <c r="I503" s="4">
        <v>2</v>
      </c>
      <c r="J503" s="6">
        <v>221.77</v>
      </c>
      <c r="K503" s="7">
        <v>0.2</v>
      </c>
      <c r="L503" s="6">
        <f t="shared" si="14"/>
        <v>354.83200000000005</v>
      </c>
      <c r="M503" s="6">
        <v>185.19</v>
      </c>
      <c r="N503" s="8">
        <f t="shared" si="15"/>
        <v>-15.547999999999945</v>
      </c>
      <c r="O503" s="4" t="s">
        <v>25</v>
      </c>
      <c r="P503" s="4" t="s">
        <v>97</v>
      </c>
      <c r="Q503" s="4">
        <v>3</v>
      </c>
      <c r="R503" s="4" t="str">
        <f>TEXT(Table1[[#This Row],[Order Date]],"mmm")</f>
        <v>Jun</v>
      </c>
      <c r="S503" s="4" t="str">
        <f>TEXT(Table1[[#This Row],[Order Date]],"mm")</f>
        <v>06</v>
      </c>
      <c r="T503" s="4" t="str">
        <f>IF(Table1[[#This Row],[Sales]]&lt;0,"loss","profit")</f>
        <v>profit</v>
      </c>
      <c r="U503" s="4" t="str" cm="1">
        <f t="array" ref="U503">_xlfn.IFS(Table1[[#This Row],[Sales]]&gt;2000,"large",Table1[[#This Row],[Sales]]&gt;=500,"medium",Table1[[#This Row],[Sales]]&lt;500,"small")</f>
        <v>small</v>
      </c>
      <c r="V503" s="22">
        <f>Table1[[#This Row],[Profit]]/Table1[[#This Row],[Sales]]*100</f>
        <v>-4.3817919466113384</v>
      </c>
    </row>
    <row r="504" spans="1:22" x14ac:dyDescent="0.35">
      <c r="A504" s="4" t="s">
        <v>866</v>
      </c>
      <c r="B504" s="5">
        <v>45838</v>
      </c>
      <c r="C504" s="4" t="s">
        <v>867</v>
      </c>
      <c r="D504" s="4" t="s">
        <v>20</v>
      </c>
      <c r="E504" s="4" t="s">
        <v>87</v>
      </c>
      <c r="F504" s="4" t="s">
        <v>92</v>
      </c>
      <c r="G504" s="4" t="s">
        <v>49</v>
      </c>
      <c r="H504" s="4" t="s">
        <v>78</v>
      </c>
      <c r="I504" s="4">
        <v>4</v>
      </c>
      <c r="J504" s="6">
        <v>486.03</v>
      </c>
      <c r="K504" s="7">
        <v>0.05</v>
      </c>
      <c r="L504" s="6">
        <f t="shared" si="14"/>
        <v>1846.9139999999998</v>
      </c>
      <c r="M504" s="6">
        <v>322.16000000000003</v>
      </c>
      <c r="N504" s="8">
        <f t="shared" si="15"/>
        <v>558.27399999999966</v>
      </c>
      <c r="O504" s="4" t="s">
        <v>40</v>
      </c>
      <c r="P504" s="4" t="s">
        <v>75</v>
      </c>
      <c r="Q504" s="4">
        <v>3</v>
      </c>
      <c r="R504" s="4" t="str">
        <f>TEXT(Table1[[#This Row],[Order Date]],"mmm")</f>
        <v>Jun</v>
      </c>
      <c r="S504" s="4" t="str">
        <f>TEXT(Table1[[#This Row],[Order Date]],"mm")</f>
        <v>06</v>
      </c>
      <c r="T504" s="4" t="str">
        <f>IF(Table1[[#This Row],[Sales]]&lt;0,"loss","profit")</f>
        <v>profit</v>
      </c>
      <c r="U504" s="4" t="str" cm="1">
        <f t="array" ref="U504">_xlfn.IFS(Table1[[#This Row],[Sales]]&gt;2000,"large",Table1[[#This Row],[Sales]]&gt;=500,"medium",Table1[[#This Row],[Sales]]&lt;500,"small")</f>
        <v>medium</v>
      </c>
      <c r="V504" s="22">
        <f>Table1[[#This Row],[Profit]]/Table1[[#This Row],[Sales]]*100</f>
        <v>30.227395536554475</v>
      </c>
    </row>
    <row r="505" spans="1:22" x14ac:dyDescent="0.35">
      <c r="A505" s="4" t="s">
        <v>868</v>
      </c>
      <c r="B505" s="5">
        <v>45839</v>
      </c>
      <c r="C505" s="4" t="s">
        <v>869</v>
      </c>
      <c r="D505" s="4" t="s">
        <v>47</v>
      </c>
      <c r="E505" s="4" t="s">
        <v>29</v>
      </c>
      <c r="F505" s="4" t="s">
        <v>30</v>
      </c>
      <c r="G505" s="4" t="s">
        <v>38</v>
      </c>
      <c r="H505" s="4" t="s">
        <v>109</v>
      </c>
      <c r="I505" s="4">
        <v>1</v>
      </c>
      <c r="J505" s="6">
        <v>328.69</v>
      </c>
      <c r="K505" s="7">
        <v>0.15</v>
      </c>
      <c r="L505" s="6">
        <f t="shared" si="14"/>
        <v>279.38650000000001</v>
      </c>
      <c r="M505" s="6">
        <v>282.99</v>
      </c>
      <c r="N505" s="8">
        <f t="shared" si="15"/>
        <v>-3.6034999999999968</v>
      </c>
      <c r="O505" s="4" t="s">
        <v>40</v>
      </c>
      <c r="P505" s="4" t="s">
        <v>118</v>
      </c>
      <c r="Q505" s="4">
        <v>5</v>
      </c>
      <c r="R505" s="4" t="str">
        <f>TEXT(Table1[[#This Row],[Order Date]],"mmm")</f>
        <v>Jul</v>
      </c>
      <c r="S505" s="4" t="str">
        <f>TEXT(Table1[[#This Row],[Order Date]],"mm")</f>
        <v>07</v>
      </c>
      <c r="T505" s="4" t="str">
        <f>IF(Table1[[#This Row],[Sales]]&lt;0,"loss","profit")</f>
        <v>profit</v>
      </c>
      <c r="U505" s="4" t="str" cm="1">
        <f t="array" ref="U505">_xlfn.IFS(Table1[[#This Row],[Sales]]&gt;2000,"large",Table1[[#This Row],[Sales]]&gt;=500,"medium",Table1[[#This Row],[Sales]]&lt;500,"small")</f>
        <v>small</v>
      </c>
      <c r="V505" s="22">
        <f>Table1[[#This Row],[Profit]]/Table1[[#This Row],[Sales]]*100</f>
        <v>-1.2897903084078854</v>
      </c>
    </row>
    <row r="506" spans="1:22" x14ac:dyDescent="0.35">
      <c r="A506" s="4" t="s">
        <v>870</v>
      </c>
      <c r="B506" s="5">
        <v>45839</v>
      </c>
      <c r="C506" s="4" t="s">
        <v>379</v>
      </c>
      <c r="D506" s="4" t="s">
        <v>47</v>
      </c>
      <c r="E506" s="4" t="s">
        <v>87</v>
      </c>
      <c r="F506" s="4" t="s">
        <v>88</v>
      </c>
      <c r="G506" s="4" t="s">
        <v>23</v>
      </c>
      <c r="H506" s="4" t="s">
        <v>44</v>
      </c>
      <c r="I506" s="4">
        <v>2</v>
      </c>
      <c r="J506" s="6">
        <v>99.16</v>
      </c>
      <c r="K506" s="7">
        <v>0</v>
      </c>
      <c r="L506" s="6">
        <f t="shared" si="14"/>
        <v>198.32</v>
      </c>
      <c r="M506" s="6">
        <v>43.49</v>
      </c>
      <c r="N506" s="8">
        <f t="shared" si="15"/>
        <v>111.33999999999999</v>
      </c>
      <c r="O506" s="4" t="s">
        <v>84</v>
      </c>
      <c r="P506" s="4" t="s">
        <v>33</v>
      </c>
      <c r="Q506" s="4">
        <v>4</v>
      </c>
      <c r="R506" s="4" t="str">
        <f>TEXT(Table1[[#This Row],[Order Date]],"mmm")</f>
        <v>Jul</v>
      </c>
      <c r="S506" s="4" t="str">
        <f>TEXT(Table1[[#This Row],[Order Date]],"mm")</f>
        <v>07</v>
      </c>
      <c r="T506" s="4" t="str">
        <f>IF(Table1[[#This Row],[Sales]]&lt;0,"loss","profit")</f>
        <v>profit</v>
      </c>
      <c r="U506" s="4" t="str" cm="1">
        <f t="array" ref="U506">_xlfn.IFS(Table1[[#This Row],[Sales]]&gt;2000,"large",Table1[[#This Row],[Sales]]&gt;=500,"medium",Table1[[#This Row],[Sales]]&lt;500,"small")</f>
        <v>small</v>
      </c>
      <c r="V506" s="22">
        <f>Table1[[#This Row],[Profit]]/Table1[[#This Row],[Sales]]*100</f>
        <v>56.141589350544571</v>
      </c>
    </row>
    <row r="507" spans="1:22" x14ac:dyDescent="0.35">
      <c r="A507" s="4" t="s">
        <v>871</v>
      </c>
      <c r="B507" s="5">
        <v>45839</v>
      </c>
      <c r="C507" s="4" t="s">
        <v>233</v>
      </c>
      <c r="D507" s="4" t="s">
        <v>20</v>
      </c>
      <c r="E507" s="4" t="s">
        <v>87</v>
      </c>
      <c r="F507" s="4" t="s">
        <v>92</v>
      </c>
      <c r="G507" s="4" t="s">
        <v>31</v>
      </c>
      <c r="H507" s="4" t="s">
        <v>125</v>
      </c>
      <c r="I507" s="4">
        <v>6</v>
      </c>
      <c r="J507" s="6">
        <v>129.19999999999999</v>
      </c>
      <c r="K507" s="7">
        <v>0</v>
      </c>
      <c r="L507" s="6">
        <f t="shared" si="14"/>
        <v>775.19999999999993</v>
      </c>
      <c r="M507" s="6">
        <v>71.790000000000006</v>
      </c>
      <c r="N507" s="8">
        <f t="shared" si="15"/>
        <v>344.45999999999992</v>
      </c>
      <c r="O507" s="4" t="s">
        <v>60</v>
      </c>
      <c r="P507" s="4" t="s">
        <v>118</v>
      </c>
      <c r="Q507" s="4">
        <v>1</v>
      </c>
      <c r="R507" s="4" t="str">
        <f>TEXT(Table1[[#This Row],[Order Date]],"mmm")</f>
        <v>Jul</v>
      </c>
      <c r="S507" s="4" t="str">
        <f>TEXT(Table1[[#This Row],[Order Date]],"mm")</f>
        <v>07</v>
      </c>
      <c r="T507" s="4" t="str">
        <f>IF(Table1[[#This Row],[Sales]]&lt;0,"loss","profit")</f>
        <v>profit</v>
      </c>
      <c r="U507" s="4" t="str" cm="1">
        <f t="array" ref="U507">_xlfn.IFS(Table1[[#This Row],[Sales]]&gt;2000,"large",Table1[[#This Row],[Sales]]&gt;=500,"medium",Table1[[#This Row],[Sales]]&lt;500,"small")</f>
        <v>medium</v>
      </c>
      <c r="V507" s="22">
        <f>Table1[[#This Row],[Profit]]/Table1[[#This Row],[Sales]]*100</f>
        <v>44.434984520123834</v>
      </c>
    </row>
    <row r="508" spans="1:22" x14ac:dyDescent="0.35">
      <c r="A508" s="4" t="s">
        <v>872</v>
      </c>
      <c r="B508" s="5">
        <v>45839</v>
      </c>
      <c r="C508" s="4" t="s">
        <v>289</v>
      </c>
      <c r="D508" s="4" t="s">
        <v>20</v>
      </c>
      <c r="E508" s="4" t="s">
        <v>21</v>
      </c>
      <c r="F508" s="4" t="s">
        <v>81</v>
      </c>
      <c r="G508" s="4" t="s">
        <v>31</v>
      </c>
      <c r="H508" s="4" t="s">
        <v>147</v>
      </c>
      <c r="I508" s="4">
        <v>1</v>
      </c>
      <c r="J508" s="6">
        <v>62.45</v>
      </c>
      <c r="K508" s="7">
        <v>0</v>
      </c>
      <c r="L508" s="6">
        <f t="shared" si="14"/>
        <v>62.45</v>
      </c>
      <c r="M508" s="6">
        <v>39.46</v>
      </c>
      <c r="N508" s="8">
        <f t="shared" si="15"/>
        <v>22.990000000000002</v>
      </c>
      <c r="O508" s="4" t="s">
        <v>40</v>
      </c>
      <c r="P508" s="4" t="s">
        <v>26</v>
      </c>
      <c r="Q508" s="4">
        <v>4</v>
      </c>
      <c r="R508" s="4" t="str">
        <f>TEXT(Table1[[#This Row],[Order Date]],"mmm")</f>
        <v>Jul</v>
      </c>
      <c r="S508" s="4" t="str">
        <f>TEXT(Table1[[#This Row],[Order Date]],"mm")</f>
        <v>07</v>
      </c>
      <c r="T508" s="4" t="str">
        <f>IF(Table1[[#This Row],[Sales]]&lt;0,"loss","profit")</f>
        <v>profit</v>
      </c>
      <c r="U508" s="4" t="str" cm="1">
        <f t="array" ref="U508">_xlfn.IFS(Table1[[#This Row],[Sales]]&gt;2000,"large",Table1[[#This Row],[Sales]]&gt;=500,"medium",Table1[[#This Row],[Sales]]&lt;500,"small")</f>
        <v>small</v>
      </c>
      <c r="V508" s="22">
        <f>Table1[[#This Row],[Profit]]/Table1[[#This Row],[Sales]]*100</f>
        <v>36.81345076060849</v>
      </c>
    </row>
    <row r="509" spans="1:22" x14ac:dyDescent="0.35">
      <c r="A509" s="4" t="s">
        <v>873</v>
      </c>
      <c r="B509" s="5">
        <v>45841</v>
      </c>
      <c r="C509" s="4" t="s">
        <v>237</v>
      </c>
      <c r="D509" s="4" t="s">
        <v>47</v>
      </c>
      <c r="E509" s="4" t="s">
        <v>29</v>
      </c>
      <c r="F509" s="4" t="s">
        <v>30</v>
      </c>
      <c r="G509" s="4" t="s">
        <v>67</v>
      </c>
      <c r="H509" s="4" t="s">
        <v>121</v>
      </c>
      <c r="I509" s="4">
        <v>8</v>
      </c>
      <c r="J509" s="6">
        <v>201.89</v>
      </c>
      <c r="K509" s="7">
        <v>0.2</v>
      </c>
      <c r="L509" s="6">
        <f t="shared" si="14"/>
        <v>1292.096</v>
      </c>
      <c r="M509" s="6">
        <v>159.74</v>
      </c>
      <c r="N509" s="8">
        <f t="shared" si="15"/>
        <v>14.175999999999931</v>
      </c>
      <c r="O509" s="4" t="s">
        <v>84</v>
      </c>
      <c r="P509" s="4" t="s">
        <v>75</v>
      </c>
      <c r="Q509" s="4">
        <v>5</v>
      </c>
      <c r="R509" s="4" t="str">
        <f>TEXT(Table1[[#This Row],[Order Date]],"mmm")</f>
        <v>Jul</v>
      </c>
      <c r="S509" s="4" t="str">
        <f>TEXT(Table1[[#This Row],[Order Date]],"mm")</f>
        <v>07</v>
      </c>
      <c r="T509" s="4" t="str">
        <f>IF(Table1[[#This Row],[Sales]]&lt;0,"loss","profit")</f>
        <v>profit</v>
      </c>
      <c r="U509" s="4" t="str" cm="1">
        <f t="array" ref="U509">_xlfn.IFS(Table1[[#This Row],[Sales]]&gt;2000,"large",Table1[[#This Row],[Sales]]&gt;=500,"medium",Table1[[#This Row],[Sales]]&lt;500,"small")</f>
        <v>medium</v>
      </c>
      <c r="V509" s="22">
        <f>Table1[[#This Row],[Profit]]/Table1[[#This Row],[Sales]]*100</f>
        <v>1.0971321016395013</v>
      </c>
    </row>
    <row r="510" spans="1:22" x14ac:dyDescent="0.35">
      <c r="A510" s="4" t="s">
        <v>874</v>
      </c>
      <c r="B510" s="5">
        <v>45841</v>
      </c>
      <c r="C510" s="4" t="s">
        <v>739</v>
      </c>
      <c r="D510" s="4" t="s">
        <v>43</v>
      </c>
      <c r="E510" s="4" t="s">
        <v>29</v>
      </c>
      <c r="F510" s="4" t="s">
        <v>54</v>
      </c>
      <c r="G510" s="4" t="s">
        <v>67</v>
      </c>
      <c r="H510" s="4" t="s">
        <v>121</v>
      </c>
      <c r="I510" s="4">
        <v>2</v>
      </c>
      <c r="J510" s="6">
        <v>355.21</v>
      </c>
      <c r="K510" s="7">
        <v>0</v>
      </c>
      <c r="L510" s="6">
        <f t="shared" si="14"/>
        <v>710.42</v>
      </c>
      <c r="M510" s="6">
        <v>245.3</v>
      </c>
      <c r="N510" s="8">
        <f t="shared" si="15"/>
        <v>219.81999999999994</v>
      </c>
      <c r="O510" s="4" t="s">
        <v>60</v>
      </c>
      <c r="P510" s="4" t="s">
        <v>75</v>
      </c>
      <c r="Q510" s="4">
        <v>5</v>
      </c>
      <c r="R510" s="4" t="str">
        <f>TEXT(Table1[[#This Row],[Order Date]],"mmm")</f>
        <v>Jul</v>
      </c>
      <c r="S510" s="4" t="str">
        <f>TEXT(Table1[[#This Row],[Order Date]],"mm")</f>
        <v>07</v>
      </c>
      <c r="T510" s="4" t="str">
        <f>IF(Table1[[#This Row],[Sales]]&lt;0,"loss","profit")</f>
        <v>profit</v>
      </c>
      <c r="U510" s="4" t="str" cm="1">
        <f t="array" ref="U510">_xlfn.IFS(Table1[[#This Row],[Sales]]&gt;2000,"large",Table1[[#This Row],[Sales]]&gt;=500,"medium",Table1[[#This Row],[Sales]]&lt;500,"small")</f>
        <v>medium</v>
      </c>
      <c r="V510" s="22">
        <f>Table1[[#This Row],[Profit]]/Table1[[#This Row],[Sales]]*100</f>
        <v>30.942259508459781</v>
      </c>
    </row>
    <row r="511" spans="1:22" x14ac:dyDescent="0.35">
      <c r="A511" s="4" t="s">
        <v>875</v>
      </c>
      <c r="B511" s="5">
        <v>45842</v>
      </c>
      <c r="C511" s="4" t="s">
        <v>644</v>
      </c>
      <c r="D511" s="4" t="s">
        <v>43</v>
      </c>
      <c r="E511" s="4" t="s">
        <v>87</v>
      </c>
      <c r="F511" s="4" t="s">
        <v>88</v>
      </c>
      <c r="G511" s="4" t="s">
        <v>38</v>
      </c>
      <c r="H511" s="4" t="s">
        <v>96</v>
      </c>
      <c r="I511" s="4">
        <v>1</v>
      </c>
      <c r="J511" s="6">
        <v>306.70999999999998</v>
      </c>
      <c r="K511" s="7">
        <v>0.15</v>
      </c>
      <c r="L511" s="6">
        <f t="shared" si="14"/>
        <v>260.70349999999996</v>
      </c>
      <c r="M511" s="6">
        <v>241.42</v>
      </c>
      <c r="N511" s="8">
        <f t="shared" si="15"/>
        <v>19.283499999999975</v>
      </c>
      <c r="O511" s="4" t="s">
        <v>51</v>
      </c>
      <c r="P511" s="4" t="s">
        <v>61</v>
      </c>
      <c r="Q511" s="4">
        <v>4</v>
      </c>
      <c r="R511" s="4" t="str">
        <f>TEXT(Table1[[#This Row],[Order Date]],"mmm")</f>
        <v>Jul</v>
      </c>
      <c r="S511" s="4" t="str">
        <f>TEXT(Table1[[#This Row],[Order Date]],"mm")</f>
        <v>07</v>
      </c>
      <c r="T511" s="4" t="str">
        <f>IF(Table1[[#This Row],[Sales]]&lt;0,"loss","profit")</f>
        <v>profit</v>
      </c>
      <c r="U511" s="4" t="str" cm="1">
        <f t="array" ref="U511">_xlfn.IFS(Table1[[#This Row],[Sales]]&gt;2000,"large",Table1[[#This Row],[Sales]]&gt;=500,"medium",Table1[[#This Row],[Sales]]&lt;500,"small")</f>
        <v>small</v>
      </c>
      <c r="V511" s="22">
        <f>Table1[[#This Row],[Profit]]/Table1[[#This Row],[Sales]]*100</f>
        <v>7.3967169600714904</v>
      </c>
    </row>
    <row r="512" spans="1:22" x14ac:dyDescent="0.35">
      <c r="A512" s="4" t="s">
        <v>876</v>
      </c>
      <c r="B512" s="5">
        <v>45843</v>
      </c>
      <c r="C512" s="4" t="s">
        <v>573</v>
      </c>
      <c r="D512" s="4" t="s">
        <v>43</v>
      </c>
      <c r="E512" s="4" t="s">
        <v>29</v>
      </c>
      <c r="F512" s="4" t="s">
        <v>30</v>
      </c>
      <c r="G512" s="4" t="s">
        <v>38</v>
      </c>
      <c r="H512" s="4" t="s">
        <v>55</v>
      </c>
      <c r="I512" s="4">
        <v>1</v>
      </c>
      <c r="J512" s="6">
        <v>168.42</v>
      </c>
      <c r="K512" s="7">
        <v>0.1</v>
      </c>
      <c r="L512" s="6">
        <f t="shared" si="14"/>
        <v>151.578</v>
      </c>
      <c r="M512" s="6">
        <v>139.21</v>
      </c>
      <c r="N512" s="8">
        <f t="shared" si="15"/>
        <v>12.367999999999995</v>
      </c>
      <c r="O512" s="4" t="s">
        <v>25</v>
      </c>
      <c r="P512" s="4" t="s">
        <v>61</v>
      </c>
      <c r="Q512" s="4">
        <v>4</v>
      </c>
      <c r="R512" s="4" t="str">
        <f>TEXT(Table1[[#This Row],[Order Date]],"mmm")</f>
        <v>Jul</v>
      </c>
      <c r="S512" s="4" t="str">
        <f>TEXT(Table1[[#This Row],[Order Date]],"mm")</f>
        <v>07</v>
      </c>
      <c r="T512" s="4" t="str">
        <f>IF(Table1[[#This Row],[Sales]]&lt;0,"loss","profit")</f>
        <v>profit</v>
      </c>
      <c r="U512" s="4" t="str" cm="1">
        <f t="array" ref="U512">_xlfn.IFS(Table1[[#This Row],[Sales]]&gt;2000,"large",Table1[[#This Row],[Sales]]&gt;=500,"medium",Table1[[#This Row],[Sales]]&lt;500,"small")</f>
        <v>small</v>
      </c>
      <c r="V512" s="22">
        <f>Table1[[#This Row],[Profit]]/Table1[[#This Row],[Sales]]*100</f>
        <v>8.1594954412909502</v>
      </c>
    </row>
    <row r="513" spans="1:22" x14ac:dyDescent="0.35">
      <c r="A513" s="4" t="s">
        <v>877</v>
      </c>
      <c r="B513" s="5">
        <v>45843</v>
      </c>
      <c r="C513" s="4" t="s">
        <v>869</v>
      </c>
      <c r="D513" s="4" t="s">
        <v>20</v>
      </c>
      <c r="E513" s="4" t="s">
        <v>87</v>
      </c>
      <c r="F513" s="4" t="s">
        <v>124</v>
      </c>
      <c r="G513" s="4" t="s">
        <v>23</v>
      </c>
      <c r="H513" s="4" t="s">
        <v>135</v>
      </c>
      <c r="I513" s="4">
        <v>3</v>
      </c>
      <c r="J513" s="6">
        <v>21.86</v>
      </c>
      <c r="K513" s="7">
        <v>0</v>
      </c>
      <c r="L513" s="6">
        <f t="shared" si="14"/>
        <v>65.58</v>
      </c>
      <c r="M513" s="6">
        <v>8.89</v>
      </c>
      <c r="N513" s="8">
        <f t="shared" si="15"/>
        <v>38.909999999999997</v>
      </c>
      <c r="O513" s="4" t="s">
        <v>51</v>
      </c>
      <c r="P513" s="4" t="s">
        <v>56</v>
      </c>
      <c r="Q513" s="4">
        <v>3</v>
      </c>
      <c r="R513" s="4" t="str">
        <f>TEXT(Table1[[#This Row],[Order Date]],"mmm")</f>
        <v>Jul</v>
      </c>
      <c r="S513" s="4" t="str">
        <f>TEXT(Table1[[#This Row],[Order Date]],"mm")</f>
        <v>07</v>
      </c>
      <c r="T513" s="4" t="str">
        <f>IF(Table1[[#This Row],[Sales]]&lt;0,"loss","profit")</f>
        <v>profit</v>
      </c>
      <c r="U513" s="4" t="str" cm="1">
        <f t="array" ref="U513">_xlfn.IFS(Table1[[#This Row],[Sales]]&gt;2000,"large",Table1[[#This Row],[Sales]]&gt;=500,"medium",Table1[[#This Row],[Sales]]&lt;500,"small")</f>
        <v>small</v>
      </c>
      <c r="V513" s="22">
        <f>Table1[[#This Row],[Profit]]/Table1[[#This Row],[Sales]]*100</f>
        <v>59.332113449222327</v>
      </c>
    </row>
    <row r="514" spans="1:22" x14ac:dyDescent="0.35">
      <c r="A514" s="4" t="s">
        <v>878</v>
      </c>
      <c r="B514" s="5">
        <v>45843</v>
      </c>
      <c r="C514" s="4" t="s">
        <v>287</v>
      </c>
      <c r="D514" s="4" t="s">
        <v>20</v>
      </c>
      <c r="E514" s="4" t="s">
        <v>36</v>
      </c>
      <c r="F514" s="4" t="s">
        <v>48</v>
      </c>
      <c r="G514" s="4" t="s">
        <v>23</v>
      </c>
      <c r="H514" s="4" t="s">
        <v>44</v>
      </c>
      <c r="I514" s="4">
        <v>2</v>
      </c>
      <c r="J514" s="6">
        <v>76.05</v>
      </c>
      <c r="K514" s="7">
        <v>0</v>
      </c>
      <c r="L514" s="6">
        <f t="shared" ref="L514:L577" si="16">I514*J514*(1-K514)</f>
        <v>152.1</v>
      </c>
      <c r="M514" s="6">
        <v>30.72</v>
      </c>
      <c r="N514" s="8">
        <f t="shared" ref="N514:N577" si="17">L514-I514*M514</f>
        <v>90.66</v>
      </c>
      <c r="O514" s="4" t="s">
        <v>60</v>
      </c>
      <c r="P514" s="4" t="s">
        <v>75</v>
      </c>
      <c r="Q514" s="4">
        <v>4</v>
      </c>
      <c r="R514" s="4" t="str">
        <f>TEXT(Table1[[#This Row],[Order Date]],"mmm")</f>
        <v>Jul</v>
      </c>
      <c r="S514" s="4" t="str">
        <f>TEXT(Table1[[#This Row],[Order Date]],"mm")</f>
        <v>07</v>
      </c>
      <c r="T514" s="4" t="str">
        <f>IF(Table1[[#This Row],[Sales]]&lt;0,"loss","profit")</f>
        <v>profit</v>
      </c>
      <c r="U514" s="4" t="str" cm="1">
        <f t="array" ref="U514">_xlfn.IFS(Table1[[#This Row],[Sales]]&gt;2000,"large",Table1[[#This Row],[Sales]]&gt;=500,"medium",Table1[[#This Row],[Sales]]&lt;500,"small")</f>
        <v>small</v>
      </c>
      <c r="V514" s="22">
        <f>Table1[[#This Row],[Profit]]/Table1[[#This Row],[Sales]]*100</f>
        <v>59.605522682445752</v>
      </c>
    </row>
    <row r="515" spans="1:22" x14ac:dyDescent="0.35">
      <c r="A515" s="4" t="s">
        <v>879</v>
      </c>
      <c r="B515" s="5">
        <v>45843</v>
      </c>
      <c r="C515" s="4" t="s">
        <v>880</v>
      </c>
      <c r="D515" s="4" t="s">
        <v>47</v>
      </c>
      <c r="E515" s="4" t="s">
        <v>36</v>
      </c>
      <c r="F515" s="4" t="s">
        <v>201</v>
      </c>
      <c r="G515" s="4" t="s">
        <v>23</v>
      </c>
      <c r="H515" s="4" t="s">
        <v>44</v>
      </c>
      <c r="I515" s="4">
        <v>1</v>
      </c>
      <c r="J515" s="6">
        <v>51.34</v>
      </c>
      <c r="K515" s="7">
        <v>0</v>
      </c>
      <c r="L515" s="6">
        <f t="shared" si="16"/>
        <v>51.34</v>
      </c>
      <c r="M515" s="6">
        <v>24.89</v>
      </c>
      <c r="N515" s="8">
        <f t="shared" si="17"/>
        <v>26.450000000000003</v>
      </c>
      <c r="O515" s="4" t="s">
        <v>60</v>
      </c>
      <c r="P515" s="4" t="s">
        <v>26</v>
      </c>
      <c r="Q515" s="4">
        <v>3</v>
      </c>
      <c r="R515" s="4" t="str">
        <f>TEXT(Table1[[#This Row],[Order Date]],"mmm")</f>
        <v>Jul</v>
      </c>
      <c r="S515" s="4" t="str">
        <f>TEXT(Table1[[#This Row],[Order Date]],"mm")</f>
        <v>07</v>
      </c>
      <c r="T515" s="4" t="str">
        <f>IF(Table1[[#This Row],[Sales]]&lt;0,"loss","profit")</f>
        <v>profit</v>
      </c>
      <c r="U515" s="4" t="str" cm="1">
        <f t="array" ref="U515">_xlfn.IFS(Table1[[#This Row],[Sales]]&gt;2000,"large",Table1[[#This Row],[Sales]]&gt;=500,"medium",Table1[[#This Row],[Sales]]&lt;500,"small")</f>
        <v>small</v>
      </c>
      <c r="V515" s="22">
        <f>Table1[[#This Row],[Profit]]/Table1[[#This Row],[Sales]]*100</f>
        <v>51.519283209972734</v>
      </c>
    </row>
    <row r="516" spans="1:22" x14ac:dyDescent="0.35">
      <c r="A516" s="4" t="s">
        <v>881</v>
      </c>
      <c r="B516" s="5">
        <v>45844</v>
      </c>
      <c r="C516" s="4" t="s">
        <v>713</v>
      </c>
      <c r="D516" s="4" t="s">
        <v>43</v>
      </c>
      <c r="E516" s="4" t="s">
        <v>36</v>
      </c>
      <c r="F516" s="4" t="s">
        <v>201</v>
      </c>
      <c r="G516" s="4" t="s">
        <v>38</v>
      </c>
      <c r="H516" s="4" t="s">
        <v>96</v>
      </c>
      <c r="I516" s="4">
        <v>3</v>
      </c>
      <c r="J516" s="6">
        <v>174.89</v>
      </c>
      <c r="K516" s="7">
        <v>0.05</v>
      </c>
      <c r="L516" s="6">
        <f t="shared" si="16"/>
        <v>498.43649999999991</v>
      </c>
      <c r="M516" s="6">
        <v>146.47999999999999</v>
      </c>
      <c r="N516" s="8">
        <f t="shared" si="17"/>
        <v>58.996499999999969</v>
      </c>
      <c r="O516" s="4" t="s">
        <v>51</v>
      </c>
      <c r="P516" s="4" t="s">
        <v>33</v>
      </c>
      <c r="Q516" s="4">
        <v>4</v>
      </c>
      <c r="R516" s="4" t="str">
        <f>TEXT(Table1[[#This Row],[Order Date]],"mmm")</f>
        <v>Jul</v>
      </c>
      <c r="S516" s="4" t="str">
        <f>TEXT(Table1[[#This Row],[Order Date]],"mm")</f>
        <v>07</v>
      </c>
      <c r="T516" s="4" t="str">
        <f>IF(Table1[[#This Row],[Sales]]&lt;0,"loss","profit")</f>
        <v>profit</v>
      </c>
      <c r="U516" s="4" t="str" cm="1">
        <f t="array" ref="U516">_xlfn.IFS(Table1[[#This Row],[Sales]]&gt;2000,"large",Table1[[#This Row],[Sales]]&gt;=500,"medium",Table1[[#This Row],[Sales]]&lt;500,"small")</f>
        <v>small</v>
      </c>
      <c r="V516" s="22">
        <f>Table1[[#This Row],[Profit]]/Table1[[#This Row],[Sales]]*100</f>
        <v>11.836312148087064</v>
      </c>
    </row>
    <row r="517" spans="1:22" x14ac:dyDescent="0.35">
      <c r="A517" s="4" t="s">
        <v>882</v>
      </c>
      <c r="B517" s="5">
        <v>45844</v>
      </c>
      <c r="C517" s="4" t="s">
        <v>767</v>
      </c>
      <c r="D517" s="4" t="s">
        <v>43</v>
      </c>
      <c r="E517" s="4" t="s">
        <v>36</v>
      </c>
      <c r="F517" s="4" t="s">
        <v>37</v>
      </c>
      <c r="G517" s="4" t="s">
        <v>49</v>
      </c>
      <c r="H517" s="4" t="s">
        <v>128</v>
      </c>
      <c r="I517" s="4">
        <v>1</v>
      </c>
      <c r="J517" s="6">
        <v>51.38</v>
      </c>
      <c r="K517" s="7">
        <v>0.05</v>
      </c>
      <c r="L517" s="6">
        <f t="shared" si="16"/>
        <v>48.811</v>
      </c>
      <c r="M517" s="6">
        <v>37.729999999999997</v>
      </c>
      <c r="N517" s="8">
        <f t="shared" si="17"/>
        <v>11.081000000000003</v>
      </c>
      <c r="O517" s="4" t="s">
        <v>60</v>
      </c>
      <c r="P517" s="4" t="s">
        <v>75</v>
      </c>
      <c r="Q517" s="4">
        <v>3</v>
      </c>
      <c r="R517" s="4" t="str">
        <f>TEXT(Table1[[#This Row],[Order Date]],"mmm")</f>
        <v>Jul</v>
      </c>
      <c r="S517" s="4" t="str">
        <f>TEXT(Table1[[#This Row],[Order Date]],"mm")</f>
        <v>07</v>
      </c>
      <c r="T517" s="4" t="str">
        <f>IF(Table1[[#This Row],[Sales]]&lt;0,"loss","profit")</f>
        <v>profit</v>
      </c>
      <c r="U517" s="4" t="str" cm="1">
        <f t="array" ref="U517">_xlfn.IFS(Table1[[#This Row],[Sales]]&gt;2000,"large",Table1[[#This Row],[Sales]]&gt;=500,"medium",Table1[[#This Row],[Sales]]&lt;500,"small")</f>
        <v>small</v>
      </c>
      <c r="V517" s="22">
        <f>Table1[[#This Row],[Profit]]/Table1[[#This Row],[Sales]]*100</f>
        <v>22.701849992829494</v>
      </c>
    </row>
    <row r="518" spans="1:22" x14ac:dyDescent="0.35">
      <c r="A518" s="4" t="s">
        <v>883</v>
      </c>
      <c r="B518" s="5">
        <v>45844</v>
      </c>
      <c r="C518" s="4" t="s">
        <v>884</v>
      </c>
      <c r="D518" s="4" t="s">
        <v>20</v>
      </c>
      <c r="E518" s="4" t="s">
        <v>29</v>
      </c>
      <c r="F518" s="4" t="s">
        <v>30</v>
      </c>
      <c r="G518" s="4" t="s">
        <v>23</v>
      </c>
      <c r="H518" s="4" t="s">
        <v>44</v>
      </c>
      <c r="I518" s="4">
        <v>3</v>
      </c>
      <c r="J518" s="6">
        <v>144.25</v>
      </c>
      <c r="K518" s="7">
        <v>0.2</v>
      </c>
      <c r="L518" s="6">
        <f t="shared" si="16"/>
        <v>346.20000000000005</v>
      </c>
      <c r="M518" s="6">
        <v>58.93</v>
      </c>
      <c r="N518" s="8">
        <f t="shared" si="17"/>
        <v>169.41000000000005</v>
      </c>
      <c r="O518" s="4" t="s">
        <v>40</v>
      </c>
      <c r="P518" s="4" t="s">
        <v>33</v>
      </c>
      <c r="Q518" s="4">
        <v>2</v>
      </c>
      <c r="R518" s="4" t="str">
        <f>TEXT(Table1[[#This Row],[Order Date]],"mmm")</f>
        <v>Jul</v>
      </c>
      <c r="S518" s="4" t="str">
        <f>TEXT(Table1[[#This Row],[Order Date]],"mm")</f>
        <v>07</v>
      </c>
      <c r="T518" s="4" t="str">
        <f>IF(Table1[[#This Row],[Sales]]&lt;0,"loss","profit")</f>
        <v>profit</v>
      </c>
      <c r="U518" s="4" t="str" cm="1">
        <f t="array" ref="U518">_xlfn.IFS(Table1[[#This Row],[Sales]]&gt;2000,"large",Table1[[#This Row],[Sales]]&gt;=500,"medium",Table1[[#This Row],[Sales]]&lt;500,"small")</f>
        <v>small</v>
      </c>
      <c r="V518" s="22">
        <f>Table1[[#This Row],[Profit]]/Table1[[#This Row],[Sales]]*100</f>
        <v>48.934142114384763</v>
      </c>
    </row>
    <row r="519" spans="1:22" x14ac:dyDescent="0.35">
      <c r="A519" s="4" t="s">
        <v>885</v>
      </c>
      <c r="B519" s="5">
        <v>45846</v>
      </c>
      <c r="C519" s="4" t="s">
        <v>886</v>
      </c>
      <c r="D519" s="4" t="s">
        <v>47</v>
      </c>
      <c r="E519" s="4" t="s">
        <v>87</v>
      </c>
      <c r="F519" s="4" t="s">
        <v>88</v>
      </c>
      <c r="G519" s="4" t="s">
        <v>38</v>
      </c>
      <c r="H519" s="4" t="s">
        <v>109</v>
      </c>
      <c r="I519" s="4">
        <v>1</v>
      </c>
      <c r="J519" s="6">
        <v>389.53</v>
      </c>
      <c r="K519" s="7">
        <v>0.1</v>
      </c>
      <c r="L519" s="6">
        <f t="shared" si="16"/>
        <v>350.577</v>
      </c>
      <c r="M519" s="6">
        <v>349.65</v>
      </c>
      <c r="N519" s="8">
        <f t="shared" si="17"/>
        <v>0.92700000000002092</v>
      </c>
      <c r="O519" s="4" t="s">
        <v>40</v>
      </c>
      <c r="P519" s="4" t="s">
        <v>72</v>
      </c>
      <c r="Q519" s="4">
        <v>2</v>
      </c>
      <c r="R519" s="4" t="str">
        <f>TEXT(Table1[[#This Row],[Order Date]],"mmm")</f>
        <v>Jul</v>
      </c>
      <c r="S519" s="4" t="str">
        <f>TEXT(Table1[[#This Row],[Order Date]],"mm")</f>
        <v>07</v>
      </c>
      <c r="T519" s="4" t="str">
        <f>IF(Table1[[#This Row],[Sales]]&lt;0,"loss","profit")</f>
        <v>profit</v>
      </c>
      <c r="U519" s="4" t="str" cm="1">
        <f t="array" ref="U519">_xlfn.IFS(Table1[[#This Row],[Sales]]&gt;2000,"large",Table1[[#This Row],[Sales]]&gt;=500,"medium",Table1[[#This Row],[Sales]]&lt;500,"small")</f>
        <v>small</v>
      </c>
      <c r="V519" s="22">
        <f>Table1[[#This Row],[Profit]]/Table1[[#This Row],[Sales]]*100</f>
        <v>0.26442122557955056</v>
      </c>
    </row>
    <row r="520" spans="1:22" x14ac:dyDescent="0.35">
      <c r="A520" s="4" t="s">
        <v>887</v>
      </c>
      <c r="B520" s="5">
        <v>45846</v>
      </c>
      <c r="C520" s="4" t="s">
        <v>365</v>
      </c>
      <c r="D520" s="4" t="s">
        <v>43</v>
      </c>
      <c r="E520" s="4" t="s">
        <v>87</v>
      </c>
      <c r="F520" s="4" t="s">
        <v>88</v>
      </c>
      <c r="G520" s="4" t="s">
        <v>31</v>
      </c>
      <c r="H520" s="4" t="s">
        <v>125</v>
      </c>
      <c r="I520" s="4">
        <v>4</v>
      </c>
      <c r="J520" s="6">
        <v>110.58</v>
      </c>
      <c r="K520" s="7">
        <v>0.05</v>
      </c>
      <c r="L520" s="6">
        <f t="shared" si="16"/>
        <v>420.20399999999995</v>
      </c>
      <c r="M520" s="6">
        <v>82.45</v>
      </c>
      <c r="N520" s="8">
        <f t="shared" si="17"/>
        <v>90.40399999999994</v>
      </c>
      <c r="O520" s="4" t="s">
        <v>60</v>
      </c>
      <c r="P520" s="4" t="s">
        <v>26</v>
      </c>
      <c r="Q520" s="4">
        <v>4</v>
      </c>
      <c r="R520" s="4" t="str">
        <f>TEXT(Table1[[#This Row],[Order Date]],"mmm")</f>
        <v>Jul</v>
      </c>
      <c r="S520" s="4" t="str">
        <f>TEXT(Table1[[#This Row],[Order Date]],"mm")</f>
        <v>07</v>
      </c>
      <c r="T520" s="4" t="str">
        <f>IF(Table1[[#This Row],[Sales]]&lt;0,"loss","profit")</f>
        <v>profit</v>
      </c>
      <c r="U520" s="4" t="str" cm="1">
        <f t="array" ref="U520">_xlfn.IFS(Table1[[#This Row],[Sales]]&gt;2000,"large",Table1[[#This Row],[Sales]]&gt;=500,"medium",Table1[[#This Row],[Sales]]&lt;500,"small")</f>
        <v>small</v>
      </c>
      <c r="V520" s="22">
        <f>Table1[[#This Row],[Profit]]/Table1[[#This Row],[Sales]]*100</f>
        <v>21.514312096029535</v>
      </c>
    </row>
    <row r="521" spans="1:22" x14ac:dyDescent="0.35">
      <c r="A521" s="4" t="s">
        <v>888</v>
      </c>
      <c r="B521" s="5">
        <v>45847</v>
      </c>
      <c r="C521" s="4" t="s">
        <v>28</v>
      </c>
      <c r="D521" s="4" t="s">
        <v>43</v>
      </c>
      <c r="E521" s="4" t="s">
        <v>36</v>
      </c>
      <c r="F521" s="4" t="s">
        <v>48</v>
      </c>
      <c r="G521" s="4" t="s">
        <v>38</v>
      </c>
      <c r="H521" s="4" t="s">
        <v>39</v>
      </c>
      <c r="I521" s="4">
        <v>1</v>
      </c>
      <c r="J521" s="6">
        <v>386.9</v>
      </c>
      <c r="K521" s="7">
        <v>0.15</v>
      </c>
      <c r="L521" s="6">
        <f t="shared" si="16"/>
        <v>328.86499999999995</v>
      </c>
      <c r="M521" s="6">
        <v>325.48</v>
      </c>
      <c r="N521" s="8">
        <f t="shared" si="17"/>
        <v>3.3849999999999341</v>
      </c>
      <c r="O521" s="4" t="s">
        <v>40</v>
      </c>
      <c r="P521" s="4" t="s">
        <v>33</v>
      </c>
      <c r="Q521" s="4">
        <v>1</v>
      </c>
      <c r="R521" s="4" t="str">
        <f>TEXT(Table1[[#This Row],[Order Date]],"mmm")</f>
        <v>Jul</v>
      </c>
      <c r="S521" s="4" t="str">
        <f>TEXT(Table1[[#This Row],[Order Date]],"mm")</f>
        <v>07</v>
      </c>
      <c r="T521" s="4" t="str">
        <f>IF(Table1[[#This Row],[Sales]]&lt;0,"loss","profit")</f>
        <v>profit</v>
      </c>
      <c r="U521" s="4" t="str" cm="1">
        <f t="array" ref="U521">_xlfn.IFS(Table1[[#This Row],[Sales]]&gt;2000,"large",Table1[[#This Row],[Sales]]&gt;=500,"medium",Table1[[#This Row],[Sales]]&lt;500,"small")</f>
        <v>small</v>
      </c>
      <c r="V521" s="22">
        <f>Table1[[#This Row],[Profit]]/Table1[[#This Row],[Sales]]*100</f>
        <v>1.0292977361531128</v>
      </c>
    </row>
    <row r="522" spans="1:22" x14ac:dyDescent="0.35">
      <c r="A522" s="4" t="s">
        <v>889</v>
      </c>
      <c r="B522" s="5">
        <v>45847</v>
      </c>
      <c r="C522" s="4" t="s">
        <v>388</v>
      </c>
      <c r="D522" s="4" t="s">
        <v>20</v>
      </c>
      <c r="E522" s="4" t="s">
        <v>21</v>
      </c>
      <c r="F522" s="4" t="s">
        <v>81</v>
      </c>
      <c r="G522" s="4" t="s">
        <v>67</v>
      </c>
      <c r="H522" s="4" t="s">
        <v>68</v>
      </c>
      <c r="I522" s="4">
        <v>3</v>
      </c>
      <c r="J522" s="6">
        <v>508.72</v>
      </c>
      <c r="K522" s="7">
        <v>0.05</v>
      </c>
      <c r="L522" s="6">
        <f t="shared" si="16"/>
        <v>1449.8520000000001</v>
      </c>
      <c r="M522" s="6">
        <v>400.8</v>
      </c>
      <c r="N522" s="8">
        <f t="shared" si="17"/>
        <v>247.452</v>
      </c>
      <c r="O522" s="4" t="s">
        <v>40</v>
      </c>
      <c r="P522" s="4" t="s">
        <v>26</v>
      </c>
      <c r="Q522" s="4">
        <v>2</v>
      </c>
      <c r="R522" s="4" t="str">
        <f>TEXT(Table1[[#This Row],[Order Date]],"mmm")</f>
        <v>Jul</v>
      </c>
      <c r="S522" s="4" t="str">
        <f>TEXT(Table1[[#This Row],[Order Date]],"mm")</f>
        <v>07</v>
      </c>
      <c r="T522" s="4" t="str">
        <f>IF(Table1[[#This Row],[Sales]]&lt;0,"loss","profit")</f>
        <v>profit</v>
      </c>
      <c r="U522" s="4" t="str" cm="1">
        <f t="array" ref="U522">_xlfn.IFS(Table1[[#This Row],[Sales]]&gt;2000,"large",Table1[[#This Row],[Sales]]&gt;=500,"medium",Table1[[#This Row],[Sales]]&lt;500,"small")</f>
        <v>medium</v>
      </c>
      <c r="V522" s="22">
        <f>Table1[[#This Row],[Profit]]/Table1[[#This Row],[Sales]]*100</f>
        <v>17.067397223992518</v>
      </c>
    </row>
    <row r="523" spans="1:22" x14ac:dyDescent="0.35">
      <c r="A523" s="4" t="s">
        <v>890</v>
      </c>
      <c r="B523" s="5">
        <v>45847</v>
      </c>
      <c r="C523" s="4" t="s">
        <v>891</v>
      </c>
      <c r="D523" s="4" t="s">
        <v>47</v>
      </c>
      <c r="E523" s="4" t="s">
        <v>87</v>
      </c>
      <c r="F523" s="4" t="s">
        <v>92</v>
      </c>
      <c r="G523" s="4" t="s">
        <v>23</v>
      </c>
      <c r="H523" s="4" t="s">
        <v>71</v>
      </c>
      <c r="I523" s="4">
        <v>4</v>
      </c>
      <c r="J523" s="6">
        <v>123.46</v>
      </c>
      <c r="K523" s="7">
        <v>0.05</v>
      </c>
      <c r="L523" s="6">
        <f t="shared" si="16"/>
        <v>469.14799999999997</v>
      </c>
      <c r="M523" s="6">
        <v>66.78</v>
      </c>
      <c r="N523" s="8">
        <f t="shared" si="17"/>
        <v>202.02799999999996</v>
      </c>
      <c r="O523" s="4" t="s">
        <v>51</v>
      </c>
      <c r="P523" s="4" t="s">
        <v>72</v>
      </c>
      <c r="Q523" s="4">
        <v>4</v>
      </c>
      <c r="R523" s="4" t="str">
        <f>TEXT(Table1[[#This Row],[Order Date]],"mmm")</f>
        <v>Jul</v>
      </c>
      <c r="S523" s="4" t="str">
        <f>TEXT(Table1[[#This Row],[Order Date]],"mm")</f>
        <v>07</v>
      </c>
      <c r="T523" s="4" t="str">
        <f>IF(Table1[[#This Row],[Sales]]&lt;0,"loss","profit")</f>
        <v>profit</v>
      </c>
      <c r="U523" s="4" t="str" cm="1">
        <f t="array" ref="U523">_xlfn.IFS(Table1[[#This Row],[Sales]]&gt;2000,"large",Table1[[#This Row],[Sales]]&gt;=500,"medium",Table1[[#This Row],[Sales]]&lt;500,"small")</f>
        <v>small</v>
      </c>
      <c r="V523" s="22">
        <f>Table1[[#This Row],[Profit]]/Table1[[#This Row],[Sales]]*100</f>
        <v>43.06274352656304</v>
      </c>
    </row>
    <row r="524" spans="1:22" x14ac:dyDescent="0.35">
      <c r="A524" s="4" t="s">
        <v>892</v>
      </c>
      <c r="B524" s="5">
        <v>45847</v>
      </c>
      <c r="C524" s="4" t="s">
        <v>644</v>
      </c>
      <c r="D524" s="4" t="s">
        <v>43</v>
      </c>
      <c r="E524" s="4" t="s">
        <v>29</v>
      </c>
      <c r="F524" s="4" t="s">
        <v>30</v>
      </c>
      <c r="G524" s="4" t="s">
        <v>31</v>
      </c>
      <c r="H524" s="4" t="s">
        <v>32</v>
      </c>
      <c r="I524" s="4">
        <v>5</v>
      </c>
      <c r="J524" s="6">
        <v>113.28</v>
      </c>
      <c r="K524" s="7">
        <v>0.1</v>
      </c>
      <c r="L524" s="6">
        <f t="shared" si="16"/>
        <v>509.76</v>
      </c>
      <c r="M524" s="6">
        <v>78.31</v>
      </c>
      <c r="N524" s="8">
        <f t="shared" si="17"/>
        <v>118.20999999999998</v>
      </c>
      <c r="O524" s="4" t="s">
        <v>40</v>
      </c>
      <c r="P524" s="4" t="s">
        <v>61</v>
      </c>
      <c r="Q524" s="4">
        <v>4</v>
      </c>
      <c r="R524" s="4" t="str">
        <f>TEXT(Table1[[#This Row],[Order Date]],"mmm")</f>
        <v>Jul</v>
      </c>
      <c r="S524" s="4" t="str">
        <f>TEXT(Table1[[#This Row],[Order Date]],"mm")</f>
        <v>07</v>
      </c>
      <c r="T524" s="4" t="str">
        <f>IF(Table1[[#This Row],[Sales]]&lt;0,"loss","profit")</f>
        <v>profit</v>
      </c>
      <c r="U524" s="4" t="str" cm="1">
        <f t="array" ref="U524">_xlfn.IFS(Table1[[#This Row],[Sales]]&gt;2000,"large",Table1[[#This Row],[Sales]]&gt;=500,"medium",Table1[[#This Row],[Sales]]&lt;500,"small")</f>
        <v>medium</v>
      </c>
      <c r="V524" s="22">
        <f>Table1[[#This Row],[Profit]]/Table1[[#This Row],[Sales]]*100</f>
        <v>23.189344005021965</v>
      </c>
    </row>
    <row r="525" spans="1:22" x14ac:dyDescent="0.35">
      <c r="A525" s="4" t="s">
        <v>893</v>
      </c>
      <c r="B525" s="5">
        <v>45849</v>
      </c>
      <c r="C525" s="4" t="s">
        <v>115</v>
      </c>
      <c r="D525" s="4" t="s">
        <v>43</v>
      </c>
      <c r="E525" s="4" t="s">
        <v>87</v>
      </c>
      <c r="F525" s="4" t="s">
        <v>88</v>
      </c>
      <c r="G525" s="4" t="s">
        <v>67</v>
      </c>
      <c r="H525" s="4" t="s">
        <v>121</v>
      </c>
      <c r="I525" s="4">
        <v>3</v>
      </c>
      <c r="J525" s="6">
        <v>326.81</v>
      </c>
      <c r="K525" s="7">
        <v>0</v>
      </c>
      <c r="L525" s="6">
        <f t="shared" si="16"/>
        <v>980.43000000000006</v>
      </c>
      <c r="M525" s="6">
        <v>253.01</v>
      </c>
      <c r="N525" s="8">
        <f t="shared" si="17"/>
        <v>221.40000000000009</v>
      </c>
      <c r="O525" s="4" t="s">
        <v>25</v>
      </c>
      <c r="P525" s="4" t="s">
        <v>72</v>
      </c>
      <c r="Q525" s="4">
        <v>3</v>
      </c>
      <c r="R525" s="4" t="str">
        <f>TEXT(Table1[[#This Row],[Order Date]],"mmm")</f>
        <v>Jul</v>
      </c>
      <c r="S525" s="4" t="str">
        <f>TEXT(Table1[[#This Row],[Order Date]],"mm")</f>
        <v>07</v>
      </c>
      <c r="T525" s="4" t="str">
        <f>IF(Table1[[#This Row],[Sales]]&lt;0,"loss","profit")</f>
        <v>profit</v>
      </c>
      <c r="U525" s="4" t="str" cm="1">
        <f t="array" ref="U525">_xlfn.IFS(Table1[[#This Row],[Sales]]&gt;2000,"large",Table1[[#This Row],[Sales]]&gt;=500,"medium",Table1[[#This Row],[Sales]]&lt;500,"small")</f>
        <v>medium</v>
      </c>
      <c r="V525" s="22">
        <f>Table1[[#This Row],[Profit]]/Table1[[#This Row],[Sales]]*100</f>
        <v>22.581928337566179</v>
      </c>
    </row>
    <row r="526" spans="1:22" x14ac:dyDescent="0.35">
      <c r="A526" s="4" t="s">
        <v>894</v>
      </c>
      <c r="B526" s="5">
        <v>45849</v>
      </c>
      <c r="C526" s="4" t="s">
        <v>626</v>
      </c>
      <c r="D526" s="4" t="s">
        <v>47</v>
      </c>
      <c r="E526" s="4" t="s">
        <v>87</v>
      </c>
      <c r="F526" s="4" t="s">
        <v>88</v>
      </c>
      <c r="G526" s="4" t="s">
        <v>38</v>
      </c>
      <c r="H526" s="4" t="s">
        <v>89</v>
      </c>
      <c r="I526" s="4">
        <v>5</v>
      </c>
      <c r="J526" s="6">
        <v>919.09</v>
      </c>
      <c r="K526" s="7">
        <v>0.15</v>
      </c>
      <c r="L526" s="6">
        <f t="shared" si="16"/>
        <v>3906.1324999999997</v>
      </c>
      <c r="M526" s="6">
        <v>791.23</v>
      </c>
      <c r="N526" s="8">
        <f t="shared" si="17"/>
        <v>-50.017500000000382</v>
      </c>
      <c r="O526" s="4" t="s">
        <v>25</v>
      </c>
      <c r="P526" s="4" t="s">
        <v>97</v>
      </c>
      <c r="Q526" s="4">
        <v>2</v>
      </c>
      <c r="R526" s="4" t="str">
        <f>TEXT(Table1[[#This Row],[Order Date]],"mmm")</f>
        <v>Jul</v>
      </c>
      <c r="S526" s="4" t="str">
        <f>TEXT(Table1[[#This Row],[Order Date]],"mm")</f>
        <v>07</v>
      </c>
      <c r="T526" s="4" t="str">
        <f>IF(Table1[[#This Row],[Sales]]&lt;0,"loss","profit")</f>
        <v>profit</v>
      </c>
      <c r="U526" s="4" t="str" cm="1">
        <f t="array" ref="U526">_xlfn.IFS(Table1[[#This Row],[Sales]]&gt;2000,"large",Table1[[#This Row],[Sales]]&gt;=500,"medium",Table1[[#This Row],[Sales]]&lt;500,"small")</f>
        <v>large</v>
      </c>
      <c r="V526" s="22">
        <f>Table1[[#This Row],[Profit]]/Table1[[#This Row],[Sales]]*100</f>
        <v>-1.2804865170344424</v>
      </c>
    </row>
    <row r="527" spans="1:22" x14ac:dyDescent="0.35">
      <c r="A527" s="4" t="s">
        <v>895</v>
      </c>
      <c r="B527" s="5">
        <v>45850</v>
      </c>
      <c r="C527" s="4" t="s">
        <v>320</v>
      </c>
      <c r="D527" s="4" t="s">
        <v>43</v>
      </c>
      <c r="E527" s="4" t="s">
        <v>36</v>
      </c>
      <c r="F527" s="4" t="s">
        <v>201</v>
      </c>
      <c r="G527" s="4" t="s">
        <v>38</v>
      </c>
      <c r="H527" s="4" t="s">
        <v>39</v>
      </c>
      <c r="I527" s="4">
        <v>4</v>
      </c>
      <c r="J527" s="6">
        <v>162.91999999999999</v>
      </c>
      <c r="K527" s="7">
        <v>0.1</v>
      </c>
      <c r="L527" s="6">
        <f t="shared" si="16"/>
        <v>586.51199999999994</v>
      </c>
      <c r="M527" s="6">
        <v>140.33000000000001</v>
      </c>
      <c r="N527" s="8">
        <f t="shared" si="17"/>
        <v>25.191999999999894</v>
      </c>
      <c r="O527" s="4" t="s">
        <v>84</v>
      </c>
      <c r="P527" s="4" t="s">
        <v>56</v>
      </c>
      <c r="Q527" s="4">
        <v>5</v>
      </c>
      <c r="R527" s="4" t="str">
        <f>TEXT(Table1[[#This Row],[Order Date]],"mmm")</f>
        <v>Jul</v>
      </c>
      <c r="S527" s="4" t="str">
        <f>TEXT(Table1[[#This Row],[Order Date]],"mm")</f>
        <v>07</v>
      </c>
      <c r="T527" s="4" t="str">
        <f>IF(Table1[[#This Row],[Sales]]&lt;0,"loss","profit")</f>
        <v>profit</v>
      </c>
      <c r="U527" s="4" t="str" cm="1">
        <f t="array" ref="U527">_xlfn.IFS(Table1[[#This Row],[Sales]]&gt;2000,"large",Table1[[#This Row],[Sales]]&gt;=500,"medium",Table1[[#This Row],[Sales]]&lt;500,"small")</f>
        <v>medium</v>
      </c>
      <c r="V527" s="22">
        <f>Table1[[#This Row],[Profit]]/Table1[[#This Row],[Sales]]*100</f>
        <v>4.2952232861390556</v>
      </c>
    </row>
    <row r="528" spans="1:22" x14ac:dyDescent="0.35">
      <c r="A528" s="4" t="s">
        <v>896</v>
      </c>
      <c r="B528" s="5">
        <v>45851</v>
      </c>
      <c r="C528" s="4" t="s">
        <v>897</v>
      </c>
      <c r="D528" s="4" t="s">
        <v>20</v>
      </c>
      <c r="E528" s="4" t="s">
        <v>21</v>
      </c>
      <c r="F528" s="4" t="s">
        <v>22</v>
      </c>
      <c r="G528" s="4" t="s">
        <v>49</v>
      </c>
      <c r="H528" s="4" t="s">
        <v>187</v>
      </c>
      <c r="I528" s="4">
        <v>4</v>
      </c>
      <c r="J528" s="6">
        <v>149.85</v>
      </c>
      <c r="K528" s="7">
        <v>0.1</v>
      </c>
      <c r="L528" s="6">
        <f t="shared" si="16"/>
        <v>539.46</v>
      </c>
      <c r="M528" s="6">
        <v>83.54</v>
      </c>
      <c r="N528" s="8">
        <f t="shared" si="17"/>
        <v>205.3</v>
      </c>
      <c r="O528" s="4" t="s">
        <v>60</v>
      </c>
      <c r="P528" s="4" t="s">
        <v>56</v>
      </c>
      <c r="Q528" s="4">
        <v>3</v>
      </c>
      <c r="R528" s="4" t="str">
        <f>TEXT(Table1[[#This Row],[Order Date]],"mmm")</f>
        <v>Jul</v>
      </c>
      <c r="S528" s="4" t="str">
        <f>TEXT(Table1[[#This Row],[Order Date]],"mm")</f>
        <v>07</v>
      </c>
      <c r="T528" s="4" t="str">
        <f>IF(Table1[[#This Row],[Sales]]&lt;0,"loss","profit")</f>
        <v>profit</v>
      </c>
      <c r="U528" s="4" t="str" cm="1">
        <f t="array" ref="U528">_xlfn.IFS(Table1[[#This Row],[Sales]]&gt;2000,"large",Table1[[#This Row],[Sales]]&gt;=500,"medium",Table1[[#This Row],[Sales]]&lt;500,"small")</f>
        <v>medium</v>
      </c>
      <c r="V528" s="22">
        <f>Table1[[#This Row],[Profit]]/Table1[[#This Row],[Sales]]*100</f>
        <v>38.056575093612132</v>
      </c>
    </row>
    <row r="529" spans="1:22" x14ac:dyDescent="0.35">
      <c r="A529" s="4" t="s">
        <v>898</v>
      </c>
      <c r="B529" s="5">
        <v>45852</v>
      </c>
      <c r="C529" s="4" t="s">
        <v>899</v>
      </c>
      <c r="D529" s="4" t="s">
        <v>47</v>
      </c>
      <c r="E529" s="4" t="s">
        <v>36</v>
      </c>
      <c r="F529" s="4" t="s">
        <v>37</v>
      </c>
      <c r="G529" s="4" t="s">
        <v>38</v>
      </c>
      <c r="H529" s="4" t="s">
        <v>109</v>
      </c>
      <c r="I529" s="4">
        <v>2</v>
      </c>
      <c r="J529" s="6">
        <v>1028.79</v>
      </c>
      <c r="K529" s="7">
        <v>0.05</v>
      </c>
      <c r="L529" s="6">
        <f t="shared" si="16"/>
        <v>1954.7009999999998</v>
      </c>
      <c r="M529" s="6">
        <v>901.68</v>
      </c>
      <c r="N529" s="8">
        <f t="shared" si="17"/>
        <v>151.34099999999989</v>
      </c>
      <c r="O529" s="4" t="s">
        <v>84</v>
      </c>
      <c r="P529" s="4" t="s">
        <v>118</v>
      </c>
      <c r="Q529" s="4">
        <v>4</v>
      </c>
      <c r="R529" s="4" t="str">
        <f>TEXT(Table1[[#This Row],[Order Date]],"mmm")</f>
        <v>Jul</v>
      </c>
      <c r="S529" s="4" t="str">
        <f>TEXT(Table1[[#This Row],[Order Date]],"mm")</f>
        <v>07</v>
      </c>
      <c r="T529" s="4" t="str">
        <f>IF(Table1[[#This Row],[Sales]]&lt;0,"loss","profit")</f>
        <v>profit</v>
      </c>
      <c r="U529" s="4" t="str" cm="1">
        <f t="array" ref="U529">_xlfn.IFS(Table1[[#This Row],[Sales]]&gt;2000,"large",Table1[[#This Row],[Sales]]&gt;=500,"medium",Table1[[#This Row],[Sales]]&lt;500,"small")</f>
        <v>medium</v>
      </c>
      <c r="V529" s="22">
        <f>Table1[[#This Row],[Profit]]/Table1[[#This Row],[Sales]]*100</f>
        <v>7.7424117550459082</v>
      </c>
    </row>
    <row r="530" spans="1:22" x14ac:dyDescent="0.35">
      <c r="A530" s="4" t="s">
        <v>900</v>
      </c>
      <c r="B530" s="5">
        <v>45852</v>
      </c>
      <c r="C530" s="4" t="s">
        <v>446</v>
      </c>
      <c r="D530" s="4" t="s">
        <v>20</v>
      </c>
      <c r="E530" s="4" t="s">
        <v>21</v>
      </c>
      <c r="F530" s="4" t="s">
        <v>22</v>
      </c>
      <c r="G530" s="4" t="s">
        <v>38</v>
      </c>
      <c r="H530" s="4" t="s">
        <v>109</v>
      </c>
      <c r="I530" s="4">
        <v>5</v>
      </c>
      <c r="J530" s="6">
        <v>651.29</v>
      </c>
      <c r="K530" s="7">
        <v>0.05</v>
      </c>
      <c r="L530" s="6">
        <f t="shared" si="16"/>
        <v>3093.6274999999996</v>
      </c>
      <c r="M530" s="6">
        <v>545.54</v>
      </c>
      <c r="N530" s="8">
        <f t="shared" si="17"/>
        <v>365.92749999999978</v>
      </c>
      <c r="O530" s="4" t="s">
        <v>84</v>
      </c>
      <c r="P530" s="4" t="s">
        <v>56</v>
      </c>
      <c r="Q530" s="4">
        <v>3</v>
      </c>
      <c r="R530" s="4" t="str">
        <f>TEXT(Table1[[#This Row],[Order Date]],"mmm")</f>
        <v>Jul</v>
      </c>
      <c r="S530" s="4" t="str">
        <f>TEXT(Table1[[#This Row],[Order Date]],"mm")</f>
        <v>07</v>
      </c>
      <c r="T530" s="4" t="str">
        <f>IF(Table1[[#This Row],[Sales]]&lt;0,"loss","profit")</f>
        <v>profit</v>
      </c>
      <c r="U530" s="4" t="str" cm="1">
        <f t="array" ref="U530">_xlfn.IFS(Table1[[#This Row],[Sales]]&gt;2000,"large",Table1[[#This Row],[Sales]]&gt;=500,"medium",Table1[[#This Row],[Sales]]&lt;500,"small")</f>
        <v>large</v>
      </c>
      <c r="V530" s="22">
        <f>Table1[[#This Row],[Profit]]/Table1[[#This Row],[Sales]]*100</f>
        <v>11.828427953914938</v>
      </c>
    </row>
    <row r="531" spans="1:22" x14ac:dyDescent="0.35">
      <c r="A531" s="4" t="s">
        <v>901</v>
      </c>
      <c r="B531" s="5">
        <v>45852</v>
      </c>
      <c r="C531" s="4" t="s">
        <v>367</v>
      </c>
      <c r="D531" s="4" t="s">
        <v>43</v>
      </c>
      <c r="E531" s="4" t="s">
        <v>87</v>
      </c>
      <c r="F531" s="4" t="s">
        <v>124</v>
      </c>
      <c r="G531" s="4" t="s">
        <v>31</v>
      </c>
      <c r="H531" s="4" t="s">
        <v>32</v>
      </c>
      <c r="I531" s="4">
        <v>2</v>
      </c>
      <c r="J531" s="6">
        <v>189.01</v>
      </c>
      <c r="K531" s="7">
        <v>0</v>
      </c>
      <c r="L531" s="6">
        <f t="shared" si="16"/>
        <v>378.02</v>
      </c>
      <c r="M531" s="6">
        <v>116.62</v>
      </c>
      <c r="N531" s="8">
        <f t="shared" si="17"/>
        <v>144.77999999999997</v>
      </c>
      <c r="O531" s="4" t="s">
        <v>40</v>
      </c>
      <c r="P531" s="4" t="s">
        <v>26</v>
      </c>
      <c r="Q531" s="4">
        <v>5</v>
      </c>
      <c r="R531" s="4" t="str">
        <f>TEXT(Table1[[#This Row],[Order Date]],"mmm")</f>
        <v>Jul</v>
      </c>
      <c r="S531" s="4" t="str">
        <f>TEXT(Table1[[#This Row],[Order Date]],"mm")</f>
        <v>07</v>
      </c>
      <c r="T531" s="4" t="str">
        <f>IF(Table1[[#This Row],[Sales]]&lt;0,"loss","profit")</f>
        <v>profit</v>
      </c>
      <c r="U531" s="4" t="str" cm="1">
        <f t="array" ref="U531">_xlfn.IFS(Table1[[#This Row],[Sales]]&gt;2000,"large",Table1[[#This Row],[Sales]]&gt;=500,"medium",Table1[[#This Row],[Sales]]&lt;500,"small")</f>
        <v>small</v>
      </c>
      <c r="V531" s="22">
        <f>Table1[[#This Row],[Profit]]/Table1[[#This Row],[Sales]]*100</f>
        <v>38.299560869795243</v>
      </c>
    </row>
    <row r="532" spans="1:22" x14ac:dyDescent="0.35">
      <c r="A532" s="4" t="s">
        <v>902</v>
      </c>
      <c r="B532" s="5">
        <v>45852</v>
      </c>
      <c r="C532" s="4" t="s">
        <v>139</v>
      </c>
      <c r="D532" s="4" t="s">
        <v>43</v>
      </c>
      <c r="E532" s="4" t="s">
        <v>21</v>
      </c>
      <c r="F532" s="4" t="s">
        <v>59</v>
      </c>
      <c r="G532" s="4" t="s">
        <v>23</v>
      </c>
      <c r="H532" s="4" t="s">
        <v>71</v>
      </c>
      <c r="I532" s="4">
        <v>5</v>
      </c>
      <c r="J532" s="6">
        <v>210.15</v>
      </c>
      <c r="K532" s="7">
        <v>0.2</v>
      </c>
      <c r="L532" s="6">
        <f t="shared" si="16"/>
        <v>840.6</v>
      </c>
      <c r="M532" s="6">
        <v>113.35</v>
      </c>
      <c r="N532" s="8">
        <f t="shared" si="17"/>
        <v>273.85000000000002</v>
      </c>
      <c r="O532" s="4" t="s">
        <v>25</v>
      </c>
      <c r="P532" s="4" t="s">
        <v>97</v>
      </c>
      <c r="Q532" s="4">
        <v>5</v>
      </c>
      <c r="R532" s="4" t="str">
        <f>TEXT(Table1[[#This Row],[Order Date]],"mmm")</f>
        <v>Jul</v>
      </c>
      <c r="S532" s="4" t="str">
        <f>TEXT(Table1[[#This Row],[Order Date]],"mm")</f>
        <v>07</v>
      </c>
      <c r="T532" s="4" t="str">
        <f>IF(Table1[[#This Row],[Sales]]&lt;0,"loss","profit")</f>
        <v>profit</v>
      </c>
      <c r="U532" s="4" t="str" cm="1">
        <f t="array" ref="U532">_xlfn.IFS(Table1[[#This Row],[Sales]]&gt;2000,"large",Table1[[#This Row],[Sales]]&gt;=500,"medium",Table1[[#This Row],[Sales]]&lt;500,"small")</f>
        <v>medium</v>
      </c>
      <c r="V532" s="22">
        <f>Table1[[#This Row],[Profit]]/Table1[[#This Row],[Sales]]*100</f>
        <v>32.577920532952653</v>
      </c>
    </row>
    <row r="533" spans="1:22" x14ac:dyDescent="0.35">
      <c r="A533" s="4" t="s">
        <v>903</v>
      </c>
      <c r="B533" s="5">
        <v>45852</v>
      </c>
      <c r="C533" s="4" t="s">
        <v>904</v>
      </c>
      <c r="D533" s="4" t="s">
        <v>20</v>
      </c>
      <c r="E533" s="4" t="s">
        <v>87</v>
      </c>
      <c r="F533" s="4" t="s">
        <v>124</v>
      </c>
      <c r="G533" s="4" t="s">
        <v>38</v>
      </c>
      <c r="H533" s="4" t="s">
        <v>89</v>
      </c>
      <c r="I533" s="4">
        <v>1</v>
      </c>
      <c r="J533" s="6">
        <v>944.95</v>
      </c>
      <c r="K533" s="7">
        <v>0.1</v>
      </c>
      <c r="L533" s="6">
        <f t="shared" si="16"/>
        <v>850.45500000000004</v>
      </c>
      <c r="M533" s="6">
        <v>845.2</v>
      </c>
      <c r="N533" s="8">
        <f t="shared" si="17"/>
        <v>5.2549999999999955</v>
      </c>
      <c r="O533" s="4" t="s">
        <v>51</v>
      </c>
      <c r="P533" s="4" t="s">
        <v>33</v>
      </c>
      <c r="Q533" s="4">
        <v>4</v>
      </c>
      <c r="R533" s="4" t="str">
        <f>TEXT(Table1[[#This Row],[Order Date]],"mmm")</f>
        <v>Jul</v>
      </c>
      <c r="S533" s="4" t="str">
        <f>TEXT(Table1[[#This Row],[Order Date]],"mm")</f>
        <v>07</v>
      </c>
      <c r="T533" s="4" t="str">
        <f>IF(Table1[[#This Row],[Sales]]&lt;0,"loss","profit")</f>
        <v>profit</v>
      </c>
      <c r="U533" s="4" t="str" cm="1">
        <f t="array" ref="U533">_xlfn.IFS(Table1[[#This Row],[Sales]]&gt;2000,"large",Table1[[#This Row],[Sales]]&gt;=500,"medium",Table1[[#This Row],[Sales]]&lt;500,"small")</f>
        <v>medium</v>
      </c>
      <c r="V533" s="22">
        <f>Table1[[#This Row],[Profit]]/Table1[[#This Row],[Sales]]*100</f>
        <v>0.61790453345562024</v>
      </c>
    </row>
    <row r="534" spans="1:22" x14ac:dyDescent="0.35">
      <c r="A534" s="4" t="s">
        <v>905</v>
      </c>
      <c r="B534" s="5">
        <v>45852</v>
      </c>
      <c r="C534" s="4" t="s">
        <v>262</v>
      </c>
      <c r="D534" s="4" t="s">
        <v>47</v>
      </c>
      <c r="E534" s="4" t="s">
        <v>36</v>
      </c>
      <c r="F534" s="4" t="s">
        <v>48</v>
      </c>
      <c r="G534" s="4" t="s">
        <v>49</v>
      </c>
      <c r="H534" s="4" t="s">
        <v>78</v>
      </c>
      <c r="I534" s="4">
        <v>5</v>
      </c>
      <c r="J534" s="6">
        <v>619.01</v>
      </c>
      <c r="K534" s="7">
        <v>0.15</v>
      </c>
      <c r="L534" s="6">
        <f t="shared" si="16"/>
        <v>2630.7925</v>
      </c>
      <c r="M534" s="6">
        <v>425.42</v>
      </c>
      <c r="N534" s="8">
        <f t="shared" si="17"/>
        <v>503.69250000000011</v>
      </c>
      <c r="O534" s="4" t="s">
        <v>40</v>
      </c>
      <c r="P534" s="4" t="s">
        <v>26</v>
      </c>
      <c r="Q534" s="4">
        <v>4</v>
      </c>
      <c r="R534" s="4" t="str">
        <f>TEXT(Table1[[#This Row],[Order Date]],"mmm")</f>
        <v>Jul</v>
      </c>
      <c r="S534" s="4" t="str">
        <f>TEXT(Table1[[#This Row],[Order Date]],"mm")</f>
        <v>07</v>
      </c>
      <c r="T534" s="4" t="str">
        <f>IF(Table1[[#This Row],[Sales]]&lt;0,"loss","profit")</f>
        <v>profit</v>
      </c>
      <c r="U534" s="4" t="str" cm="1">
        <f t="array" ref="U534">_xlfn.IFS(Table1[[#This Row],[Sales]]&gt;2000,"large",Table1[[#This Row],[Sales]]&gt;=500,"medium",Table1[[#This Row],[Sales]]&lt;500,"small")</f>
        <v>large</v>
      </c>
      <c r="V534" s="22">
        <f>Table1[[#This Row],[Profit]]/Table1[[#This Row],[Sales]]*100</f>
        <v>19.146036793095618</v>
      </c>
    </row>
    <row r="535" spans="1:22" x14ac:dyDescent="0.35">
      <c r="A535" s="4" t="s">
        <v>906</v>
      </c>
      <c r="B535" s="5">
        <v>45852</v>
      </c>
      <c r="C535" s="4" t="s">
        <v>352</v>
      </c>
      <c r="D535" s="4" t="s">
        <v>43</v>
      </c>
      <c r="E535" s="4" t="s">
        <v>29</v>
      </c>
      <c r="F535" s="4" t="s">
        <v>54</v>
      </c>
      <c r="G535" s="4" t="s">
        <v>49</v>
      </c>
      <c r="H535" s="4" t="s">
        <v>187</v>
      </c>
      <c r="I535" s="4">
        <v>6</v>
      </c>
      <c r="J535" s="6">
        <v>134.62</v>
      </c>
      <c r="K535" s="7">
        <v>0</v>
      </c>
      <c r="L535" s="6">
        <f t="shared" si="16"/>
        <v>807.72</v>
      </c>
      <c r="M535" s="6">
        <v>77.069999999999993</v>
      </c>
      <c r="N535" s="8">
        <f t="shared" si="17"/>
        <v>345.30000000000007</v>
      </c>
      <c r="O535" s="4" t="s">
        <v>40</v>
      </c>
      <c r="P535" s="4" t="s">
        <v>61</v>
      </c>
      <c r="Q535" s="4">
        <v>4</v>
      </c>
      <c r="R535" s="4" t="str">
        <f>TEXT(Table1[[#This Row],[Order Date]],"mmm")</f>
        <v>Jul</v>
      </c>
      <c r="S535" s="4" t="str">
        <f>TEXT(Table1[[#This Row],[Order Date]],"mm")</f>
        <v>07</v>
      </c>
      <c r="T535" s="4" t="str">
        <f>IF(Table1[[#This Row],[Sales]]&lt;0,"loss","profit")</f>
        <v>profit</v>
      </c>
      <c r="U535" s="4" t="str" cm="1">
        <f t="array" ref="U535">_xlfn.IFS(Table1[[#This Row],[Sales]]&gt;2000,"large",Table1[[#This Row],[Sales]]&gt;=500,"medium",Table1[[#This Row],[Sales]]&lt;500,"small")</f>
        <v>medium</v>
      </c>
      <c r="V535" s="22">
        <f>Table1[[#This Row],[Profit]]/Table1[[#This Row],[Sales]]*100</f>
        <v>42.749962858416289</v>
      </c>
    </row>
    <row r="536" spans="1:22" x14ac:dyDescent="0.35">
      <c r="A536" s="4" t="s">
        <v>907</v>
      </c>
      <c r="B536" s="5">
        <v>45852</v>
      </c>
      <c r="C536" s="4" t="s">
        <v>313</v>
      </c>
      <c r="D536" s="4" t="s">
        <v>20</v>
      </c>
      <c r="E536" s="4" t="s">
        <v>36</v>
      </c>
      <c r="F536" s="4" t="s">
        <v>37</v>
      </c>
      <c r="G536" s="4" t="s">
        <v>23</v>
      </c>
      <c r="H536" s="4" t="s">
        <v>24</v>
      </c>
      <c r="I536" s="4">
        <v>1</v>
      </c>
      <c r="J536" s="6">
        <v>31.03</v>
      </c>
      <c r="K536" s="7">
        <v>0</v>
      </c>
      <c r="L536" s="6">
        <f t="shared" si="16"/>
        <v>31.03</v>
      </c>
      <c r="M536" s="6">
        <v>15.89</v>
      </c>
      <c r="N536" s="8">
        <f t="shared" si="17"/>
        <v>15.14</v>
      </c>
      <c r="O536" s="4" t="s">
        <v>25</v>
      </c>
      <c r="P536" s="4" t="s">
        <v>72</v>
      </c>
      <c r="Q536" s="4">
        <v>5</v>
      </c>
      <c r="R536" s="4" t="str">
        <f>TEXT(Table1[[#This Row],[Order Date]],"mmm")</f>
        <v>Jul</v>
      </c>
      <c r="S536" s="4" t="str">
        <f>TEXT(Table1[[#This Row],[Order Date]],"mm")</f>
        <v>07</v>
      </c>
      <c r="T536" s="4" t="str">
        <f>IF(Table1[[#This Row],[Sales]]&lt;0,"loss","profit")</f>
        <v>profit</v>
      </c>
      <c r="U536" s="4" t="str" cm="1">
        <f t="array" ref="U536">_xlfn.IFS(Table1[[#This Row],[Sales]]&gt;2000,"large",Table1[[#This Row],[Sales]]&gt;=500,"medium",Table1[[#This Row],[Sales]]&lt;500,"small")</f>
        <v>small</v>
      </c>
      <c r="V536" s="22">
        <f>Table1[[#This Row],[Profit]]/Table1[[#This Row],[Sales]]*100</f>
        <v>48.791492104415077</v>
      </c>
    </row>
    <row r="537" spans="1:22" x14ac:dyDescent="0.35">
      <c r="A537" s="4" t="s">
        <v>908</v>
      </c>
      <c r="B537" s="5">
        <v>45852</v>
      </c>
      <c r="C537" s="4" t="s">
        <v>377</v>
      </c>
      <c r="D537" s="4" t="s">
        <v>47</v>
      </c>
      <c r="E537" s="4" t="s">
        <v>21</v>
      </c>
      <c r="F537" s="4" t="s">
        <v>81</v>
      </c>
      <c r="G537" s="4" t="s">
        <v>67</v>
      </c>
      <c r="H537" s="4" t="s">
        <v>68</v>
      </c>
      <c r="I537" s="4">
        <v>1</v>
      </c>
      <c r="J537" s="6">
        <v>1188.26</v>
      </c>
      <c r="K537" s="7">
        <v>0.05</v>
      </c>
      <c r="L537" s="6">
        <f t="shared" si="16"/>
        <v>1128.847</v>
      </c>
      <c r="M537" s="6">
        <v>924.36</v>
      </c>
      <c r="N537" s="8">
        <f t="shared" si="17"/>
        <v>204.48699999999997</v>
      </c>
      <c r="O537" s="4" t="s">
        <v>60</v>
      </c>
      <c r="P537" s="4" t="s">
        <v>26</v>
      </c>
      <c r="Q537" s="4">
        <v>3</v>
      </c>
      <c r="R537" s="4" t="str">
        <f>TEXT(Table1[[#This Row],[Order Date]],"mmm")</f>
        <v>Jul</v>
      </c>
      <c r="S537" s="4" t="str">
        <f>TEXT(Table1[[#This Row],[Order Date]],"mm")</f>
        <v>07</v>
      </c>
      <c r="T537" s="4" t="str">
        <f>IF(Table1[[#This Row],[Sales]]&lt;0,"loss","profit")</f>
        <v>profit</v>
      </c>
      <c r="U537" s="4" t="str" cm="1">
        <f t="array" ref="U537">_xlfn.IFS(Table1[[#This Row],[Sales]]&gt;2000,"large",Table1[[#This Row],[Sales]]&gt;=500,"medium",Table1[[#This Row],[Sales]]&lt;500,"small")</f>
        <v>medium</v>
      </c>
      <c r="V537" s="22">
        <f>Table1[[#This Row],[Profit]]/Table1[[#This Row],[Sales]]*100</f>
        <v>18.114678074176567</v>
      </c>
    </row>
    <row r="538" spans="1:22" x14ac:dyDescent="0.35">
      <c r="A538" s="4" t="s">
        <v>909</v>
      </c>
      <c r="B538" s="5">
        <v>45852</v>
      </c>
      <c r="C538" s="4" t="s">
        <v>910</v>
      </c>
      <c r="D538" s="4" t="s">
        <v>20</v>
      </c>
      <c r="E538" s="4" t="s">
        <v>87</v>
      </c>
      <c r="F538" s="4" t="s">
        <v>92</v>
      </c>
      <c r="G538" s="4" t="s">
        <v>31</v>
      </c>
      <c r="H538" s="4" t="s">
        <v>32</v>
      </c>
      <c r="I538" s="4">
        <v>1</v>
      </c>
      <c r="J538" s="6">
        <v>181.86</v>
      </c>
      <c r="K538" s="7">
        <v>0.1</v>
      </c>
      <c r="L538" s="6">
        <f t="shared" si="16"/>
        <v>163.67400000000001</v>
      </c>
      <c r="M538" s="6">
        <v>127.81</v>
      </c>
      <c r="N538" s="8">
        <f t="shared" si="17"/>
        <v>35.864000000000004</v>
      </c>
      <c r="O538" s="4" t="s">
        <v>84</v>
      </c>
      <c r="P538" s="4" t="s">
        <v>97</v>
      </c>
      <c r="Q538" s="4">
        <v>4</v>
      </c>
      <c r="R538" s="4" t="str">
        <f>TEXT(Table1[[#This Row],[Order Date]],"mmm")</f>
        <v>Jul</v>
      </c>
      <c r="S538" s="4" t="str">
        <f>TEXT(Table1[[#This Row],[Order Date]],"mm")</f>
        <v>07</v>
      </c>
      <c r="T538" s="4" t="str">
        <f>IF(Table1[[#This Row],[Sales]]&lt;0,"loss","profit")</f>
        <v>profit</v>
      </c>
      <c r="U538" s="4" t="str" cm="1">
        <f t="array" ref="U538">_xlfn.IFS(Table1[[#This Row],[Sales]]&gt;2000,"large",Table1[[#This Row],[Sales]]&gt;=500,"medium",Table1[[#This Row],[Sales]]&lt;500,"small")</f>
        <v>small</v>
      </c>
      <c r="V538" s="22">
        <f>Table1[[#This Row],[Profit]]/Table1[[#This Row],[Sales]]*100</f>
        <v>21.91184916358127</v>
      </c>
    </row>
    <row r="539" spans="1:22" x14ac:dyDescent="0.35">
      <c r="A539" s="4" t="s">
        <v>911</v>
      </c>
      <c r="B539" s="5">
        <v>45853</v>
      </c>
      <c r="C539" s="4" t="s">
        <v>912</v>
      </c>
      <c r="D539" s="4" t="s">
        <v>47</v>
      </c>
      <c r="E539" s="4" t="s">
        <v>36</v>
      </c>
      <c r="F539" s="4" t="s">
        <v>201</v>
      </c>
      <c r="G539" s="4" t="s">
        <v>38</v>
      </c>
      <c r="H539" s="4" t="s">
        <v>55</v>
      </c>
      <c r="I539" s="4">
        <v>1</v>
      </c>
      <c r="J539" s="6">
        <v>169.44</v>
      </c>
      <c r="K539" s="7">
        <v>0.1</v>
      </c>
      <c r="L539" s="6">
        <f t="shared" si="16"/>
        <v>152.49600000000001</v>
      </c>
      <c r="M539" s="6">
        <v>147.6</v>
      </c>
      <c r="N539" s="8">
        <f t="shared" si="17"/>
        <v>4.896000000000015</v>
      </c>
      <c r="O539" s="4" t="s">
        <v>60</v>
      </c>
      <c r="P539" s="4" t="s">
        <v>75</v>
      </c>
      <c r="Q539" s="4">
        <v>4</v>
      </c>
      <c r="R539" s="4" t="str">
        <f>TEXT(Table1[[#This Row],[Order Date]],"mmm")</f>
        <v>Jul</v>
      </c>
      <c r="S539" s="4" t="str">
        <f>TEXT(Table1[[#This Row],[Order Date]],"mm")</f>
        <v>07</v>
      </c>
      <c r="T539" s="4" t="str">
        <f>IF(Table1[[#This Row],[Sales]]&lt;0,"loss","profit")</f>
        <v>profit</v>
      </c>
      <c r="U539" s="4" t="str" cm="1">
        <f t="array" ref="U539">_xlfn.IFS(Table1[[#This Row],[Sales]]&gt;2000,"large",Table1[[#This Row],[Sales]]&gt;=500,"medium",Table1[[#This Row],[Sales]]&lt;500,"small")</f>
        <v>small</v>
      </c>
      <c r="V539" s="22">
        <f>Table1[[#This Row],[Profit]]/Table1[[#This Row],[Sales]]*100</f>
        <v>3.2105760151086029</v>
      </c>
    </row>
    <row r="540" spans="1:22" x14ac:dyDescent="0.35">
      <c r="A540" s="4" t="s">
        <v>913</v>
      </c>
      <c r="B540" s="5">
        <v>45853</v>
      </c>
      <c r="C540" s="4" t="s">
        <v>521</v>
      </c>
      <c r="D540" s="4" t="s">
        <v>20</v>
      </c>
      <c r="E540" s="4" t="s">
        <v>29</v>
      </c>
      <c r="F540" s="4" t="s">
        <v>108</v>
      </c>
      <c r="G540" s="4" t="s">
        <v>38</v>
      </c>
      <c r="H540" s="4" t="s">
        <v>109</v>
      </c>
      <c r="I540" s="4">
        <v>3</v>
      </c>
      <c r="J540" s="6">
        <v>656.93</v>
      </c>
      <c r="K540" s="7">
        <v>0.1</v>
      </c>
      <c r="L540" s="6">
        <f t="shared" si="16"/>
        <v>1773.711</v>
      </c>
      <c r="M540" s="6">
        <v>554.85</v>
      </c>
      <c r="N540" s="8">
        <f t="shared" si="17"/>
        <v>109.16099999999983</v>
      </c>
      <c r="O540" s="4" t="s">
        <v>40</v>
      </c>
      <c r="P540" s="4" t="s">
        <v>97</v>
      </c>
      <c r="Q540" s="4">
        <v>5</v>
      </c>
      <c r="R540" s="4" t="str">
        <f>TEXT(Table1[[#This Row],[Order Date]],"mmm")</f>
        <v>Jul</v>
      </c>
      <c r="S540" s="4" t="str">
        <f>TEXT(Table1[[#This Row],[Order Date]],"mm")</f>
        <v>07</v>
      </c>
      <c r="T540" s="4" t="str">
        <f>IF(Table1[[#This Row],[Sales]]&lt;0,"loss","profit")</f>
        <v>profit</v>
      </c>
      <c r="U540" s="4" t="str" cm="1">
        <f t="array" ref="U540">_xlfn.IFS(Table1[[#This Row],[Sales]]&gt;2000,"large",Table1[[#This Row],[Sales]]&gt;=500,"medium",Table1[[#This Row],[Sales]]&lt;500,"small")</f>
        <v>medium</v>
      </c>
      <c r="V540" s="22">
        <f>Table1[[#This Row],[Profit]]/Table1[[#This Row],[Sales]]*100</f>
        <v>6.1543847898558353</v>
      </c>
    </row>
    <row r="541" spans="1:22" x14ac:dyDescent="0.35">
      <c r="A541" s="4" t="s">
        <v>914</v>
      </c>
      <c r="B541" s="5">
        <v>45854</v>
      </c>
      <c r="C541" s="4" t="s">
        <v>505</v>
      </c>
      <c r="D541" s="4" t="s">
        <v>47</v>
      </c>
      <c r="E541" s="4" t="s">
        <v>87</v>
      </c>
      <c r="F541" s="4" t="s">
        <v>88</v>
      </c>
      <c r="G541" s="4" t="s">
        <v>31</v>
      </c>
      <c r="H541" s="4" t="s">
        <v>32</v>
      </c>
      <c r="I541" s="4">
        <v>2</v>
      </c>
      <c r="J541" s="6">
        <v>311.47000000000003</v>
      </c>
      <c r="K541" s="7">
        <v>0.05</v>
      </c>
      <c r="L541" s="6">
        <f t="shared" si="16"/>
        <v>591.79300000000001</v>
      </c>
      <c r="M541" s="6">
        <v>207.63</v>
      </c>
      <c r="N541" s="8">
        <f t="shared" si="17"/>
        <v>176.53300000000002</v>
      </c>
      <c r="O541" s="4" t="s">
        <v>51</v>
      </c>
      <c r="P541" s="4" t="s">
        <v>56</v>
      </c>
      <c r="Q541" s="4">
        <v>4</v>
      </c>
      <c r="R541" s="4" t="str">
        <f>TEXT(Table1[[#This Row],[Order Date]],"mmm")</f>
        <v>Jul</v>
      </c>
      <c r="S541" s="4" t="str">
        <f>TEXT(Table1[[#This Row],[Order Date]],"mm")</f>
        <v>07</v>
      </c>
      <c r="T541" s="4" t="str">
        <f>IF(Table1[[#This Row],[Sales]]&lt;0,"loss","profit")</f>
        <v>profit</v>
      </c>
      <c r="U541" s="4" t="str" cm="1">
        <f t="array" ref="U541">_xlfn.IFS(Table1[[#This Row],[Sales]]&gt;2000,"large",Table1[[#This Row],[Sales]]&gt;=500,"medium",Table1[[#This Row],[Sales]]&lt;500,"small")</f>
        <v>medium</v>
      </c>
      <c r="V541" s="22">
        <f>Table1[[#This Row],[Profit]]/Table1[[#This Row],[Sales]]*100</f>
        <v>29.830194003646547</v>
      </c>
    </row>
    <row r="542" spans="1:22" x14ac:dyDescent="0.35">
      <c r="A542" s="4" t="s">
        <v>915</v>
      </c>
      <c r="B542" s="5">
        <v>45854</v>
      </c>
      <c r="C542" s="4" t="s">
        <v>392</v>
      </c>
      <c r="D542" s="4" t="s">
        <v>43</v>
      </c>
      <c r="E542" s="4" t="s">
        <v>36</v>
      </c>
      <c r="F542" s="4" t="s">
        <v>48</v>
      </c>
      <c r="G542" s="4" t="s">
        <v>23</v>
      </c>
      <c r="H542" s="4" t="s">
        <v>135</v>
      </c>
      <c r="I542" s="4">
        <v>3</v>
      </c>
      <c r="J542" s="6">
        <v>28.16</v>
      </c>
      <c r="K542" s="7">
        <v>0.05</v>
      </c>
      <c r="L542" s="6">
        <f t="shared" si="16"/>
        <v>80.256</v>
      </c>
      <c r="M542" s="6">
        <v>11.66</v>
      </c>
      <c r="N542" s="8">
        <f t="shared" si="17"/>
        <v>45.275999999999996</v>
      </c>
      <c r="O542" s="4" t="s">
        <v>51</v>
      </c>
      <c r="P542" s="4" t="s">
        <v>33</v>
      </c>
      <c r="Q542" s="4">
        <v>2</v>
      </c>
      <c r="R542" s="4" t="str">
        <f>TEXT(Table1[[#This Row],[Order Date]],"mmm")</f>
        <v>Jul</v>
      </c>
      <c r="S542" s="4" t="str">
        <f>TEXT(Table1[[#This Row],[Order Date]],"mm")</f>
        <v>07</v>
      </c>
      <c r="T542" s="4" t="str">
        <f>IF(Table1[[#This Row],[Sales]]&lt;0,"loss","profit")</f>
        <v>profit</v>
      </c>
      <c r="U542" s="4" t="str" cm="1">
        <f t="array" ref="U542">_xlfn.IFS(Table1[[#This Row],[Sales]]&gt;2000,"large",Table1[[#This Row],[Sales]]&gt;=500,"medium",Table1[[#This Row],[Sales]]&lt;500,"small")</f>
        <v>small</v>
      </c>
      <c r="V542" s="22">
        <f>Table1[[#This Row],[Profit]]/Table1[[#This Row],[Sales]]*100</f>
        <v>56.41447368421052</v>
      </c>
    </row>
    <row r="543" spans="1:22" x14ac:dyDescent="0.35">
      <c r="A543" s="4" t="s">
        <v>916</v>
      </c>
      <c r="B543" s="5">
        <v>45855</v>
      </c>
      <c r="C543" s="4" t="s">
        <v>917</v>
      </c>
      <c r="D543" s="4" t="s">
        <v>43</v>
      </c>
      <c r="E543" s="4" t="s">
        <v>36</v>
      </c>
      <c r="F543" s="4" t="s">
        <v>201</v>
      </c>
      <c r="G543" s="4" t="s">
        <v>38</v>
      </c>
      <c r="H543" s="4" t="s">
        <v>55</v>
      </c>
      <c r="I543" s="4">
        <v>1</v>
      </c>
      <c r="J543" s="6">
        <v>112.33</v>
      </c>
      <c r="K543" s="7">
        <v>0</v>
      </c>
      <c r="L543" s="6">
        <f t="shared" si="16"/>
        <v>112.33</v>
      </c>
      <c r="M543" s="6">
        <v>94.79</v>
      </c>
      <c r="N543" s="8">
        <f t="shared" si="17"/>
        <v>17.539999999999992</v>
      </c>
      <c r="O543" s="4" t="s">
        <v>60</v>
      </c>
      <c r="P543" s="4" t="s">
        <v>33</v>
      </c>
      <c r="Q543" s="4">
        <v>5</v>
      </c>
      <c r="R543" s="4" t="str">
        <f>TEXT(Table1[[#This Row],[Order Date]],"mmm")</f>
        <v>Jul</v>
      </c>
      <c r="S543" s="4" t="str">
        <f>TEXT(Table1[[#This Row],[Order Date]],"mm")</f>
        <v>07</v>
      </c>
      <c r="T543" s="4" t="str">
        <f>IF(Table1[[#This Row],[Sales]]&lt;0,"loss","profit")</f>
        <v>profit</v>
      </c>
      <c r="U543" s="4" t="str" cm="1">
        <f t="array" ref="U543">_xlfn.IFS(Table1[[#This Row],[Sales]]&gt;2000,"large",Table1[[#This Row],[Sales]]&gt;=500,"medium",Table1[[#This Row],[Sales]]&lt;500,"small")</f>
        <v>small</v>
      </c>
      <c r="V543" s="22">
        <f>Table1[[#This Row],[Profit]]/Table1[[#This Row],[Sales]]*100</f>
        <v>15.614706667853639</v>
      </c>
    </row>
    <row r="544" spans="1:22" x14ac:dyDescent="0.35">
      <c r="A544" s="4" t="s">
        <v>918</v>
      </c>
      <c r="B544" s="5">
        <v>45855</v>
      </c>
      <c r="C544" s="4" t="s">
        <v>919</v>
      </c>
      <c r="D544" s="4" t="s">
        <v>43</v>
      </c>
      <c r="E544" s="4" t="s">
        <v>21</v>
      </c>
      <c r="F544" s="4" t="s">
        <v>22</v>
      </c>
      <c r="G544" s="4" t="s">
        <v>38</v>
      </c>
      <c r="H544" s="4" t="s">
        <v>96</v>
      </c>
      <c r="I544" s="4">
        <v>2</v>
      </c>
      <c r="J544" s="6">
        <v>151.15</v>
      </c>
      <c r="K544" s="7">
        <v>0.05</v>
      </c>
      <c r="L544" s="6">
        <f t="shared" si="16"/>
        <v>287.185</v>
      </c>
      <c r="M544" s="6">
        <v>123.62</v>
      </c>
      <c r="N544" s="8">
        <f t="shared" si="17"/>
        <v>39.944999999999993</v>
      </c>
      <c r="O544" s="4" t="s">
        <v>25</v>
      </c>
      <c r="P544" s="4" t="s">
        <v>97</v>
      </c>
      <c r="Q544" s="4">
        <v>4</v>
      </c>
      <c r="R544" s="4" t="str">
        <f>TEXT(Table1[[#This Row],[Order Date]],"mmm")</f>
        <v>Jul</v>
      </c>
      <c r="S544" s="4" t="str">
        <f>TEXT(Table1[[#This Row],[Order Date]],"mm")</f>
        <v>07</v>
      </c>
      <c r="T544" s="4" t="str">
        <f>IF(Table1[[#This Row],[Sales]]&lt;0,"loss","profit")</f>
        <v>profit</v>
      </c>
      <c r="U544" s="4" t="str" cm="1">
        <f t="array" ref="U544">_xlfn.IFS(Table1[[#This Row],[Sales]]&gt;2000,"large",Table1[[#This Row],[Sales]]&gt;=500,"medium",Table1[[#This Row],[Sales]]&lt;500,"small")</f>
        <v>small</v>
      </c>
      <c r="V544" s="22">
        <f>Table1[[#This Row],[Profit]]/Table1[[#This Row],[Sales]]*100</f>
        <v>13.909152636802059</v>
      </c>
    </row>
    <row r="545" spans="1:22" x14ac:dyDescent="0.35">
      <c r="A545" s="4" t="s">
        <v>920</v>
      </c>
      <c r="B545" s="5">
        <v>45857</v>
      </c>
      <c r="C545" s="4" t="s">
        <v>609</v>
      </c>
      <c r="D545" s="4" t="s">
        <v>43</v>
      </c>
      <c r="E545" s="4" t="s">
        <v>29</v>
      </c>
      <c r="F545" s="4" t="s">
        <v>30</v>
      </c>
      <c r="G545" s="4" t="s">
        <v>31</v>
      </c>
      <c r="H545" s="4" t="s">
        <v>125</v>
      </c>
      <c r="I545" s="4">
        <v>3</v>
      </c>
      <c r="J545" s="6">
        <v>159.53</v>
      </c>
      <c r="K545" s="7">
        <v>0</v>
      </c>
      <c r="L545" s="6">
        <f t="shared" si="16"/>
        <v>478.59000000000003</v>
      </c>
      <c r="M545" s="6">
        <v>103.54</v>
      </c>
      <c r="N545" s="8">
        <f t="shared" si="17"/>
        <v>167.97000000000003</v>
      </c>
      <c r="O545" s="4" t="s">
        <v>60</v>
      </c>
      <c r="P545" s="4" t="s">
        <v>97</v>
      </c>
      <c r="Q545" s="4">
        <v>4</v>
      </c>
      <c r="R545" s="4" t="str">
        <f>TEXT(Table1[[#This Row],[Order Date]],"mmm")</f>
        <v>Jul</v>
      </c>
      <c r="S545" s="4" t="str">
        <f>TEXT(Table1[[#This Row],[Order Date]],"mm")</f>
        <v>07</v>
      </c>
      <c r="T545" s="4" t="str">
        <f>IF(Table1[[#This Row],[Sales]]&lt;0,"loss","profit")</f>
        <v>profit</v>
      </c>
      <c r="U545" s="4" t="str" cm="1">
        <f t="array" ref="U545">_xlfn.IFS(Table1[[#This Row],[Sales]]&gt;2000,"large",Table1[[#This Row],[Sales]]&gt;=500,"medium",Table1[[#This Row],[Sales]]&lt;500,"small")</f>
        <v>small</v>
      </c>
      <c r="V545" s="22">
        <f>Table1[[#This Row],[Profit]]/Table1[[#This Row],[Sales]]*100</f>
        <v>35.096846988027337</v>
      </c>
    </row>
    <row r="546" spans="1:22" x14ac:dyDescent="0.35">
      <c r="A546" s="4" t="s">
        <v>921</v>
      </c>
      <c r="B546" s="5">
        <v>45857</v>
      </c>
      <c r="C546" s="4" t="s">
        <v>375</v>
      </c>
      <c r="D546" s="4" t="s">
        <v>20</v>
      </c>
      <c r="E546" s="4" t="s">
        <v>29</v>
      </c>
      <c r="F546" s="4" t="s">
        <v>108</v>
      </c>
      <c r="G546" s="4" t="s">
        <v>49</v>
      </c>
      <c r="H546" s="4" t="s">
        <v>78</v>
      </c>
      <c r="I546" s="4">
        <v>1</v>
      </c>
      <c r="J546" s="6">
        <v>501.65</v>
      </c>
      <c r="K546" s="7">
        <v>0</v>
      </c>
      <c r="L546" s="6">
        <f t="shared" si="16"/>
        <v>501.65</v>
      </c>
      <c r="M546" s="6">
        <v>280.11</v>
      </c>
      <c r="N546" s="8">
        <f t="shared" si="17"/>
        <v>221.53999999999996</v>
      </c>
      <c r="O546" s="4" t="s">
        <v>60</v>
      </c>
      <c r="P546" s="4" t="s">
        <v>33</v>
      </c>
      <c r="Q546" s="4">
        <v>4</v>
      </c>
      <c r="R546" s="4" t="str">
        <f>TEXT(Table1[[#This Row],[Order Date]],"mmm")</f>
        <v>Jul</v>
      </c>
      <c r="S546" s="4" t="str">
        <f>TEXT(Table1[[#This Row],[Order Date]],"mm")</f>
        <v>07</v>
      </c>
      <c r="T546" s="4" t="str">
        <f>IF(Table1[[#This Row],[Sales]]&lt;0,"loss","profit")</f>
        <v>profit</v>
      </c>
      <c r="U546" s="4" t="str" cm="1">
        <f t="array" ref="U546">_xlfn.IFS(Table1[[#This Row],[Sales]]&gt;2000,"large",Table1[[#This Row],[Sales]]&gt;=500,"medium",Table1[[#This Row],[Sales]]&lt;500,"small")</f>
        <v>medium</v>
      </c>
      <c r="V546" s="22">
        <f>Table1[[#This Row],[Profit]]/Table1[[#This Row],[Sales]]*100</f>
        <v>44.162264527060699</v>
      </c>
    </row>
    <row r="547" spans="1:22" x14ac:dyDescent="0.35">
      <c r="A547" s="4" t="s">
        <v>922</v>
      </c>
      <c r="B547" s="5">
        <v>45857</v>
      </c>
      <c r="C547" s="4" t="s">
        <v>880</v>
      </c>
      <c r="D547" s="4" t="s">
        <v>47</v>
      </c>
      <c r="E547" s="4" t="s">
        <v>21</v>
      </c>
      <c r="F547" s="4" t="s">
        <v>59</v>
      </c>
      <c r="G547" s="4" t="s">
        <v>38</v>
      </c>
      <c r="H547" s="4" t="s">
        <v>39</v>
      </c>
      <c r="I547" s="4">
        <v>2</v>
      </c>
      <c r="J547" s="6">
        <v>111.51</v>
      </c>
      <c r="K547" s="7">
        <v>0.1</v>
      </c>
      <c r="L547" s="6">
        <f t="shared" si="16"/>
        <v>200.71800000000002</v>
      </c>
      <c r="M547" s="6">
        <v>84.38</v>
      </c>
      <c r="N547" s="8">
        <f t="shared" si="17"/>
        <v>31.958000000000027</v>
      </c>
      <c r="O547" s="4" t="s">
        <v>60</v>
      </c>
      <c r="P547" s="4" t="s">
        <v>61</v>
      </c>
      <c r="Q547" s="4">
        <v>5</v>
      </c>
      <c r="R547" s="4" t="str">
        <f>TEXT(Table1[[#This Row],[Order Date]],"mmm")</f>
        <v>Jul</v>
      </c>
      <c r="S547" s="4" t="str">
        <f>TEXT(Table1[[#This Row],[Order Date]],"mm")</f>
        <v>07</v>
      </c>
      <c r="T547" s="4" t="str">
        <f>IF(Table1[[#This Row],[Sales]]&lt;0,"loss","profit")</f>
        <v>profit</v>
      </c>
      <c r="U547" s="4" t="str" cm="1">
        <f t="array" ref="U547">_xlfn.IFS(Table1[[#This Row],[Sales]]&gt;2000,"large",Table1[[#This Row],[Sales]]&gt;=500,"medium",Table1[[#This Row],[Sales]]&lt;500,"small")</f>
        <v>small</v>
      </c>
      <c r="V547" s="22">
        <f>Table1[[#This Row],[Profit]]/Table1[[#This Row],[Sales]]*100</f>
        <v>15.92184059227375</v>
      </c>
    </row>
    <row r="548" spans="1:22" x14ac:dyDescent="0.35">
      <c r="A548" s="4" t="s">
        <v>923</v>
      </c>
      <c r="B548" s="5">
        <v>45857</v>
      </c>
      <c r="C548" s="4" t="s">
        <v>331</v>
      </c>
      <c r="D548" s="4" t="s">
        <v>20</v>
      </c>
      <c r="E548" s="4" t="s">
        <v>29</v>
      </c>
      <c r="F548" s="4" t="s">
        <v>54</v>
      </c>
      <c r="G548" s="4" t="s">
        <v>67</v>
      </c>
      <c r="H548" s="4" t="s">
        <v>93</v>
      </c>
      <c r="I548" s="4">
        <v>5</v>
      </c>
      <c r="J548" s="6">
        <v>237.74</v>
      </c>
      <c r="K548" s="7">
        <v>0.1</v>
      </c>
      <c r="L548" s="6">
        <f t="shared" si="16"/>
        <v>1069.8300000000002</v>
      </c>
      <c r="M548" s="6">
        <v>156.63999999999999</v>
      </c>
      <c r="N548" s="8">
        <f t="shared" si="17"/>
        <v>286.63000000000022</v>
      </c>
      <c r="O548" s="4" t="s">
        <v>60</v>
      </c>
      <c r="P548" s="4" t="s">
        <v>26</v>
      </c>
      <c r="Q548" s="4">
        <v>5</v>
      </c>
      <c r="R548" s="4" t="str">
        <f>TEXT(Table1[[#This Row],[Order Date]],"mmm")</f>
        <v>Jul</v>
      </c>
      <c r="S548" s="4" t="str">
        <f>TEXT(Table1[[#This Row],[Order Date]],"mm")</f>
        <v>07</v>
      </c>
      <c r="T548" s="4" t="str">
        <f>IF(Table1[[#This Row],[Sales]]&lt;0,"loss","profit")</f>
        <v>profit</v>
      </c>
      <c r="U548" s="4" t="str" cm="1">
        <f t="array" ref="U548">_xlfn.IFS(Table1[[#This Row],[Sales]]&gt;2000,"large",Table1[[#This Row],[Sales]]&gt;=500,"medium",Table1[[#This Row],[Sales]]&lt;500,"small")</f>
        <v>medium</v>
      </c>
      <c r="V548" s="22">
        <f>Table1[[#This Row],[Profit]]/Table1[[#This Row],[Sales]]*100</f>
        <v>26.792107157211909</v>
      </c>
    </row>
    <row r="549" spans="1:22" x14ac:dyDescent="0.35">
      <c r="A549" s="4" t="s">
        <v>924</v>
      </c>
      <c r="B549" s="5">
        <v>45859</v>
      </c>
      <c r="C549" s="4" t="s">
        <v>117</v>
      </c>
      <c r="D549" s="4" t="s">
        <v>20</v>
      </c>
      <c r="E549" s="4" t="s">
        <v>36</v>
      </c>
      <c r="F549" s="4" t="s">
        <v>201</v>
      </c>
      <c r="G549" s="4" t="s">
        <v>38</v>
      </c>
      <c r="H549" s="4" t="s">
        <v>96</v>
      </c>
      <c r="I549" s="4">
        <v>1</v>
      </c>
      <c r="J549" s="6">
        <v>249.28</v>
      </c>
      <c r="K549" s="7">
        <v>0</v>
      </c>
      <c r="L549" s="6">
        <f t="shared" si="16"/>
        <v>249.28</v>
      </c>
      <c r="M549" s="6">
        <v>223.45</v>
      </c>
      <c r="N549" s="8">
        <f t="shared" si="17"/>
        <v>25.830000000000013</v>
      </c>
      <c r="O549" s="4" t="s">
        <v>84</v>
      </c>
      <c r="P549" s="4" t="s">
        <v>33</v>
      </c>
      <c r="Q549" s="4">
        <v>3</v>
      </c>
      <c r="R549" s="4" t="str">
        <f>TEXT(Table1[[#This Row],[Order Date]],"mmm")</f>
        <v>Jul</v>
      </c>
      <c r="S549" s="4" t="str">
        <f>TEXT(Table1[[#This Row],[Order Date]],"mm")</f>
        <v>07</v>
      </c>
      <c r="T549" s="4" t="str">
        <f>IF(Table1[[#This Row],[Sales]]&lt;0,"loss","profit")</f>
        <v>profit</v>
      </c>
      <c r="U549" s="4" t="str" cm="1">
        <f t="array" ref="U549">_xlfn.IFS(Table1[[#This Row],[Sales]]&gt;2000,"large",Table1[[#This Row],[Sales]]&gt;=500,"medium",Table1[[#This Row],[Sales]]&lt;500,"small")</f>
        <v>small</v>
      </c>
      <c r="V549" s="22">
        <f>Table1[[#This Row],[Profit]]/Table1[[#This Row],[Sales]]*100</f>
        <v>10.361842105263163</v>
      </c>
    </row>
    <row r="550" spans="1:22" x14ac:dyDescent="0.35">
      <c r="A550" s="4" t="s">
        <v>925</v>
      </c>
      <c r="B550" s="5">
        <v>45860</v>
      </c>
      <c r="C550" s="4" t="s">
        <v>463</v>
      </c>
      <c r="D550" s="4" t="s">
        <v>20</v>
      </c>
      <c r="E550" s="4" t="s">
        <v>87</v>
      </c>
      <c r="F550" s="4" t="s">
        <v>88</v>
      </c>
      <c r="G550" s="4" t="s">
        <v>67</v>
      </c>
      <c r="H550" s="4" t="s">
        <v>121</v>
      </c>
      <c r="I550" s="4">
        <v>3</v>
      </c>
      <c r="J550" s="6">
        <v>137.06</v>
      </c>
      <c r="K550" s="7">
        <v>0</v>
      </c>
      <c r="L550" s="6">
        <f t="shared" si="16"/>
        <v>411.18</v>
      </c>
      <c r="M550" s="6">
        <v>83.55</v>
      </c>
      <c r="N550" s="8">
        <f t="shared" si="17"/>
        <v>160.53000000000003</v>
      </c>
      <c r="O550" s="4" t="s">
        <v>60</v>
      </c>
      <c r="P550" s="4" t="s">
        <v>33</v>
      </c>
      <c r="Q550" s="4">
        <v>4</v>
      </c>
      <c r="R550" s="4" t="str">
        <f>TEXT(Table1[[#This Row],[Order Date]],"mmm")</f>
        <v>Jul</v>
      </c>
      <c r="S550" s="4" t="str">
        <f>TEXT(Table1[[#This Row],[Order Date]],"mm")</f>
        <v>07</v>
      </c>
      <c r="T550" s="4" t="str">
        <f>IF(Table1[[#This Row],[Sales]]&lt;0,"loss","profit")</f>
        <v>profit</v>
      </c>
      <c r="U550" s="4" t="str" cm="1">
        <f t="array" ref="U550">_xlfn.IFS(Table1[[#This Row],[Sales]]&gt;2000,"large",Table1[[#This Row],[Sales]]&gt;=500,"medium",Table1[[#This Row],[Sales]]&lt;500,"small")</f>
        <v>small</v>
      </c>
      <c r="V550" s="22">
        <f>Table1[[#This Row],[Profit]]/Table1[[#This Row],[Sales]]*100</f>
        <v>39.041295782868822</v>
      </c>
    </row>
    <row r="551" spans="1:22" x14ac:dyDescent="0.35">
      <c r="A551" s="4" t="s">
        <v>926</v>
      </c>
      <c r="B551" s="5">
        <v>45860</v>
      </c>
      <c r="C551" s="4" t="s">
        <v>66</v>
      </c>
      <c r="D551" s="4" t="s">
        <v>47</v>
      </c>
      <c r="E551" s="4" t="s">
        <v>21</v>
      </c>
      <c r="F551" s="4" t="s">
        <v>22</v>
      </c>
      <c r="G551" s="4" t="s">
        <v>67</v>
      </c>
      <c r="H551" s="4" t="s">
        <v>68</v>
      </c>
      <c r="I551" s="4">
        <v>1</v>
      </c>
      <c r="J551" s="6">
        <v>1103.71</v>
      </c>
      <c r="K551" s="7">
        <v>0.1</v>
      </c>
      <c r="L551" s="6">
        <f t="shared" si="16"/>
        <v>993.33900000000006</v>
      </c>
      <c r="M551" s="6">
        <v>826.03</v>
      </c>
      <c r="N551" s="8">
        <f t="shared" si="17"/>
        <v>167.30900000000008</v>
      </c>
      <c r="O551" s="4" t="s">
        <v>40</v>
      </c>
      <c r="P551" s="4" t="s">
        <v>97</v>
      </c>
      <c r="Q551" s="4">
        <v>5</v>
      </c>
      <c r="R551" s="4" t="str">
        <f>TEXT(Table1[[#This Row],[Order Date]],"mmm")</f>
        <v>Jul</v>
      </c>
      <c r="S551" s="4" t="str">
        <f>TEXT(Table1[[#This Row],[Order Date]],"mm")</f>
        <v>07</v>
      </c>
      <c r="T551" s="4" t="str">
        <f>IF(Table1[[#This Row],[Sales]]&lt;0,"loss","profit")</f>
        <v>profit</v>
      </c>
      <c r="U551" s="4" t="str" cm="1">
        <f t="array" ref="U551">_xlfn.IFS(Table1[[#This Row],[Sales]]&gt;2000,"large",Table1[[#This Row],[Sales]]&gt;=500,"medium",Table1[[#This Row],[Sales]]&lt;500,"small")</f>
        <v>medium</v>
      </c>
      <c r="V551" s="22">
        <f>Table1[[#This Row],[Profit]]/Table1[[#This Row],[Sales]]*100</f>
        <v>16.843091834711018</v>
      </c>
    </row>
    <row r="552" spans="1:22" x14ac:dyDescent="0.35">
      <c r="A552" s="4" t="s">
        <v>927</v>
      </c>
      <c r="B552" s="5">
        <v>45861</v>
      </c>
      <c r="C552" s="4" t="s">
        <v>928</v>
      </c>
      <c r="D552" s="4" t="s">
        <v>43</v>
      </c>
      <c r="E552" s="4" t="s">
        <v>29</v>
      </c>
      <c r="F552" s="4" t="s">
        <v>54</v>
      </c>
      <c r="G552" s="4" t="s">
        <v>67</v>
      </c>
      <c r="H552" s="4" t="s">
        <v>140</v>
      </c>
      <c r="I552" s="4">
        <v>2</v>
      </c>
      <c r="J552" s="6">
        <v>148.32</v>
      </c>
      <c r="K552" s="7">
        <v>0</v>
      </c>
      <c r="L552" s="6">
        <f t="shared" si="16"/>
        <v>296.64</v>
      </c>
      <c r="M552" s="6">
        <v>106.58</v>
      </c>
      <c r="N552" s="8">
        <f t="shared" si="17"/>
        <v>83.47999999999999</v>
      </c>
      <c r="O552" s="4" t="s">
        <v>51</v>
      </c>
      <c r="P552" s="4" t="s">
        <v>56</v>
      </c>
      <c r="Q552" s="4">
        <v>3</v>
      </c>
      <c r="R552" s="4" t="str">
        <f>TEXT(Table1[[#This Row],[Order Date]],"mmm")</f>
        <v>Jul</v>
      </c>
      <c r="S552" s="4" t="str">
        <f>TEXT(Table1[[#This Row],[Order Date]],"mm")</f>
        <v>07</v>
      </c>
      <c r="T552" s="4" t="str">
        <f>IF(Table1[[#This Row],[Sales]]&lt;0,"loss","profit")</f>
        <v>profit</v>
      </c>
      <c r="U552" s="4" t="str" cm="1">
        <f t="array" ref="U552">_xlfn.IFS(Table1[[#This Row],[Sales]]&gt;2000,"large",Table1[[#This Row],[Sales]]&gt;=500,"medium",Table1[[#This Row],[Sales]]&lt;500,"small")</f>
        <v>small</v>
      </c>
      <c r="V552" s="22">
        <f>Table1[[#This Row],[Profit]]/Table1[[#This Row],[Sales]]*100</f>
        <v>28.141855447680687</v>
      </c>
    </row>
    <row r="553" spans="1:22" x14ac:dyDescent="0.35">
      <c r="A553" s="4" t="s">
        <v>929</v>
      </c>
      <c r="B553" s="5">
        <v>45862</v>
      </c>
      <c r="C553" s="4" t="s">
        <v>650</v>
      </c>
      <c r="D553" s="4" t="s">
        <v>43</v>
      </c>
      <c r="E553" s="4" t="s">
        <v>21</v>
      </c>
      <c r="F553" s="4" t="s">
        <v>59</v>
      </c>
      <c r="G553" s="4" t="s">
        <v>23</v>
      </c>
      <c r="H553" s="4" t="s">
        <v>24</v>
      </c>
      <c r="I553" s="4">
        <v>2</v>
      </c>
      <c r="J553" s="6">
        <v>44.8</v>
      </c>
      <c r="K553" s="7">
        <v>0.1</v>
      </c>
      <c r="L553" s="6">
        <f t="shared" si="16"/>
        <v>80.64</v>
      </c>
      <c r="M553" s="6">
        <v>24.56</v>
      </c>
      <c r="N553" s="8">
        <f t="shared" si="17"/>
        <v>31.520000000000003</v>
      </c>
      <c r="O553" s="4" t="s">
        <v>51</v>
      </c>
      <c r="P553" s="4" t="s">
        <v>61</v>
      </c>
      <c r="Q553" s="4">
        <v>5</v>
      </c>
      <c r="R553" s="4" t="str">
        <f>TEXT(Table1[[#This Row],[Order Date]],"mmm")</f>
        <v>Jul</v>
      </c>
      <c r="S553" s="4" t="str">
        <f>TEXT(Table1[[#This Row],[Order Date]],"mm")</f>
        <v>07</v>
      </c>
      <c r="T553" s="4" t="str">
        <f>IF(Table1[[#This Row],[Sales]]&lt;0,"loss","profit")</f>
        <v>profit</v>
      </c>
      <c r="U553" s="4" t="str" cm="1">
        <f t="array" ref="U553">_xlfn.IFS(Table1[[#This Row],[Sales]]&gt;2000,"large",Table1[[#This Row],[Sales]]&gt;=500,"medium",Table1[[#This Row],[Sales]]&lt;500,"small")</f>
        <v>small</v>
      </c>
      <c r="V553" s="22">
        <f>Table1[[#This Row],[Profit]]/Table1[[#This Row],[Sales]]*100</f>
        <v>39.087301587301596</v>
      </c>
    </row>
    <row r="554" spans="1:22" x14ac:dyDescent="0.35">
      <c r="A554" s="4" t="s">
        <v>930</v>
      </c>
      <c r="B554" s="5">
        <v>45862</v>
      </c>
      <c r="C554" s="4" t="s">
        <v>111</v>
      </c>
      <c r="D554" s="4" t="s">
        <v>43</v>
      </c>
      <c r="E554" s="4" t="s">
        <v>21</v>
      </c>
      <c r="F554" s="4" t="s">
        <v>22</v>
      </c>
      <c r="G554" s="4" t="s">
        <v>23</v>
      </c>
      <c r="H554" s="4" t="s">
        <v>44</v>
      </c>
      <c r="I554" s="4">
        <v>5</v>
      </c>
      <c r="J554" s="6">
        <v>155.36000000000001</v>
      </c>
      <c r="K554" s="7">
        <v>0.2</v>
      </c>
      <c r="L554" s="6">
        <f t="shared" si="16"/>
        <v>621.44000000000005</v>
      </c>
      <c r="M554" s="6">
        <v>79.42</v>
      </c>
      <c r="N554" s="8">
        <f t="shared" si="17"/>
        <v>224.34000000000003</v>
      </c>
      <c r="O554" s="4" t="s">
        <v>84</v>
      </c>
      <c r="P554" s="4" t="s">
        <v>75</v>
      </c>
      <c r="Q554" s="4">
        <v>2</v>
      </c>
      <c r="R554" s="4" t="str">
        <f>TEXT(Table1[[#This Row],[Order Date]],"mmm")</f>
        <v>Jul</v>
      </c>
      <c r="S554" s="4" t="str">
        <f>TEXT(Table1[[#This Row],[Order Date]],"mm")</f>
        <v>07</v>
      </c>
      <c r="T554" s="4" t="str">
        <f>IF(Table1[[#This Row],[Sales]]&lt;0,"loss","profit")</f>
        <v>profit</v>
      </c>
      <c r="U554" s="4" t="str" cm="1">
        <f t="array" ref="U554">_xlfn.IFS(Table1[[#This Row],[Sales]]&gt;2000,"large",Table1[[#This Row],[Sales]]&gt;=500,"medium",Table1[[#This Row],[Sales]]&lt;500,"small")</f>
        <v>medium</v>
      </c>
      <c r="V554" s="22">
        <f>Table1[[#This Row],[Profit]]/Table1[[#This Row],[Sales]]*100</f>
        <v>36.100025746652939</v>
      </c>
    </row>
    <row r="555" spans="1:22" x14ac:dyDescent="0.35">
      <c r="A555" s="4" t="s">
        <v>931</v>
      </c>
      <c r="B555" s="5">
        <v>45862</v>
      </c>
      <c r="C555" s="4" t="s">
        <v>335</v>
      </c>
      <c r="D555" s="4" t="s">
        <v>43</v>
      </c>
      <c r="E555" s="4" t="s">
        <v>29</v>
      </c>
      <c r="F555" s="4" t="s">
        <v>30</v>
      </c>
      <c r="G555" s="4" t="s">
        <v>49</v>
      </c>
      <c r="H555" s="4" t="s">
        <v>78</v>
      </c>
      <c r="I555" s="4">
        <v>5</v>
      </c>
      <c r="J555" s="6">
        <v>538.61</v>
      </c>
      <c r="K555" s="7">
        <v>0</v>
      </c>
      <c r="L555" s="6">
        <f t="shared" si="16"/>
        <v>2693.05</v>
      </c>
      <c r="M555" s="6">
        <v>313.52999999999997</v>
      </c>
      <c r="N555" s="8">
        <f t="shared" si="17"/>
        <v>1125.4000000000003</v>
      </c>
      <c r="O555" s="4" t="s">
        <v>60</v>
      </c>
      <c r="P555" s="4" t="s">
        <v>61</v>
      </c>
      <c r="Q555" s="4">
        <v>5</v>
      </c>
      <c r="R555" s="4" t="str">
        <f>TEXT(Table1[[#This Row],[Order Date]],"mmm")</f>
        <v>Jul</v>
      </c>
      <c r="S555" s="4" t="str">
        <f>TEXT(Table1[[#This Row],[Order Date]],"mm")</f>
        <v>07</v>
      </c>
      <c r="T555" s="4" t="str">
        <f>IF(Table1[[#This Row],[Sales]]&lt;0,"loss","profit")</f>
        <v>profit</v>
      </c>
      <c r="U555" s="4" t="str" cm="1">
        <f t="array" ref="U555">_xlfn.IFS(Table1[[#This Row],[Sales]]&gt;2000,"large",Table1[[#This Row],[Sales]]&gt;=500,"medium",Table1[[#This Row],[Sales]]&lt;500,"small")</f>
        <v>large</v>
      </c>
      <c r="V555" s="22">
        <f>Table1[[#This Row],[Profit]]/Table1[[#This Row],[Sales]]*100</f>
        <v>41.789049590612883</v>
      </c>
    </row>
    <row r="556" spans="1:22" x14ac:dyDescent="0.35">
      <c r="A556" s="4" t="s">
        <v>932</v>
      </c>
      <c r="B556" s="5">
        <v>45862</v>
      </c>
      <c r="C556" s="4" t="s">
        <v>28</v>
      </c>
      <c r="D556" s="4" t="s">
        <v>47</v>
      </c>
      <c r="E556" s="4" t="s">
        <v>87</v>
      </c>
      <c r="F556" s="4" t="s">
        <v>124</v>
      </c>
      <c r="G556" s="4" t="s">
        <v>23</v>
      </c>
      <c r="H556" s="4" t="s">
        <v>71</v>
      </c>
      <c r="I556" s="4">
        <v>3</v>
      </c>
      <c r="J556" s="6">
        <v>60.7</v>
      </c>
      <c r="K556" s="7">
        <v>0</v>
      </c>
      <c r="L556" s="6">
        <f t="shared" si="16"/>
        <v>182.10000000000002</v>
      </c>
      <c r="M556" s="6">
        <v>28.86</v>
      </c>
      <c r="N556" s="8">
        <f t="shared" si="17"/>
        <v>95.520000000000024</v>
      </c>
      <c r="O556" s="4" t="s">
        <v>51</v>
      </c>
      <c r="P556" s="4" t="s">
        <v>118</v>
      </c>
      <c r="Q556" s="4">
        <v>5</v>
      </c>
      <c r="R556" s="4" t="str">
        <f>TEXT(Table1[[#This Row],[Order Date]],"mmm")</f>
        <v>Jul</v>
      </c>
      <c r="S556" s="4" t="str">
        <f>TEXT(Table1[[#This Row],[Order Date]],"mm")</f>
        <v>07</v>
      </c>
      <c r="T556" s="4" t="str">
        <f>IF(Table1[[#This Row],[Sales]]&lt;0,"loss","profit")</f>
        <v>profit</v>
      </c>
      <c r="U556" s="4" t="str" cm="1">
        <f t="array" ref="U556">_xlfn.IFS(Table1[[#This Row],[Sales]]&gt;2000,"large",Table1[[#This Row],[Sales]]&gt;=500,"medium",Table1[[#This Row],[Sales]]&lt;500,"small")</f>
        <v>small</v>
      </c>
      <c r="V556" s="22">
        <f>Table1[[#This Row],[Profit]]/Table1[[#This Row],[Sales]]*100</f>
        <v>52.454695222405277</v>
      </c>
    </row>
    <row r="557" spans="1:22" x14ac:dyDescent="0.35">
      <c r="A557" s="4" t="s">
        <v>933</v>
      </c>
      <c r="B557" s="5">
        <v>45862</v>
      </c>
      <c r="C557" s="4" t="s">
        <v>694</v>
      </c>
      <c r="D557" s="4" t="s">
        <v>43</v>
      </c>
      <c r="E557" s="4" t="s">
        <v>36</v>
      </c>
      <c r="F557" s="4" t="s">
        <v>48</v>
      </c>
      <c r="G557" s="4" t="s">
        <v>49</v>
      </c>
      <c r="H557" s="4" t="s">
        <v>78</v>
      </c>
      <c r="I557" s="4">
        <v>3</v>
      </c>
      <c r="J557" s="6">
        <v>786.77</v>
      </c>
      <c r="K557" s="7">
        <v>0</v>
      </c>
      <c r="L557" s="6">
        <f t="shared" si="16"/>
        <v>2360.31</v>
      </c>
      <c r="M557" s="6">
        <v>478.71</v>
      </c>
      <c r="N557" s="8">
        <f t="shared" si="17"/>
        <v>924.18000000000006</v>
      </c>
      <c r="O557" s="4" t="s">
        <v>51</v>
      </c>
      <c r="P557" s="4" t="s">
        <v>118</v>
      </c>
      <c r="Q557" s="4">
        <v>1</v>
      </c>
      <c r="R557" s="4" t="str">
        <f>TEXT(Table1[[#This Row],[Order Date]],"mmm")</f>
        <v>Jul</v>
      </c>
      <c r="S557" s="4" t="str">
        <f>TEXT(Table1[[#This Row],[Order Date]],"mm")</f>
        <v>07</v>
      </c>
      <c r="T557" s="4" t="str">
        <f>IF(Table1[[#This Row],[Sales]]&lt;0,"loss","profit")</f>
        <v>profit</v>
      </c>
      <c r="U557" s="4" t="str" cm="1">
        <f t="array" ref="U557">_xlfn.IFS(Table1[[#This Row],[Sales]]&gt;2000,"large",Table1[[#This Row],[Sales]]&gt;=500,"medium",Table1[[#This Row],[Sales]]&lt;500,"small")</f>
        <v>large</v>
      </c>
      <c r="V557" s="22">
        <f>Table1[[#This Row],[Profit]]/Table1[[#This Row],[Sales]]*100</f>
        <v>39.155026246552367</v>
      </c>
    </row>
    <row r="558" spans="1:22" x14ac:dyDescent="0.35">
      <c r="A558" s="4" t="s">
        <v>934</v>
      </c>
      <c r="B558" s="5">
        <v>45863</v>
      </c>
      <c r="C558" s="4" t="s">
        <v>450</v>
      </c>
      <c r="D558" s="4" t="s">
        <v>20</v>
      </c>
      <c r="E558" s="4" t="s">
        <v>21</v>
      </c>
      <c r="F558" s="4" t="s">
        <v>59</v>
      </c>
      <c r="G558" s="4" t="s">
        <v>31</v>
      </c>
      <c r="H558" s="4" t="s">
        <v>147</v>
      </c>
      <c r="I558" s="4">
        <v>1</v>
      </c>
      <c r="J558" s="6">
        <v>82.83</v>
      </c>
      <c r="K558" s="7">
        <v>0.05</v>
      </c>
      <c r="L558" s="6">
        <f t="shared" si="16"/>
        <v>78.688499999999991</v>
      </c>
      <c r="M558" s="6">
        <v>62.05</v>
      </c>
      <c r="N558" s="8">
        <f t="shared" si="17"/>
        <v>16.638499999999993</v>
      </c>
      <c r="O558" s="4" t="s">
        <v>40</v>
      </c>
      <c r="P558" s="4" t="s">
        <v>97</v>
      </c>
      <c r="Q558" s="4">
        <v>4</v>
      </c>
      <c r="R558" s="4" t="str">
        <f>TEXT(Table1[[#This Row],[Order Date]],"mmm")</f>
        <v>Jul</v>
      </c>
      <c r="S558" s="4" t="str">
        <f>TEXT(Table1[[#This Row],[Order Date]],"mm")</f>
        <v>07</v>
      </c>
      <c r="T558" s="4" t="str">
        <f>IF(Table1[[#This Row],[Sales]]&lt;0,"loss","profit")</f>
        <v>profit</v>
      </c>
      <c r="U558" s="4" t="str" cm="1">
        <f t="array" ref="U558">_xlfn.IFS(Table1[[#This Row],[Sales]]&gt;2000,"large",Table1[[#This Row],[Sales]]&gt;=500,"medium",Table1[[#This Row],[Sales]]&lt;500,"small")</f>
        <v>small</v>
      </c>
      <c r="V558" s="22">
        <f>Table1[[#This Row],[Profit]]/Table1[[#This Row],[Sales]]*100</f>
        <v>21.144767024406356</v>
      </c>
    </row>
    <row r="559" spans="1:22" x14ac:dyDescent="0.35">
      <c r="A559" s="4" t="s">
        <v>935</v>
      </c>
      <c r="B559" s="5">
        <v>45863</v>
      </c>
      <c r="C559" s="4" t="s">
        <v>795</v>
      </c>
      <c r="D559" s="4" t="s">
        <v>20</v>
      </c>
      <c r="E559" s="4" t="s">
        <v>29</v>
      </c>
      <c r="F559" s="4" t="s">
        <v>108</v>
      </c>
      <c r="G559" s="4" t="s">
        <v>31</v>
      </c>
      <c r="H559" s="4" t="s">
        <v>147</v>
      </c>
      <c r="I559" s="4">
        <v>1</v>
      </c>
      <c r="J559" s="6">
        <v>76.17</v>
      </c>
      <c r="K559" s="7">
        <v>0.2</v>
      </c>
      <c r="L559" s="6">
        <f t="shared" si="16"/>
        <v>60.936000000000007</v>
      </c>
      <c r="M559" s="6">
        <v>43.53</v>
      </c>
      <c r="N559" s="8">
        <f t="shared" si="17"/>
        <v>17.406000000000006</v>
      </c>
      <c r="O559" s="4" t="s">
        <v>25</v>
      </c>
      <c r="P559" s="4" t="s">
        <v>97</v>
      </c>
      <c r="Q559" s="4">
        <v>3</v>
      </c>
      <c r="R559" s="4" t="str">
        <f>TEXT(Table1[[#This Row],[Order Date]],"mmm")</f>
        <v>Jul</v>
      </c>
      <c r="S559" s="4" t="str">
        <f>TEXT(Table1[[#This Row],[Order Date]],"mm")</f>
        <v>07</v>
      </c>
      <c r="T559" s="4" t="str">
        <f>IF(Table1[[#This Row],[Sales]]&lt;0,"loss","profit")</f>
        <v>profit</v>
      </c>
      <c r="U559" s="4" t="str" cm="1">
        <f t="array" ref="U559">_xlfn.IFS(Table1[[#This Row],[Sales]]&gt;2000,"large",Table1[[#This Row],[Sales]]&gt;=500,"medium",Table1[[#This Row],[Sales]]&lt;500,"small")</f>
        <v>small</v>
      </c>
      <c r="V559" s="22">
        <f>Table1[[#This Row],[Profit]]/Table1[[#This Row],[Sales]]*100</f>
        <v>28.56439543127216</v>
      </c>
    </row>
    <row r="560" spans="1:22" x14ac:dyDescent="0.35">
      <c r="A560" s="4" t="s">
        <v>936</v>
      </c>
      <c r="B560" s="5">
        <v>45863</v>
      </c>
      <c r="C560" s="4" t="s">
        <v>488</v>
      </c>
      <c r="D560" s="4" t="s">
        <v>43</v>
      </c>
      <c r="E560" s="4" t="s">
        <v>87</v>
      </c>
      <c r="F560" s="4" t="s">
        <v>92</v>
      </c>
      <c r="G560" s="4" t="s">
        <v>31</v>
      </c>
      <c r="H560" s="4" t="s">
        <v>147</v>
      </c>
      <c r="I560" s="4">
        <v>1</v>
      </c>
      <c r="J560" s="6">
        <v>36.85</v>
      </c>
      <c r="K560" s="7">
        <v>0.1</v>
      </c>
      <c r="L560" s="6">
        <f t="shared" si="16"/>
        <v>33.164999999999999</v>
      </c>
      <c r="M560" s="6">
        <v>24.91</v>
      </c>
      <c r="N560" s="8">
        <f t="shared" si="17"/>
        <v>8.254999999999999</v>
      </c>
      <c r="O560" s="4" t="s">
        <v>25</v>
      </c>
      <c r="P560" s="4" t="s">
        <v>72</v>
      </c>
      <c r="Q560" s="4">
        <v>2</v>
      </c>
      <c r="R560" s="4" t="str">
        <f>TEXT(Table1[[#This Row],[Order Date]],"mmm")</f>
        <v>Jul</v>
      </c>
      <c r="S560" s="4" t="str">
        <f>TEXT(Table1[[#This Row],[Order Date]],"mm")</f>
        <v>07</v>
      </c>
      <c r="T560" s="4" t="str">
        <f>IF(Table1[[#This Row],[Sales]]&lt;0,"loss","profit")</f>
        <v>profit</v>
      </c>
      <c r="U560" s="4" t="str" cm="1">
        <f t="array" ref="U560">_xlfn.IFS(Table1[[#This Row],[Sales]]&gt;2000,"large",Table1[[#This Row],[Sales]]&gt;=500,"medium",Table1[[#This Row],[Sales]]&lt;500,"small")</f>
        <v>small</v>
      </c>
      <c r="V560" s="22">
        <f>Table1[[#This Row],[Profit]]/Table1[[#This Row],[Sales]]*100</f>
        <v>24.890698025026381</v>
      </c>
    </row>
    <row r="561" spans="1:22" x14ac:dyDescent="0.35">
      <c r="A561" s="4" t="s">
        <v>937</v>
      </c>
      <c r="B561" s="5">
        <v>45864</v>
      </c>
      <c r="C561" s="4" t="s">
        <v>211</v>
      </c>
      <c r="D561" s="4" t="s">
        <v>20</v>
      </c>
      <c r="E561" s="4" t="s">
        <v>29</v>
      </c>
      <c r="F561" s="4" t="s">
        <v>30</v>
      </c>
      <c r="G561" s="4" t="s">
        <v>23</v>
      </c>
      <c r="H561" s="4" t="s">
        <v>71</v>
      </c>
      <c r="I561" s="4">
        <v>1</v>
      </c>
      <c r="J561" s="6">
        <v>186.47</v>
      </c>
      <c r="K561" s="7">
        <v>0.05</v>
      </c>
      <c r="L561" s="6">
        <f t="shared" si="16"/>
        <v>177.1465</v>
      </c>
      <c r="M561" s="6">
        <v>110.9</v>
      </c>
      <c r="N561" s="8">
        <f t="shared" si="17"/>
        <v>66.246499999999997</v>
      </c>
      <c r="O561" s="4" t="s">
        <v>51</v>
      </c>
      <c r="P561" s="4" t="s">
        <v>72</v>
      </c>
      <c r="Q561" s="4">
        <v>1</v>
      </c>
      <c r="R561" s="4" t="str">
        <f>TEXT(Table1[[#This Row],[Order Date]],"mmm")</f>
        <v>Jul</v>
      </c>
      <c r="S561" s="4" t="str">
        <f>TEXT(Table1[[#This Row],[Order Date]],"mm")</f>
        <v>07</v>
      </c>
      <c r="T561" s="4" t="str">
        <f>IF(Table1[[#This Row],[Sales]]&lt;0,"loss","profit")</f>
        <v>profit</v>
      </c>
      <c r="U561" s="4" t="str" cm="1">
        <f t="array" ref="U561">_xlfn.IFS(Table1[[#This Row],[Sales]]&gt;2000,"large",Table1[[#This Row],[Sales]]&gt;=500,"medium",Table1[[#This Row],[Sales]]&lt;500,"small")</f>
        <v>small</v>
      </c>
      <c r="V561" s="22">
        <f>Table1[[#This Row],[Profit]]/Table1[[#This Row],[Sales]]*100</f>
        <v>37.396448702062976</v>
      </c>
    </row>
    <row r="562" spans="1:22" x14ac:dyDescent="0.35">
      <c r="A562" s="4" t="s">
        <v>938</v>
      </c>
      <c r="B562" s="5">
        <v>45864</v>
      </c>
      <c r="C562" s="4" t="s">
        <v>919</v>
      </c>
      <c r="D562" s="4" t="s">
        <v>20</v>
      </c>
      <c r="E562" s="4" t="s">
        <v>29</v>
      </c>
      <c r="F562" s="4" t="s">
        <v>54</v>
      </c>
      <c r="G562" s="4" t="s">
        <v>49</v>
      </c>
      <c r="H562" s="4" t="s">
        <v>187</v>
      </c>
      <c r="I562" s="4">
        <v>3</v>
      </c>
      <c r="J562" s="6">
        <v>46.64</v>
      </c>
      <c r="K562" s="7">
        <v>0.1</v>
      </c>
      <c r="L562" s="6">
        <f t="shared" si="16"/>
        <v>125.92800000000001</v>
      </c>
      <c r="M562" s="6">
        <v>32.39</v>
      </c>
      <c r="N562" s="8">
        <f t="shared" si="17"/>
        <v>28.75800000000001</v>
      </c>
      <c r="O562" s="4" t="s">
        <v>51</v>
      </c>
      <c r="P562" s="4" t="s">
        <v>61</v>
      </c>
      <c r="Q562" s="4">
        <v>2</v>
      </c>
      <c r="R562" s="4" t="str">
        <f>TEXT(Table1[[#This Row],[Order Date]],"mmm")</f>
        <v>Jul</v>
      </c>
      <c r="S562" s="4" t="str">
        <f>TEXT(Table1[[#This Row],[Order Date]],"mm")</f>
        <v>07</v>
      </c>
      <c r="T562" s="4" t="str">
        <f>IF(Table1[[#This Row],[Sales]]&lt;0,"loss","profit")</f>
        <v>profit</v>
      </c>
      <c r="U562" s="4" t="str" cm="1">
        <f t="array" ref="U562">_xlfn.IFS(Table1[[#This Row],[Sales]]&gt;2000,"large",Table1[[#This Row],[Sales]]&gt;=500,"medium",Table1[[#This Row],[Sales]]&lt;500,"small")</f>
        <v>small</v>
      </c>
      <c r="V562" s="22">
        <f>Table1[[#This Row],[Profit]]/Table1[[#This Row],[Sales]]*100</f>
        <v>22.83685915761388</v>
      </c>
    </row>
    <row r="563" spans="1:22" x14ac:dyDescent="0.35">
      <c r="A563" s="4" t="s">
        <v>939</v>
      </c>
      <c r="B563" s="5">
        <v>45864</v>
      </c>
      <c r="C563" s="4" t="s">
        <v>101</v>
      </c>
      <c r="D563" s="4" t="s">
        <v>47</v>
      </c>
      <c r="E563" s="4" t="s">
        <v>87</v>
      </c>
      <c r="F563" s="4" t="s">
        <v>124</v>
      </c>
      <c r="G563" s="4" t="s">
        <v>38</v>
      </c>
      <c r="H563" s="4" t="s">
        <v>89</v>
      </c>
      <c r="I563" s="4">
        <v>4</v>
      </c>
      <c r="J563" s="6">
        <v>745.57</v>
      </c>
      <c r="K563" s="7">
        <v>0</v>
      </c>
      <c r="L563" s="6">
        <f t="shared" si="16"/>
        <v>2982.28</v>
      </c>
      <c r="M563" s="6">
        <v>566.61</v>
      </c>
      <c r="N563" s="8">
        <f t="shared" si="17"/>
        <v>715.84000000000015</v>
      </c>
      <c r="O563" s="4" t="s">
        <v>51</v>
      </c>
      <c r="P563" s="4" t="s">
        <v>33</v>
      </c>
      <c r="Q563" s="4">
        <v>4</v>
      </c>
      <c r="R563" s="4" t="str">
        <f>TEXT(Table1[[#This Row],[Order Date]],"mmm")</f>
        <v>Jul</v>
      </c>
      <c r="S563" s="4" t="str">
        <f>TEXT(Table1[[#This Row],[Order Date]],"mm")</f>
        <v>07</v>
      </c>
      <c r="T563" s="4" t="str">
        <f>IF(Table1[[#This Row],[Sales]]&lt;0,"loss","profit")</f>
        <v>profit</v>
      </c>
      <c r="U563" s="4" t="str" cm="1">
        <f t="array" ref="U563">_xlfn.IFS(Table1[[#This Row],[Sales]]&gt;2000,"large",Table1[[#This Row],[Sales]]&gt;=500,"medium",Table1[[#This Row],[Sales]]&lt;500,"small")</f>
        <v>large</v>
      </c>
      <c r="V563" s="22">
        <f>Table1[[#This Row],[Profit]]/Table1[[#This Row],[Sales]]*100</f>
        <v>24.003111713185888</v>
      </c>
    </row>
    <row r="564" spans="1:22" x14ac:dyDescent="0.35">
      <c r="A564" s="4" t="s">
        <v>940</v>
      </c>
      <c r="B564" s="5">
        <v>45865</v>
      </c>
      <c r="C564" s="4" t="s">
        <v>99</v>
      </c>
      <c r="D564" s="4" t="s">
        <v>47</v>
      </c>
      <c r="E564" s="4" t="s">
        <v>21</v>
      </c>
      <c r="F564" s="4" t="s">
        <v>81</v>
      </c>
      <c r="G564" s="4" t="s">
        <v>49</v>
      </c>
      <c r="H564" s="4" t="s">
        <v>50</v>
      </c>
      <c r="I564" s="4">
        <v>2</v>
      </c>
      <c r="J564" s="6">
        <v>47.64</v>
      </c>
      <c r="K564" s="7">
        <v>0.2</v>
      </c>
      <c r="L564" s="6">
        <f t="shared" si="16"/>
        <v>76.224000000000004</v>
      </c>
      <c r="M564" s="6">
        <v>29.62</v>
      </c>
      <c r="N564" s="8">
        <f t="shared" si="17"/>
        <v>16.984000000000002</v>
      </c>
      <c r="O564" s="4" t="s">
        <v>51</v>
      </c>
      <c r="P564" s="4" t="s">
        <v>26</v>
      </c>
      <c r="Q564" s="4">
        <v>4</v>
      </c>
      <c r="R564" s="4" t="str">
        <f>TEXT(Table1[[#This Row],[Order Date]],"mmm")</f>
        <v>Jul</v>
      </c>
      <c r="S564" s="4" t="str">
        <f>TEXT(Table1[[#This Row],[Order Date]],"mm")</f>
        <v>07</v>
      </c>
      <c r="T564" s="4" t="str">
        <f>IF(Table1[[#This Row],[Sales]]&lt;0,"loss","profit")</f>
        <v>profit</v>
      </c>
      <c r="U564" s="4" t="str" cm="1">
        <f t="array" ref="U564">_xlfn.IFS(Table1[[#This Row],[Sales]]&gt;2000,"large",Table1[[#This Row],[Sales]]&gt;=500,"medium",Table1[[#This Row],[Sales]]&lt;500,"small")</f>
        <v>small</v>
      </c>
      <c r="V564" s="22">
        <f>Table1[[#This Row],[Profit]]/Table1[[#This Row],[Sales]]*100</f>
        <v>22.281696053736358</v>
      </c>
    </row>
    <row r="565" spans="1:22" x14ac:dyDescent="0.35">
      <c r="A565" s="4" t="s">
        <v>941</v>
      </c>
      <c r="B565" s="5">
        <v>45865</v>
      </c>
      <c r="C565" s="4" t="s">
        <v>942</v>
      </c>
      <c r="D565" s="4" t="s">
        <v>47</v>
      </c>
      <c r="E565" s="4" t="s">
        <v>36</v>
      </c>
      <c r="F565" s="4" t="s">
        <v>201</v>
      </c>
      <c r="G565" s="4" t="s">
        <v>23</v>
      </c>
      <c r="H565" s="4" t="s">
        <v>135</v>
      </c>
      <c r="I565" s="4">
        <v>2</v>
      </c>
      <c r="J565" s="6">
        <v>31.86</v>
      </c>
      <c r="K565" s="7">
        <v>0</v>
      </c>
      <c r="L565" s="6">
        <f t="shared" si="16"/>
        <v>63.72</v>
      </c>
      <c r="M565" s="6">
        <v>18.920000000000002</v>
      </c>
      <c r="N565" s="8">
        <f t="shared" si="17"/>
        <v>25.879999999999995</v>
      </c>
      <c r="O565" s="4" t="s">
        <v>25</v>
      </c>
      <c r="P565" s="4" t="s">
        <v>56</v>
      </c>
      <c r="Q565" s="4">
        <v>5</v>
      </c>
      <c r="R565" s="4" t="str">
        <f>TEXT(Table1[[#This Row],[Order Date]],"mmm")</f>
        <v>Jul</v>
      </c>
      <c r="S565" s="4" t="str">
        <f>TEXT(Table1[[#This Row],[Order Date]],"mm")</f>
        <v>07</v>
      </c>
      <c r="T565" s="4" t="str">
        <f>IF(Table1[[#This Row],[Sales]]&lt;0,"loss","profit")</f>
        <v>profit</v>
      </c>
      <c r="U565" s="4" t="str" cm="1">
        <f t="array" ref="U565">_xlfn.IFS(Table1[[#This Row],[Sales]]&gt;2000,"large",Table1[[#This Row],[Sales]]&gt;=500,"medium",Table1[[#This Row],[Sales]]&lt;500,"small")</f>
        <v>small</v>
      </c>
      <c r="V565" s="22">
        <f>Table1[[#This Row],[Profit]]/Table1[[#This Row],[Sales]]*100</f>
        <v>40.615191462649079</v>
      </c>
    </row>
    <row r="566" spans="1:22" x14ac:dyDescent="0.35">
      <c r="A566" s="4" t="s">
        <v>943</v>
      </c>
      <c r="B566" s="5">
        <v>45865</v>
      </c>
      <c r="C566" s="4" t="s">
        <v>550</v>
      </c>
      <c r="D566" s="4" t="s">
        <v>20</v>
      </c>
      <c r="E566" s="4" t="s">
        <v>21</v>
      </c>
      <c r="F566" s="4" t="s">
        <v>22</v>
      </c>
      <c r="G566" s="4" t="s">
        <v>31</v>
      </c>
      <c r="H566" s="4" t="s">
        <v>125</v>
      </c>
      <c r="I566" s="4">
        <v>1</v>
      </c>
      <c r="J566" s="6">
        <v>196.28</v>
      </c>
      <c r="K566" s="7">
        <v>0</v>
      </c>
      <c r="L566" s="6">
        <f t="shared" si="16"/>
        <v>196.28</v>
      </c>
      <c r="M566" s="6">
        <v>130.57</v>
      </c>
      <c r="N566" s="8">
        <f t="shared" si="17"/>
        <v>65.710000000000008</v>
      </c>
      <c r="O566" s="4" t="s">
        <v>60</v>
      </c>
      <c r="P566" s="4" t="s">
        <v>75</v>
      </c>
      <c r="Q566" s="4">
        <v>4</v>
      </c>
      <c r="R566" s="4" t="str">
        <f>TEXT(Table1[[#This Row],[Order Date]],"mmm")</f>
        <v>Jul</v>
      </c>
      <c r="S566" s="4" t="str">
        <f>TEXT(Table1[[#This Row],[Order Date]],"mm")</f>
        <v>07</v>
      </c>
      <c r="T566" s="4" t="str">
        <f>IF(Table1[[#This Row],[Sales]]&lt;0,"loss","profit")</f>
        <v>profit</v>
      </c>
      <c r="U566" s="4" t="str" cm="1">
        <f t="array" ref="U566">_xlfn.IFS(Table1[[#This Row],[Sales]]&gt;2000,"large",Table1[[#This Row],[Sales]]&gt;=500,"medium",Table1[[#This Row],[Sales]]&lt;500,"small")</f>
        <v>small</v>
      </c>
      <c r="V566" s="22">
        <f>Table1[[#This Row],[Profit]]/Table1[[#This Row],[Sales]]*100</f>
        <v>33.477684939881804</v>
      </c>
    </row>
    <row r="567" spans="1:22" x14ac:dyDescent="0.35">
      <c r="A567" s="4" t="s">
        <v>944</v>
      </c>
      <c r="B567" s="5">
        <v>45866</v>
      </c>
      <c r="C567" s="4" t="s">
        <v>655</v>
      </c>
      <c r="D567" s="4" t="s">
        <v>20</v>
      </c>
      <c r="E567" s="4" t="s">
        <v>29</v>
      </c>
      <c r="F567" s="4" t="s">
        <v>54</v>
      </c>
      <c r="G567" s="4" t="s">
        <v>31</v>
      </c>
      <c r="H567" s="4" t="s">
        <v>64</v>
      </c>
      <c r="I567" s="4">
        <v>8</v>
      </c>
      <c r="J567" s="6">
        <v>216.51</v>
      </c>
      <c r="K567" s="7">
        <v>0.15</v>
      </c>
      <c r="L567" s="6">
        <f t="shared" si="16"/>
        <v>1472.2679999999998</v>
      </c>
      <c r="M567" s="6">
        <v>151.68</v>
      </c>
      <c r="N567" s="8">
        <f t="shared" si="17"/>
        <v>258.82799999999975</v>
      </c>
      <c r="O567" s="4" t="s">
        <v>84</v>
      </c>
      <c r="P567" s="4" t="s">
        <v>56</v>
      </c>
      <c r="Q567" s="4">
        <v>5</v>
      </c>
      <c r="R567" s="4" t="str">
        <f>TEXT(Table1[[#This Row],[Order Date]],"mmm")</f>
        <v>Jul</v>
      </c>
      <c r="S567" s="4" t="str">
        <f>TEXT(Table1[[#This Row],[Order Date]],"mm")</f>
        <v>07</v>
      </c>
      <c r="T567" s="4" t="str">
        <f>IF(Table1[[#This Row],[Sales]]&lt;0,"loss","profit")</f>
        <v>profit</v>
      </c>
      <c r="U567" s="4" t="str" cm="1">
        <f t="array" ref="U567">_xlfn.IFS(Table1[[#This Row],[Sales]]&gt;2000,"large",Table1[[#This Row],[Sales]]&gt;=500,"medium",Table1[[#This Row],[Sales]]&lt;500,"small")</f>
        <v>medium</v>
      </c>
      <c r="V567" s="22">
        <f>Table1[[#This Row],[Profit]]/Table1[[#This Row],[Sales]]*100</f>
        <v>17.580223165890978</v>
      </c>
    </row>
    <row r="568" spans="1:22" x14ac:dyDescent="0.35">
      <c r="A568" s="4" t="s">
        <v>945</v>
      </c>
      <c r="B568" s="5">
        <v>45866</v>
      </c>
      <c r="C568" s="4" t="s">
        <v>703</v>
      </c>
      <c r="D568" s="4" t="s">
        <v>47</v>
      </c>
      <c r="E568" s="4" t="s">
        <v>21</v>
      </c>
      <c r="F568" s="4" t="s">
        <v>22</v>
      </c>
      <c r="G568" s="4" t="s">
        <v>23</v>
      </c>
      <c r="H568" s="4" t="s">
        <v>135</v>
      </c>
      <c r="I568" s="4">
        <v>6</v>
      </c>
      <c r="J568" s="6">
        <v>24.88</v>
      </c>
      <c r="K568" s="7">
        <v>0</v>
      </c>
      <c r="L568" s="6">
        <f t="shared" si="16"/>
        <v>149.28</v>
      </c>
      <c r="M568" s="6">
        <v>12.57</v>
      </c>
      <c r="N568" s="8">
        <f t="shared" si="17"/>
        <v>73.86</v>
      </c>
      <c r="O568" s="4" t="s">
        <v>84</v>
      </c>
      <c r="P568" s="4" t="s">
        <v>75</v>
      </c>
      <c r="Q568" s="4">
        <v>5</v>
      </c>
      <c r="R568" s="4" t="str">
        <f>TEXT(Table1[[#This Row],[Order Date]],"mmm")</f>
        <v>Jul</v>
      </c>
      <c r="S568" s="4" t="str">
        <f>TEXT(Table1[[#This Row],[Order Date]],"mm")</f>
        <v>07</v>
      </c>
      <c r="T568" s="4" t="str">
        <f>IF(Table1[[#This Row],[Sales]]&lt;0,"loss","profit")</f>
        <v>profit</v>
      </c>
      <c r="U568" s="4" t="str" cm="1">
        <f t="array" ref="U568">_xlfn.IFS(Table1[[#This Row],[Sales]]&gt;2000,"large",Table1[[#This Row],[Sales]]&gt;=500,"medium",Table1[[#This Row],[Sales]]&lt;500,"small")</f>
        <v>small</v>
      </c>
      <c r="V568" s="22">
        <f>Table1[[#This Row],[Profit]]/Table1[[#This Row],[Sales]]*100</f>
        <v>49.477491961414785</v>
      </c>
    </row>
    <row r="569" spans="1:22" x14ac:dyDescent="0.35">
      <c r="A569" s="4" t="s">
        <v>946</v>
      </c>
      <c r="B569" s="5">
        <v>45866</v>
      </c>
      <c r="C569" s="4" t="s">
        <v>711</v>
      </c>
      <c r="D569" s="4" t="s">
        <v>43</v>
      </c>
      <c r="E569" s="4" t="s">
        <v>21</v>
      </c>
      <c r="F569" s="4" t="s">
        <v>59</v>
      </c>
      <c r="G569" s="4" t="s">
        <v>23</v>
      </c>
      <c r="H569" s="4" t="s">
        <v>71</v>
      </c>
      <c r="I569" s="4">
        <v>1</v>
      </c>
      <c r="J569" s="6">
        <v>151.88</v>
      </c>
      <c r="K569" s="7">
        <v>0</v>
      </c>
      <c r="L569" s="6">
        <f t="shared" si="16"/>
        <v>151.88</v>
      </c>
      <c r="M569" s="6">
        <v>82.33</v>
      </c>
      <c r="N569" s="8">
        <f t="shared" si="17"/>
        <v>69.55</v>
      </c>
      <c r="O569" s="4" t="s">
        <v>60</v>
      </c>
      <c r="P569" s="4" t="s">
        <v>97</v>
      </c>
      <c r="Q569" s="4">
        <v>3</v>
      </c>
      <c r="R569" s="4" t="str">
        <f>TEXT(Table1[[#This Row],[Order Date]],"mmm")</f>
        <v>Jul</v>
      </c>
      <c r="S569" s="4" t="str">
        <f>TEXT(Table1[[#This Row],[Order Date]],"mm")</f>
        <v>07</v>
      </c>
      <c r="T569" s="4" t="str">
        <f>IF(Table1[[#This Row],[Sales]]&lt;0,"loss","profit")</f>
        <v>profit</v>
      </c>
      <c r="U569" s="4" t="str" cm="1">
        <f t="array" ref="U569">_xlfn.IFS(Table1[[#This Row],[Sales]]&gt;2000,"large",Table1[[#This Row],[Sales]]&gt;=500,"medium",Table1[[#This Row],[Sales]]&lt;500,"small")</f>
        <v>small</v>
      </c>
      <c r="V569" s="22">
        <f>Table1[[#This Row],[Profit]]/Table1[[#This Row],[Sales]]*100</f>
        <v>45.792731103502767</v>
      </c>
    </row>
    <row r="570" spans="1:22" x14ac:dyDescent="0.35">
      <c r="A570" s="4" t="s">
        <v>947</v>
      </c>
      <c r="B570" s="5">
        <v>45866</v>
      </c>
      <c r="C570" s="4" t="s">
        <v>774</v>
      </c>
      <c r="D570" s="4" t="s">
        <v>47</v>
      </c>
      <c r="E570" s="4" t="s">
        <v>29</v>
      </c>
      <c r="F570" s="4" t="s">
        <v>108</v>
      </c>
      <c r="G570" s="4" t="s">
        <v>23</v>
      </c>
      <c r="H570" s="4" t="s">
        <v>135</v>
      </c>
      <c r="I570" s="4">
        <v>3</v>
      </c>
      <c r="J570" s="6">
        <v>20.239999999999998</v>
      </c>
      <c r="K570" s="7">
        <v>0</v>
      </c>
      <c r="L570" s="6">
        <f t="shared" si="16"/>
        <v>60.72</v>
      </c>
      <c r="M570" s="6">
        <v>10.81</v>
      </c>
      <c r="N570" s="8">
        <f t="shared" si="17"/>
        <v>28.29</v>
      </c>
      <c r="O570" s="4" t="s">
        <v>40</v>
      </c>
      <c r="P570" s="4" t="s">
        <v>118</v>
      </c>
      <c r="Q570" s="4">
        <v>4</v>
      </c>
      <c r="R570" s="4" t="str">
        <f>TEXT(Table1[[#This Row],[Order Date]],"mmm")</f>
        <v>Jul</v>
      </c>
      <c r="S570" s="4" t="str">
        <f>TEXT(Table1[[#This Row],[Order Date]],"mm")</f>
        <v>07</v>
      </c>
      <c r="T570" s="4" t="str">
        <f>IF(Table1[[#This Row],[Sales]]&lt;0,"loss","profit")</f>
        <v>profit</v>
      </c>
      <c r="U570" s="4" t="str" cm="1">
        <f t="array" ref="U570">_xlfn.IFS(Table1[[#This Row],[Sales]]&gt;2000,"large",Table1[[#This Row],[Sales]]&gt;=500,"medium",Table1[[#This Row],[Sales]]&lt;500,"small")</f>
        <v>small</v>
      </c>
      <c r="V570" s="22">
        <f>Table1[[#This Row],[Profit]]/Table1[[#This Row],[Sales]]*100</f>
        <v>46.590909090909086</v>
      </c>
    </row>
    <row r="571" spans="1:22" x14ac:dyDescent="0.35">
      <c r="A571" s="4" t="s">
        <v>948</v>
      </c>
      <c r="B571" s="5">
        <v>45866</v>
      </c>
      <c r="C571" s="4" t="s">
        <v>333</v>
      </c>
      <c r="D571" s="4" t="s">
        <v>43</v>
      </c>
      <c r="E571" s="4" t="s">
        <v>87</v>
      </c>
      <c r="F571" s="4" t="s">
        <v>124</v>
      </c>
      <c r="G571" s="4" t="s">
        <v>38</v>
      </c>
      <c r="H571" s="4" t="s">
        <v>89</v>
      </c>
      <c r="I571" s="4">
        <v>1</v>
      </c>
      <c r="J571" s="6">
        <v>1096.3800000000001</v>
      </c>
      <c r="K571" s="7">
        <v>0.05</v>
      </c>
      <c r="L571" s="6">
        <f t="shared" si="16"/>
        <v>1041.5610000000001</v>
      </c>
      <c r="M571" s="6">
        <v>975.63</v>
      </c>
      <c r="N571" s="8">
        <f t="shared" si="17"/>
        <v>65.931000000000154</v>
      </c>
      <c r="O571" s="4" t="s">
        <v>40</v>
      </c>
      <c r="P571" s="4" t="s">
        <v>26</v>
      </c>
      <c r="Q571" s="4">
        <v>3</v>
      </c>
      <c r="R571" s="4" t="str">
        <f>TEXT(Table1[[#This Row],[Order Date]],"mmm")</f>
        <v>Jul</v>
      </c>
      <c r="S571" s="4" t="str">
        <f>TEXT(Table1[[#This Row],[Order Date]],"mm")</f>
        <v>07</v>
      </c>
      <c r="T571" s="4" t="str">
        <f>IF(Table1[[#This Row],[Sales]]&lt;0,"loss","profit")</f>
        <v>profit</v>
      </c>
      <c r="U571" s="4" t="str" cm="1">
        <f t="array" ref="U571">_xlfn.IFS(Table1[[#This Row],[Sales]]&gt;2000,"large",Table1[[#This Row],[Sales]]&gt;=500,"medium",Table1[[#This Row],[Sales]]&lt;500,"small")</f>
        <v>medium</v>
      </c>
      <c r="V571" s="22">
        <f>Table1[[#This Row],[Profit]]/Table1[[#This Row],[Sales]]*100</f>
        <v>6.330018117037806</v>
      </c>
    </row>
    <row r="572" spans="1:22" x14ac:dyDescent="0.35">
      <c r="A572" s="4" t="s">
        <v>949</v>
      </c>
      <c r="B572" s="5">
        <v>45867</v>
      </c>
      <c r="C572" s="4" t="s">
        <v>659</v>
      </c>
      <c r="D572" s="4" t="s">
        <v>20</v>
      </c>
      <c r="E572" s="4" t="s">
        <v>29</v>
      </c>
      <c r="F572" s="4" t="s">
        <v>108</v>
      </c>
      <c r="G572" s="4" t="s">
        <v>38</v>
      </c>
      <c r="H572" s="4" t="s">
        <v>89</v>
      </c>
      <c r="I572" s="4">
        <v>8</v>
      </c>
      <c r="J572" s="6">
        <v>695.37</v>
      </c>
      <c r="K572" s="7">
        <v>0.1</v>
      </c>
      <c r="L572" s="6">
        <f t="shared" si="16"/>
        <v>5006.6639999999998</v>
      </c>
      <c r="M572" s="6">
        <v>593.32000000000005</v>
      </c>
      <c r="N572" s="8">
        <f t="shared" si="17"/>
        <v>260.10399999999936</v>
      </c>
      <c r="O572" s="4" t="s">
        <v>51</v>
      </c>
      <c r="P572" s="4" t="s">
        <v>61</v>
      </c>
      <c r="Q572" s="4">
        <v>3</v>
      </c>
      <c r="R572" s="4" t="str">
        <f>TEXT(Table1[[#This Row],[Order Date]],"mmm")</f>
        <v>Jul</v>
      </c>
      <c r="S572" s="4" t="str">
        <f>TEXT(Table1[[#This Row],[Order Date]],"mm")</f>
        <v>07</v>
      </c>
      <c r="T572" s="4" t="str">
        <f>IF(Table1[[#This Row],[Sales]]&lt;0,"loss","profit")</f>
        <v>profit</v>
      </c>
      <c r="U572" s="4" t="str" cm="1">
        <f t="array" ref="U572">_xlfn.IFS(Table1[[#This Row],[Sales]]&gt;2000,"large",Table1[[#This Row],[Sales]]&gt;=500,"medium",Table1[[#This Row],[Sales]]&lt;500,"small")</f>
        <v>large</v>
      </c>
      <c r="V572" s="22">
        <f>Table1[[#This Row],[Profit]]/Table1[[#This Row],[Sales]]*100</f>
        <v>5.195155896221503</v>
      </c>
    </row>
    <row r="573" spans="1:22" x14ac:dyDescent="0.35">
      <c r="A573" s="4" t="s">
        <v>950</v>
      </c>
      <c r="B573" s="5">
        <v>45867</v>
      </c>
      <c r="C573" s="4" t="s">
        <v>341</v>
      </c>
      <c r="D573" s="4" t="s">
        <v>47</v>
      </c>
      <c r="E573" s="4" t="s">
        <v>87</v>
      </c>
      <c r="F573" s="4" t="s">
        <v>88</v>
      </c>
      <c r="G573" s="4" t="s">
        <v>67</v>
      </c>
      <c r="H573" s="4" t="s">
        <v>140</v>
      </c>
      <c r="I573" s="4">
        <v>1</v>
      </c>
      <c r="J573" s="6">
        <v>115.3</v>
      </c>
      <c r="K573" s="7">
        <v>0.15</v>
      </c>
      <c r="L573" s="6">
        <f t="shared" si="16"/>
        <v>98.004999999999995</v>
      </c>
      <c r="M573" s="6">
        <v>69.87</v>
      </c>
      <c r="N573" s="8">
        <f t="shared" si="17"/>
        <v>28.134999999999991</v>
      </c>
      <c r="O573" s="4" t="s">
        <v>40</v>
      </c>
      <c r="P573" s="4" t="s">
        <v>118</v>
      </c>
      <c r="Q573" s="4">
        <v>3</v>
      </c>
      <c r="R573" s="4" t="str">
        <f>TEXT(Table1[[#This Row],[Order Date]],"mmm")</f>
        <v>Jul</v>
      </c>
      <c r="S573" s="4" t="str">
        <f>TEXT(Table1[[#This Row],[Order Date]],"mm")</f>
        <v>07</v>
      </c>
      <c r="T573" s="4" t="str">
        <f>IF(Table1[[#This Row],[Sales]]&lt;0,"loss","profit")</f>
        <v>profit</v>
      </c>
      <c r="U573" s="4" t="str" cm="1">
        <f t="array" ref="U573">_xlfn.IFS(Table1[[#This Row],[Sales]]&gt;2000,"large",Table1[[#This Row],[Sales]]&gt;=500,"medium",Table1[[#This Row],[Sales]]&lt;500,"small")</f>
        <v>small</v>
      </c>
      <c r="V573" s="22">
        <f>Table1[[#This Row],[Profit]]/Table1[[#This Row],[Sales]]*100</f>
        <v>28.707718993928871</v>
      </c>
    </row>
    <row r="574" spans="1:22" x14ac:dyDescent="0.35">
      <c r="A574" s="4" t="s">
        <v>951</v>
      </c>
      <c r="B574" s="5">
        <v>45868</v>
      </c>
      <c r="C574" s="4" t="s">
        <v>180</v>
      </c>
      <c r="D574" s="4" t="s">
        <v>43</v>
      </c>
      <c r="E574" s="4" t="s">
        <v>29</v>
      </c>
      <c r="F574" s="4" t="s">
        <v>108</v>
      </c>
      <c r="G574" s="4" t="s">
        <v>38</v>
      </c>
      <c r="H574" s="4" t="s">
        <v>109</v>
      </c>
      <c r="I574" s="4">
        <v>3</v>
      </c>
      <c r="J574" s="6">
        <v>928.21</v>
      </c>
      <c r="K574" s="7">
        <v>0.05</v>
      </c>
      <c r="L574" s="6">
        <f t="shared" si="16"/>
        <v>2645.3984999999998</v>
      </c>
      <c r="M574" s="6">
        <v>787.83</v>
      </c>
      <c r="N574" s="8">
        <f t="shared" si="17"/>
        <v>281.90849999999955</v>
      </c>
      <c r="O574" s="4" t="s">
        <v>51</v>
      </c>
      <c r="P574" s="4" t="s">
        <v>118</v>
      </c>
      <c r="Q574" s="4">
        <v>4</v>
      </c>
      <c r="R574" s="4" t="str">
        <f>TEXT(Table1[[#This Row],[Order Date]],"mmm")</f>
        <v>Jul</v>
      </c>
      <c r="S574" s="4" t="str">
        <f>TEXT(Table1[[#This Row],[Order Date]],"mm")</f>
        <v>07</v>
      </c>
      <c r="T574" s="4" t="str">
        <f>IF(Table1[[#This Row],[Sales]]&lt;0,"loss","profit")</f>
        <v>profit</v>
      </c>
      <c r="U574" s="4" t="str" cm="1">
        <f t="array" ref="U574">_xlfn.IFS(Table1[[#This Row],[Sales]]&gt;2000,"large",Table1[[#This Row],[Sales]]&gt;=500,"medium",Table1[[#This Row],[Sales]]&lt;500,"small")</f>
        <v>large</v>
      </c>
      <c r="V574" s="22">
        <f>Table1[[#This Row],[Profit]]/Table1[[#This Row],[Sales]]*100</f>
        <v>10.656560816829661</v>
      </c>
    </row>
    <row r="575" spans="1:22" x14ac:dyDescent="0.35">
      <c r="A575" s="4" t="s">
        <v>952</v>
      </c>
      <c r="B575" s="5">
        <v>45868</v>
      </c>
      <c r="C575" s="4" t="s">
        <v>547</v>
      </c>
      <c r="D575" s="4" t="s">
        <v>20</v>
      </c>
      <c r="E575" s="4" t="s">
        <v>21</v>
      </c>
      <c r="F575" s="4" t="s">
        <v>81</v>
      </c>
      <c r="G575" s="4" t="s">
        <v>23</v>
      </c>
      <c r="H575" s="4" t="s">
        <v>24</v>
      </c>
      <c r="I575" s="4">
        <v>1</v>
      </c>
      <c r="J575" s="6">
        <v>31.82</v>
      </c>
      <c r="K575" s="7">
        <v>0</v>
      </c>
      <c r="L575" s="6">
        <f t="shared" si="16"/>
        <v>31.82</v>
      </c>
      <c r="M575" s="6">
        <v>13.71</v>
      </c>
      <c r="N575" s="8">
        <f t="shared" si="17"/>
        <v>18.11</v>
      </c>
      <c r="O575" s="4" t="s">
        <v>84</v>
      </c>
      <c r="P575" s="4" t="s">
        <v>26</v>
      </c>
      <c r="Q575" s="4">
        <v>4</v>
      </c>
      <c r="R575" s="4" t="str">
        <f>TEXT(Table1[[#This Row],[Order Date]],"mmm")</f>
        <v>Jul</v>
      </c>
      <c r="S575" s="4" t="str">
        <f>TEXT(Table1[[#This Row],[Order Date]],"mm")</f>
        <v>07</v>
      </c>
      <c r="T575" s="4" t="str">
        <f>IF(Table1[[#This Row],[Sales]]&lt;0,"loss","profit")</f>
        <v>profit</v>
      </c>
      <c r="U575" s="4" t="str" cm="1">
        <f t="array" ref="U575">_xlfn.IFS(Table1[[#This Row],[Sales]]&gt;2000,"large",Table1[[#This Row],[Sales]]&gt;=500,"medium",Table1[[#This Row],[Sales]]&lt;500,"small")</f>
        <v>small</v>
      </c>
      <c r="V575" s="22">
        <f>Table1[[#This Row],[Profit]]/Table1[[#This Row],[Sales]]*100</f>
        <v>56.913890634820859</v>
      </c>
    </row>
    <row r="576" spans="1:22" x14ac:dyDescent="0.35">
      <c r="A576" s="4" t="s">
        <v>953</v>
      </c>
      <c r="B576" s="5">
        <v>45869</v>
      </c>
      <c r="C576" s="4" t="s">
        <v>640</v>
      </c>
      <c r="D576" s="4" t="s">
        <v>47</v>
      </c>
      <c r="E576" s="4" t="s">
        <v>29</v>
      </c>
      <c r="F576" s="4" t="s">
        <v>54</v>
      </c>
      <c r="G576" s="4" t="s">
        <v>38</v>
      </c>
      <c r="H576" s="4" t="s">
        <v>55</v>
      </c>
      <c r="I576" s="4">
        <v>5</v>
      </c>
      <c r="J576" s="6">
        <v>247.96</v>
      </c>
      <c r="K576" s="7">
        <v>0</v>
      </c>
      <c r="L576" s="6">
        <f t="shared" si="16"/>
        <v>1239.8</v>
      </c>
      <c r="M576" s="6">
        <v>209.18</v>
      </c>
      <c r="N576" s="8">
        <f t="shared" si="17"/>
        <v>193.89999999999986</v>
      </c>
      <c r="O576" s="4" t="s">
        <v>25</v>
      </c>
      <c r="P576" s="4" t="s">
        <v>75</v>
      </c>
      <c r="Q576" s="4">
        <v>4</v>
      </c>
      <c r="R576" s="4" t="str">
        <f>TEXT(Table1[[#This Row],[Order Date]],"mmm")</f>
        <v>Jul</v>
      </c>
      <c r="S576" s="4" t="str">
        <f>TEXT(Table1[[#This Row],[Order Date]],"mm")</f>
        <v>07</v>
      </c>
      <c r="T576" s="4" t="str">
        <f>IF(Table1[[#This Row],[Sales]]&lt;0,"loss","profit")</f>
        <v>profit</v>
      </c>
      <c r="U576" s="4" t="str" cm="1">
        <f t="array" ref="U576">_xlfn.IFS(Table1[[#This Row],[Sales]]&gt;2000,"large",Table1[[#This Row],[Sales]]&gt;=500,"medium",Table1[[#This Row],[Sales]]&lt;500,"small")</f>
        <v>medium</v>
      </c>
      <c r="V576" s="22">
        <f>Table1[[#This Row],[Profit]]/Table1[[#This Row],[Sales]]*100</f>
        <v>15.639619293434414</v>
      </c>
    </row>
    <row r="577" spans="1:22" x14ac:dyDescent="0.35">
      <c r="A577" s="4" t="s">
        <v>954</v>
      </c>
      <c r="B577" s="5">
        <v>45870</v>
      </c>
      <c r="C577" s="4" t="s">
        <v>379</v>
      </c>
      <c r="D577" s="4" t="s">
        <v>47</v>
      </c>
      <c r="E577" s="4" t="s">
        <v>36</v>
      </c>
      <c r="F577" s="4" t="s">
        <v>48</v>
      </c>
      <c r="G577" s="4" t="s">
        <v>38</v>
      </c>
      <c r="H577" s="4" t="s">
        <v>96</v>
      </c>
      <c r="I577" s="4">
        <v>10</v>
      </c>
      <c r="J577" s="6">
        <v>256.92</v>
      </c>
      <c r="K577" s="7">
        <v>0</v>
      </c>
      <c r="L577" s="6">
        <f t="shared" si="16"/>
        <v>2569.2000000000003</v>
      </c>
      <c r="M577" s="6">
        <v>208.66</v>
      </c>
      <c r="N577" s="8">
        <f t="shared" si="17"/>
        <v>482.60000000000036</v>
      </c>
      <c r="O577" s="4" t="s">
        <v>84</v>
      </c>
      <c r="P577" s="4" t="s">
        <v>33</v>
      </c>
      <c r="Q577" s="4">
        <v>5</v>
      </c>
      <c r="R577" s="4" t="str">
        <f>TEXT(Table1[[#This Row],[Order Date]],"mmm")</f>
        <v>Aug</v>
      </c>
      <c r="S577" s="4" t="str">
        <f>TEXT(Table1[[#This Row],[Order Date]],"mm")</f>
        <v>08</v>
      </c>
      <c r="T577" s="4" t="str">
        <f>IF(Table1[[#This Row],[Sales]]&lt;0,"loss","profit")</f>
        <v>profit</v>
      </c>
      <c r="U577" s="4" t="str" cm="1">
        <f t="array" ref="U577">_xlfn.IFS(Table1[[#This Row],[Sales]]&gt;2000,"large",Table1[[#This Row],[Sales]]&gt;=500,"medium",Table1[[#This Row],[Sales]]&lt;500,"small")</f>
        <v>large</v>
      </c>
      <c r="V577" s="22">
        <f>Table1[[#This Row],[Profit]]/Table1[[#This Row],[Sales]]*100</f>
        <v>18.784057294099345</v>
      </c>
    </row>
    <row r="578" spans="1:22" x14ac:dyDescent="0.35">
      <c r="A578" s="4" t="s">
        <v>955</v>
      </c>
      <c r="B578" s="5">
        <v>45870</v>
      </c>
      <c r="C578" s="4" t="s">
        <v>80</v>
      </c>
      <c r="D578" s="4" t="s">
        <v>20</v>
      </c>
      <c r="E578" s="4" t="s">
        <v>36</v>
      </c>
      <c r="F578" s="4" t="s">
        <v>48</v>
      </c>
      <c r="G578" s="4" t="s">
        <v>67</v>
      </c>
      <c r="H578" s="4" t="s">
        <v>93</v>
      </c>
      <c r="I578" s="4">
        <v>1</v>
      </c>
      <c r="J578" s="6">
        <v>205.7</v>
      </c>
      <c r="K578" s="7">
        <v>0.1</v>
      </c>
      <c r="L578" s="6">
        <f t="shared" ref="L578:L641" si="18">I578*J578*(1-K578)</f>
        <v>185.13</v>
      </c>
      <c r="M578" s="6">
        <v>163.68</v>
      </c>
      <c r="N578" s="8">
        <f t="shared" ref="N578:N641" si="19">L578-I578*M578</f>
        <v>21.449999999999989</v>
      </c>
      <c r="O578" s="4" t="s">
        <v>60</v>
      </c>
      <c r="P578" s="4" t="s">
        <v>118</v>
      </c>
      <c r="Q578" s="4">
        <v>5</v>
      </c>
      <c r="R578" s="4" t="str">
        <f>TEXT(Table1[[#This Row],[Order Date]],"mmm")</f>
        <v>Aug</v>
      </c>
      <c r="S578" s="4" t="str">
        <f>TEXT(Table1[[#This Row],[Order Date]],"mm")</f>
        <v>08</v>
      </c>
      <c r="T578" s="4" t="str">
        <f>IF(Table1[[#This Row],[Sales]]&lt;0,"loss","profit")</f>
        <v>profit</v>
      </c>
      <c r="U578" s="4" t="str" cm="1">
        <f t="array" ref="U578">_xlfn.IFS(Table1[[#This Row],[Sales]]&gt;2000,"large",Table1[[#This Row],[Sales]]&gt;=500,"medium",Table1[[#This Row],[Sales]]&lt;500,"small")</f>
        <v>small</v>
      </c>
      <c r="V578" s="22">
        <f>Table1[[#This Row],[Profit]]/Table1[[#This Row],[Sales]]*100</f>
        <v>11.586452762923345</v>
      </c>
    </row>
    <row r="579" spans="1:22" x14ac:dyDescent="0.35">
      <c r="A579" s="4" t="s">
        <v>956</v>
      </c>
      <c r="B579" s="5">
        <v>45870</v>
      </c>
      <c r="C579" s="4" t="s">
        <v>205</v>
      </c>
      <c r="D579" s="4" t="s">
        <v>20</v>
      </c>
      <c r="E579" s="4" t="s">
        <v>87</v>
      </c>
      <c r="F579" s="4" t="s">
        <v>124</v>
      </c>
      <c r="G579" s="4" t="s">
        <v>67</v>
      </c>
      <c r="H579" s="4" t="s">
        <v>93</v>
      </c>
      <c r="I579" s="4">
        <v>10</v>
      </c>
      <c r="J579" s="6">
        <v>297.43</v>
      </c>
      <c r="K579" s="7">
        <v>0.2</v>
      </c>
      <c r="L579" s="6">
        <f t="shared" si="18"/>
        <v>2379.44</v>
      </c>
      <c r="M579" s="6">
        <v>215.79</v>
      </c>
      <c r="N579" s="8">
        <f t="shared" si="19"/>
        <v>221.53999999999996</v>
      </c>
      <c r="O579" s="4" t="s">
        <v>60</v>
      </c>
      <c r="P579" s="4" t="s">
        <v>56</v>
      </c>
      <c r="Q579" s="4">
        <v>3</v>
      </c>
      <c r="R579" s="4" t="str">
        <f>TEXT(Table1[[#This Row],[Order Date]],"mmm")</f>
        <v>Aug</v>
      </c>
      <c r="S579" s="4" t="str">
        <f>TEXT(Table1[[#This Row],[Order Date]],"mm")</f>
        <v>08</v>
      </c>
      <c r="T579" s="4" t="str">
        <f>IF(Table1[[#This Row],[Sales]]&lt;0,"loss","profit")</f>
        <v>profit</v>
      </c>
      <c r="U579" s="4" t="str" cm="1">
        <f t="array" ref="U579">_xlfn.IFS(Table1[[#This Row],[Sales]]&gt;2000,"large",Table1[[#This Row],[Sales]]&gt;=500,"medium",Table1[[#This Row],[Sales]]&lt;500,"small")</f>
        <v>large</v>
      </c>
      <c r="V579" s="22">
        <f>Table1[[#This Row],[Profit]]/Table1[[#This Row],[Sales]]*100</f>
        <v>9.3105940893655639</v>
      </c>
    </row>
    <row r="580" spans="1:22" x14ac:dyDescent="0.35">
      <c r="A580" s="4" t="s">
        <v>957</v>
      </c>
      <c r="B580" s="5">
        <v>45871</v>
      </c>
      <c r="C580" s="4" t="s">
        <v>958</v>
      </c>
      <c r="D580" s="4" t="s">
        <v>47</v>
      </c>
      <c r="E580" s="4" t="s">
        <v>36</v>
      </c>
      <c r="F580" s="4" t="s">
        <v>201</v>
      </c>
      <c r="G580" s="4" t="s">
        <v>49</v>
      </c>
      <c r="H580" s="4" t="s">
        <v>128</v>
      </c>
      <c r="I580" s="4">
        <v>3</v>
      </c>
      <c r="J580" s="6">
        <v>48.96</v>
      </c>
      <c r="K580" s="7">
        <v>0.2</v>
      </c>
      <c r="L580" s="6">
        <f t="shared" si="18"/>
        <v>117.504</v>
      </c>
      <c r="M580" s="6">
        <v>33.020000000000003</v>
      </c>
      <c r="N580" s="8">
        <f t="shared" si="19"/>
        <v>18.444000000000003</v>
      </c>
      <c r="O580" s="4" t="s">
        <v>51</v>
      </c>
      <c r="P580" s="4" t="s">
        <v>72</v>
      </c>
      <c r="Q580" s="4">
        <v>5</v>
      </c>
      <c r="R580" s="4" t="str">
        <f>TEXT(Table1[[#This Row],[Order Date]],"mmm")</f>
        <v>Aug</v>
      </c>
      <c r="S580" s="4" t="str">
        <f>TEXT(Table1[[#This Row],[Order Date]],"mm")</f>
        <v>08</v>
      </c>
      <c r="T580" s="4" t="str">
        <f>IF(Table1[[#This Row],[Sales]]&lt;0,"loss","profit")</f>
        <v>profit</v>
      </c>
      <c r="U580" s="4" t="str" cm="1">
        <f t="array" ref="U580">_xlfn.IFS(Table1[[#This Row],[Sales]]&gt;2000,"large",Table1[[#This Row],[Sales]]&gt;=500,"medium",Table1[[#This Row],[Sales]]&lt;500,"small")</f>
        <v>small</v>
      </c>
      <c r="V580" s="22">
        <f>Table1[[#This Row],[Profit]]/Table1[[#This Row],[Sales]]*100</f>
        <v>15.696486928104578</v>
      </c>
    </row>
    <row r="581" spans="1:22" x14ac:dyDescent="0.35">
      <c r="A581" s="4" t="s">
        <v>959</v>
      </c>
      <c r="B581" s="5">
        <v>45872</v>
      </c>
      <c r="C581" s="4" t="s">
        <v>960</v>
      </c>
      <c r="D581" s="4" t="s">
        <v>47</v>
      </c>
      <c r="E581" s="4" t="s">
        <v>36</v>
      </c>
      <c r="F581" s="4" t="s">
        <v>48</v>
      </c>
      <c r="G581" s="4" t="s">
        <v>67</v>
      </c>
      <c r="H581" s="4" t="s">
        <v>93</v>
      </c>
      <c r="I581" s="4">
        <v>5</v>
      </c>
      <c r="J581" s="6">
        <v>277.29000000000002</v>
      </c>
      <c r="K581" s="7">
        <v>0.2</v>
      </c>
      <c r="L581" s="6">
        <f t="shared" si="18"/>
        <v>1109.1600000000001</v>
      </c>
      <c r="M581" s="6">
        <v>218.88</v>
      </c>
      <c r="N581" s="8">
        <f t="shared" si="19"/>
        <v>14.759999999999991</v>
      </c>
      <c r="O581" s="4" t="s">
        <v>60</v>
      </c>
      <c r="P581" s="4" t="s">
        <v>26</v>
      </c>
      <c r="Q581" s="4">
        <v>5</v>
      </c>
      <c r="R581" s="4" t="str">
        <f>TEXT(Table1[[#This Row],[Order Date]],"mmm")</f>
        <v>Aug</v>
      </c>
      <c r="S581" s="4" t="str">
        <f>TEXT(Table1[[#This Row],[Order Date]],"mm")</f>
        <v>08</v>
      </c>
      <c r="T581" s="4" t="str">
        <f>IF(Table1[[#This Row],[Sales]]&lt;0,"loss","profit")</f>
        <v>profit</v>
      </c>
      <c r="U581" s="4" t="str" cm="1">
        <f t="array" ref="U581">_xlfn.IFS(Table1[[#This Row],[Sales]]&gt;2000,"large",Table1[[#This Row],[Sales]]&gt;=500,"medium",Table1[[#This Row],[Sales]]&lt;500,"small")</f>
        <v>medium</v>
      </c>
      <c r="V581" s="22">
        <f>Table1[[#This Row],[Profit]]/Table1[[#This Row],[Sales]]*100</f>
        <v>1.3307367737747475</v>
      </c>
    </row>
    <row r="582" spans="1:22" x14ac:dyDescent="0.35">
      <c r="A582" s="4" t="s">
        <v>961</v>
      </c>
      <c r="B582" s="5">
        <v>45872</v>
      </c>
      <c r="C582" s="4" t="s">
        <v>134</v>
      </c>
      <c r="D582" s="4" t="s">
        <v>43</v>
      </c>
      <c r="E582" s="4" t="s">
        <v>36</v>
      </c>
      <c r="F582" s="4" t="s">
        <v>201</v>
      </c>
      <c r="G582" s="4" t="s">
        <v>23</v>
      </c>
      <c r="H582" s="4" t="s">
        <v>24</v>
      </c>
      <c r="I582" s="4">
        <v>2</v>
      </c>
      <c r="J582" s="6">
        <v>58.06</v>
      </c>
      <c r="K582" s="7">
        <v>0</v>
      </c>
      <c r="L582" s="6">
        <f t="shared" si="18"/>
        <v>116.12</v>
      </c>
      <c r="M582" s="6">
        <v>26.83</v>
      </c>
      <c r="N582" s="8">
        <f t="shared" si="19"/>
        <v>62.460000000000008</v>
      </c>
      <c r="O582" s="4" t="s">
        <v>51</v>
      </c>
      <c r="P582" s="4" t="s">
        <v>26</v>
      </c>
      <c r="Q582" s="4">
        <v>5</v>
      </c>
      <c r="R582" s="4" t="str">
        <f>TEXT(Table1[[#This Row],[Order Date]],"mmm")</f>
        <v>Aug</v>
      </c>
      <c r="S582" s="4" t="str">
        <f>TEXT(Table1[[#This Row],[Order Date]],"mm")</f>
        <v>08</v>
      </c>
      <c r="T582" s="4" t="str">
        <f>IF(Table1[[#This Row],[Sales]]&lt;0,"loss","profit")</f>
        <v>profit</v>
      </c>
      <c r="U582" s="4" t="str" cm="1">
        <f t="array" ref="U582">_xlfn.IFS(Table1[[#This Row],[Sales]]&gt;2000,"large",Table1[[#This Row],[Sales]]&gt;=500,"medium",Table1[[#This Row],[Sales]]&lt;500,"small")</f>
        <v>small</v>
      </c>
      <c r="V582" s="22">
        <f>Table1[[#This Row],[Profit]]/Table1[[#This Row],[Sales]]*100</f>
        <v>53.789183603169143</v>
      </c>
    </row>
    <row r="583" spans="1:22" x14ac:dyDescent="0.35">
      <c r="A583" s="4" t="s">
        <v>962</v>
      </c>
      <c r="B583" s="5">
        <v>45872</v>
      </c>
      <c r="C583" s="4" t="s">
        <v>840</v>
      </c>
      <c r="D583" s="4" t="s">
        <v>43</v>
      </c>
      <c r="E583" s="4" t="s">
        <v>21</v>
      </c>
      <c r="F583" s="4" t="s">
        <v>22</v>
      </c>
      <c r="G583" s="4" t="s">
        <v>23</v>
      </c>
      <c r="H583" s="4" t="s">
        <v>71</v>
      </c>
      <c r="I583" s="4">
        <v>1</v>
      </c>
      <c r="J583" s="6">
        <v>146.71</v>
      </c>
      <c r="K583" s="7">
        <v>0</v>
      </c>
      <c r="L583" s="6">
        <f t="shared" si="18"/>
        <v>146.71</v>
      </c>
      <c r="M583" s="6">
        <v>71.959999999999994</v>
      </c>
      <c r="N583" s="8">
        <f t="shared" si="19"/>
        <v>74.750000000000014</v>
      </c>
      <c r="O583" s="4" t="s">
        <v>84</v>
      </c>
      <c r="P583" s="4" t="s">
        <v>33</v>
      </c>
      <c r="Q583" s="4">
        <v>4</v>
      </c>
      <c r="R583" s="4" t="str">
        <f>TEXT(Table1[[#This Row],[Order Date]],"mmm")</f>
        <v>Aug</v>
      </c>
      <c r="S583" s="4" t="str">
        <f>TEXT(Table1[[#This Row],[Order Date]],"mm")</f>
        <v>08</v>
      </c>
      <c r="T583" s="4" t="str">
        <f>IF(Table1[[#This Row],[Sales]]&lt;0,"loss","profit")</f>
        <v>profit</v>
      </c>
      <c r="U583" s="4" t="str" cm="1">
        <f t="array" ref="U583">_xlfn.IFS(Table1[[#This Row],[Sales]]&gt;2000,"large",Table1[[#This Row],[Sales]]&gt;=500,"medium",Table1[[#This Row],[Sales]]&lt;500,"small")</f>
        <v>small</v>
      </c>
      <c r="V583" s="22">
        <f>Table1[[#This Row],[Profit]]/Table1[[#This Row],[Sales]]*100</f>
        <v>50.950855429077777</v>
      </c>
    </row>
    <row r="584" spans="1:22" x14ac:dyDescent="0.35">
      <c r="A584" s="4" t="s">
        <v>963</v>
      </c>
      <c r="B584" s="5">
        <v>45873</v>
      </c>
      <c r="C584" s="4" t="s">
        <v>964</v>
      </c>
      <c r="D584" s="4" t="s">
        <v>43</v>
      </c>
      <c r="E584" s="4" t="s">
        <v>21</v>
      </c>
      <c r="F584" s="4" t="s">
        <v>22</v>
      </c>
      <c r="G584" s="4" t="s">
        <v>67</v>
      </c>
      <c r="H584" s="4" t="s">
        <v>93</v>
      </c>
      <c r="I584" s="4">
        <v>4</v>
      </c>
      <c r="J584" s="6">
        <v>569.04</v>
      </c>
      <c r="K584" s="7">
        <v>0</v>
      </c>
      <c r="L584" s="6">
        <f t="shared" si="18"/>
        <v>2276.16</v>
      </c>
      <c r="M584" s="6">
        <v>412.66</v>
      </c>
      <c r="N584" s="8">
        <f t="shared" si="19"/>
        <v>625.51999999999975</v>
      </c>
      <c r="O584" s="4" t="s">
        <v>84</v>
      </c>
      <c r="P584" s="4" t="s">
        <v>75</v>
      </c>
      <c r="Q584" s="4">
        <v>4</v>
      </c>
      <c r="R584" s="4" t="str">
        <f>TEXT(Table1[[#This Row],[Order Date]],"mmm")</f>
        <v>Aug</v>
      </c>
      <c r="S584" s="4" t="str">
        <f>TEXT(Table1[[#This Row],[Order Date]],"mm")</f>
        <v>08</v>
      </c>
      <c r="T584" s="4" t="str">
        <f>IF(Table1[[#This Row],[Sales]]&lt;0,"loss","profit")</f>
        <v>profit</v>
      </c>
      <c r="U584" s="4" t="str" cm="1">
        <f t="array" ref="U584">_xlfn.IFS(Table1[[#This Row],[Sales]]&gt;2000,"large",Table1[[#This Row],[Sales]]&gt;=500,"medium",Table1[[#This Row],[Sales]]&lt;500,"small")</f>
        <v>large</v>
      </c>
      <c r="V584" s="22">
        <f>Table1[[#This Row],[Profit]]/Table1[[#This Row],[Sales]]*100</f>
        <v>27.481372135526495</v>
      </c>
    </row>
    <row r="585" spans="1:22" x14ac:dyDescent="0.35">
      <c r="A585" s="4" t="s">
        <v>965</v>
      </c>
      <c r="B585" s="5">
        <v>45873</v>
      </c>
      <c r="C585" s="4" t="s">
        <v>670</v>
      </c>
      <c r="D585" s="4" t="s">
        <v>43</v>
      </c>
      <c r="E585" s="4" t="s">
        <v>36</v>
      </c>
      <c r="F585" s="4" t="s">
        <v>201</v>
      </c>
      <c r="G585" s="4" t="s">
        <v>23</v>
      </c>
      <c r="H585" s="4" t="s">
        <v>44</v>
      </c>
      <c r="I585" s="4">
        <v>2</v>
      </c>
      <c r="J585" s="6">
        <v>94.14</v>
      </c>
      <c r="K585" s="7">
        <v>0</v>
      </c>
      <c r="L585" s="6">
        <f t="shared" si="18"/>
        <v>188.28</v>
      </c>
      <c r="M585" s="6">
        <v>51.01</v>
      </c>
      <c r="N585" s="8">
        <f t="shared" si="19"/>
        <v>86.26</v>
      </c>
      <c r="O585" s="4" t="s">
        <v>84</v>
      </c>
      <c r="P585" s="4" t="s">
        <v>33</v>
      </c>
      <c r="Q585" s="4">
        <v>4</v>
      </c>
      <c r="R585" s="4" t="str">
        <f>TEXT(Table1[[#This Row],[Order Date]],"mmm")</f>
        <v>Aug</v>
      </c>
      <c r="S585" s="4" t="str">
        <f>TEXT(Table1[[#This Row],[Order Date]],"mm")</f>
        <v>08</v>
      </c>
      <c r="T585" s="4" t="str">
        <f>IF(Table1[[#This Row],[Sales]]&lt;0,"loss","profit")</f>
        <v>profit</v>
      </c>
      <c r="U585" s="4" t="str" cm="1">
        <f t="array" ref="U585">_xlfn.IFS(Table1[[#This Row],[Sales]]&gt;2000,"large",Table1[[#This Row],[Sales]]&gt;=500,"medium",Table1[[#This Row],[Sales]]&lt;500,"small")</f>
        <v>small</v>
      </c>
      <c r="V585" s="22">
        <f>Table1[[#This Row],[Profit]]/Table1[[#This Row],[Sales]]*100</f>
        <v>45.814743998300408</v>
      </c>
    </row>
    <row r="586" spans="1:22" x14ac:dyDescent="0.35">
      <c r="A586" s="4" t="s">
        <v>966</v>
      </c>
      <c r="B586" s="5">
        <v>45873</v>
      </c>
      <c r="C586" s="4" t="s">
        <v>594</v>
      </c>
      <c r="D586" s="4" t="s">
        <v>43</v>
      </c>
      <c r="E586" s="4" t="s">
        <v>21</v>
      </c>
      <c r="F586" s="4" t="s">
        <v>81</v>
      </c>
      <c r="G586" s="4" t="s">
        <v>67</v>
      </c>
      <c r="H586" s="4" t="s">
        <v>121</v>
      </c>
      <c r="I586" s="4">
        <v>6</v>
      </c>
      <c r="J586" s="6">
        <v>188.97</v>
      </c>
      <c r="K586" s="7">
        <v>0</v>
      </c>
      <c r="L586" s="6">
        <f t="shared" si="18"/>
        <v>1133.82</v>
      </c>
      <c r="M586" s="6">
        <v>132.21</v>
      </c>
      <c r="N586" s="8">
        <f t="shared" si="19"/>
        <v>340.55999999999995</v>
      </c>
      <c r="O586" s="4" t="s">
        <v>60</v>
      </c>
      <c r="P586" s="4" t="s">
        <v>72</v>
      </c>
      <c r="Q586" s="4">
        <v>4</v>
      </c>
      <c r="R586" s="4" t="str">
        <f>TEXT(Table1[[#This Row],[Order Date]],"mmm")</f>
        <v>Aug</v>
      </c>
      <c r="S586" s="4" t="str">
        <f>TEXT(Table1[[#This Row],[Order Date]],"mm")</f>
        <v>08</v>
      </c>
      <c r="T586" s="4" t="str">
        <f>IF(Table1[[#This Row],[Sales]]&lt;0,"loss","profit")</f>
        <v>profit</v>
      </c>
      <c r="U586" s="4" t="str" cm="1">
        <f t="array" ref="U586">_xlfn.IFS(Table1[[#This Row],[Sales]]&gt;2000,"large",Table1[[#This Row],[Sales]]&gt;=500,"medium",Table1[[#This Row],[Sales]]&lt;500,"small")</f>
        <v>medium</v>
      </c>
      <c r="V586" s="22">
        <f>Table1[[#This Row],[Profit]]/Table1[[#This Row],[Sales]]*100</f>
        <v>30.036513732338467</v>
      </c>
    </row>
    <row r="587" spans="1:22" x14ac:dyDescent="0.35">
      <c r="A587" s="4" t="s">
        <v>967</v>
      </c>
      <c r="B587" s="5">
        <v>45873</v>
      </c>
      <c r="C587" s="4" t="s">
        <v>769</v>
      </c>
      <c r="D587" s="4" t="s">
        <v>20</v>
      </c>
      <c r="E587" s="4" t="s">
        <v>36</v>
      </c>
      <c r="F587" s="4" t="s">
        <v>48</v>
      </c>
      <c r="G587" s="4" t="s">
        <v>31</v>
      </c>
      <c r="H587" s="4" t="s">
        <v>64</v>
      </c>
      <c r="I587" s="4">
        <v>4</v>
      </c>
      <c r="J587" s="6">
        <v>103.57</v>
      </c>
      <c r="K587" s="7">
        <v>0.2</v>
      </c>
      <c r="L587" s="6">
        <f t="shared" si="18"/>
        <v>331.42399999999998</v>
      </c>
      <c r="M587" s="6">
        <v>60.78</v>
      </c>
      <c r="N587" s="8">
        <f t="shared" si="19"/>
        <v>88.303999999999974</v>
      </c>
      <c r="O587" s="4" t="s">
        <v>51</v>
      </c>
      <c r="P587" s="4" t="s">
        <v>33</v>
      </c>
      <c r="Q587" s="4">
        <v>1</v>
      </c>
      <c r="R587" s="4" t="str">
        <f>TEXT(Table1[[#This Row],[Order Date]],"mmm")</f>
        <v>Aug</v>
      </c>
      <c r="S587" s="4" t="str">
        <f>TEXT(Table1[[#This Row],[Order Date]],"mm")</f>
        <v>08</v>
      </c>
      <c r="T587" s="4" t="str">
        <f>IF(Table1[[#This Row],[Sales]]&lt;0,"loss","profit")</f>
        <v>profit</v>
      </c>
      <c r="U587" s="4" t="str" cm="1">
        <f t="array" ref="U587">_xlfn.IFS(Table1[[#This Row],[Sales]]&gt;2000,"large",Table1[[#This Row],[Sales]]&gt;=500,"medium",Table1[[#This Row],[Sales]]&lt;500,"small")</f>
        <v>small</v>
      </c>
      <c r="V587" s="22">
        <f>Table1[[#This Row],[Profit]]/Table1[[#This Row],[Sales]]*100</f>
        <v>26.64381577676933</v>
      </c>
    </row>
    <row r="588" spans="1:22" x14ac:dyDescent="0.35">
      <c r="A588" s="4" t="s">
        <v>968</v>
      </c>
      <c r="B588" s="5">
        <v>45874</v>
      </c>
      <c r="C588" s="4" t="s">
        <v>235</v>
      </c>
      <c r="D588" s="4" t="s">
        <v>20</v>
      </c>
      <c r="E588" s="4" t="s">
        <v>29</v>
      </c>
      <c r="F588" s="4" t="s">
        <v>108</v>
      </c>
      <c r="G588" s="4" t="s">
        <v>67</v>
      </c>
      <c r="H588" s="4" t="s">
        <v>140</v>
      </c>
      <c r="I588" s="4">
        <v>4</v>
      </c>
      <c r="J588" s="6">
        <v>208.79</v>
      </c>
      <c r="K588" s="7">
        <v>0</v>
      </c>
      <c r="L588" s="6">
        <f t="shared" si="18"/>
        <v>835.16</v>
      </c>
      <c r="M588" s="6">
        <v>150.16999999999999</v>
      </c>
      <c r="N588" s="8">
        <f t="shared" si="19"/>
        <v>234.48000000000002</v>
      </c>
      <c r="O588" s="4" t="s">
        <v>84</v>
      </c>
      <c r="P588" s="4" t="s">
        <v>97</v>
      </c>
      <c r="Q588" s="4">
        <v>3</v>
      </c>
      <c r="R588" s="4" t="str">
        <f>TEXT(Table1[[#This Row],[Order Date]],"mmm")</f>
        <v>Aug</v>
      </c>
      <c r="S588" s="4" t="str">
        <f>TEXT(Table1[[#This Row],[Order Date]],"mm")</f>
        <v>08</v>
      </c>
      <c r="T588" s="4" t="str">
        <f>IF(Table1[[#This Row],[Sales]]&lt;0,"loss","profit")</f>
        <v>profit</v>
      </c>
      <c r="U588" s="4" t="str" cm="1">
        <f t="array" ref="U588">_xlfn.IFS(Table1[[#This Row],[Sales]]&gt;2000,"large",Table1[[#This Row],[Sales]]&gt;=500,"medium",Table1[[#This Row],[Sales]]&lt;500,"small")</f>
        <v>medium</v>
      </c>
      <c r="V588" s="22">
        <f>Table1[[#This Row],[Profit]]/Table1[[#This Row],[Sales]]*100</f>
        <v>28.076057282436899</v>
      </c>
    </row>
    <row r="589" spans="1:22" x14ac:dyDescent="0.35">
      <c r="A589" s="4" t="s">
        <v>969</v>
      </c>
      <c r="B589" s="5">
        <v>45874</v>
      </c>
      <c r="C589" s="4" t="s">
        <v>139</v>
      </c>
      <c r="D589" s="4" t="s">
        <v>43</v>
      </c>
      <c r="E589" s="4" t="s">
        <v>29</v>
      </c>
      <c r="F589" s="4" t="s">
        <v>108</v>
      </c>
      <c r="G589" s="4" t="s">
        <v>31</v>
      </c>
      <c r="H589" s="4" t="s">
        <v>125</v>
      </c>
      <c r="I589" s="4">
        <v>5</v>
      </c>
      <c r="J589" s="6">
        <v>110.65</v>
      </c>
      <c r="K589" s="7">
        <v>0</v>
      </c>
      <c r="L589" s="6">
        <f t="shared" si="18"/>
        <v>553.25</v>
      </c>
      <c r="M589" s="6">
        <v>71.569999999999993</v>
      </c>
      <c r="N589" s="8">
        <f t="shared" si="19"/>
        <v>195.40000000000003</v>
      </c>
      <c r="O589" s="4" t="s">
        <v>84</v>
      </c>
      <c r="P589" s="4" t="s">
        <v>97</v>
      </c>
      <c r="Q589" s="4">
        <v>5</v>
      </c>
      <c r="R589" s="4" t="str">
        <f>TEXT(Table1[[#This Row],[Order Date]],"mmm")</f>
        <v>Aug</v>
      </c>
      <c r="S589" s="4" t="str">
        <f>TEXT(Table1[[#This Row],[Order Date]],"mm")</f>
        <v>08</v>
      </c>
      <c r="T589" s="4" t="str">
        <f>IF(Table1[[#This Row],[Sales]]&lt;0,"loss","profit")</f>
        <v>profit</v>
      </c>
      <c r="U589" s="4" t="str" cm="1">
        <f t="array" ref="U589">_xlfn.IFS(Table1[[#This Row],[Sales]]&gt;2000,"large",Table1[[#This Row],[Sales]]&gt;=500,"medium",Table1[[#This Row],[Sales]]&lt;500,"small")</f>
        <v>medium</v>
      </c>
      <c r="V589" s="22">
        <f>Table1[[#This Row],[Profit]]/Table1[[#This Row],[Sales]]*100</f>
        <v>35.31857207410755</v>
      </c>
    </row>
    <row r="590" spans="1:22" x14ac:dyDescent="0.35">
      <c r="A590" s="4" t="s">
        <v>970</v>
      </c>
      <c r="B590" s="5">
        <v>45874</v>
      </c>
      <c r="C590" s="4" t="s">
        <v>782</v>
      </c>
      <c r="D590" s="4" t="s">
        <v>20</v>
      </c>
      <c r="E590" s="4" t="s">
        <v>21</v>
      </c>
      <c r="F590" s="4" t="s">
        <v>81</v>
      </c>
      <c r="G590" s="4" t="s">
        <v>31</v>
      </c>
      <c r="H590" s="4" t="s">
        <v>125</v>
      </c>
      <c r="I590" s="4">
        <v>1</v>
      </c>
      <c r="J590" s="6">
        <v>104.58</v>
      </c>
      <c r="K590" s="7">
        <v>0.15</v>
      </c>
      <c r="L590" s="6">
        <f t="shared" si="18"/>
        <v>88.893000000000001</v>
      </c>
      <c r="M590" s="6">
        <v>60.59</v>
      </c>
      <c r="N590" s="8">
        <f t="shared" si="19"/>
        <v>28.302999999999997</v>
      </c>
      <c r="O590" s="4" t="s">
        <v>60</v>
      </c>
      <c r="P590" s="4" t="s">
        <v>26</v>
      </c>
      <c r="Q590" s="4">
        <v>5</v>
      </c>
      <c r="R590" s="4" t="str">
        <f>TEXT(Table1[[#This Row],[Order Date]],"mmm")</f>
        <v>Aug</v>
      </c>
      <c r="S590" s="4" t="str">
        <f>TEXT(Table1[[#This Row],[Order Date]],"mm")</f>
        <v>08</v>
      </c>
      <c r="T590" s="4" t="str">
        <f>IF(Table1[[#This Row],[Sales]]&lt;0,"loss","profit")</f>
        <v>profit</v>
      </c>
      <c r="U590" s="4" t="str" cm="1">
        <f t="array" ref="U590">_xlfn.IFS(Table1[[#This Row],[Sales]]&gt;2000,"large",Table1[[#This Row],[Sales]]&gt;=500,"medium",Table1[[#This Row],[Sales]]&lt;500,"small")</f>
        <v>small</v>
      </c>
      <c r="V590" s="22">
        <f>Table1[[#This Row],[Profit]]/Table1[[#This Row],[Sales]]*100</f>
        <v>31.839402427637719</v>
      </c>
    </row>
    <row r="591" spans="1:22" x14ac:dyDescent="0.35">
      <c r="A591" s="4" t="s">
        <v>971</v>
      </c>
      <c r="B591" s="5">
        <v>45874</v>
      </c>
      <c r="C591" s="4" t="s">
        <v>972</v>
      </c>
      <c r="D591" s="4" t="s">
        <v>20</v>
      </c>
      <c r="E591" s="4" t="s">
        <v>29</v>
      </c>
      <c r="F591" s="4" t="s">
        <v>108</v>
      </c>
      <c r="G591" s="4" t="s">
        <v>31</v>
      </c>
      <c r="H591" s="4" t="s">
        <v>64</v>
      </c>
      <c r="I591" s="4">
        <v>2</v>
      </c>
      <c r="J591" s="6">
        <v>87.35</v>
      </c>
      <c r="K591" s="7">
        <v>0</v>
      </c>
      <c r="L591" s="6">
        <f t="shared" si="18"/>
        <v>174.7</v>
      </c>
      <c r="M591" s="6">
        <v>58.08</v>
      </c>
      <c r="N591" s="8">
        <f t="shared" si="19"/>
        <v>58.539999999999992</v>
      </c>
      <c r="O591" s="4" t="s">
        <v>60</v>
      </c>
      <c r="P591" s="4" t="s">
        <v>61</v>
      </c>
      <c r="Q591" s="4">
        <v>3</v>
      </c>
      <c r="R591" s="4" t="str">
        <f>TEXT(Table1[[#This Row],[Order Date]],"mmm")</f>
        <v>Aug</v>
      </c>
      <c r="S591" s="4" t="str">
        <f>TEXT(Table1[[#This Row],[Order Date]],"mm")</f>
        <v>08</v>
      </c>
      <c r="T591" s="4" t="str">
        <f>IF(Table1[[#This Row],[Sales]]&lt;0,"loss","profit")</f>
        <v>profit</v>
      </c>
      <c r="U591" s="4" t="str" cm="1">
        <f t="array" ref="U591">_xlfn.IFS(Table1[[#This Row],[Sales]]&gt;2000,"large",Table1[[#This Row],[Sales]]&gt;=500,"medium",Table1[[#This Row],[Sales]]&lt;500,"small")</f>
        <v>small</v>
      </c>
      <c r="V591" s="22">
        <f>Table1[[#This Row],[Profit]]/Table1[[#This Row],[Sales]]*100</f>
        <v>33.508872352604463</v>
      </c>
    </row>
    <row r="592" spans="1:22" x14ac:dyDescent="0.35">
      <c r="A592" s="4" t="s">
        <v>973</v>
      </c>
      <c r="B592" s="5">
        <v>45874</v>
      </c>
      <c r="C592" s="4" t="s">
        <v>465</v>
      </c>
      <c r="D592" s="4" t="s">
        <v>43</v>
      </c>
      <c r="E592" s="4" t="s">
        <v>29</v>
      </c>
      <c r="F592" s="4" t="s">
        <v>30</v>
      </c>
      <c r="G592" s="4" t="s">
        <v>49</v>
      </c>
      <c r="H592" s="4" t="s">
        <v>78</v>
      </c>
      <c r="I592" s="4">
        <v>1</v>
      </c>
      <c r="J592" s="6">
        <v>519.32000000000005</v>
      </c>
      <c r="K592" s="7">
        <v>0</v>
      </c>
      <c r="L592" s="6">
        <f t="shared" si="18"/>
        <v>519.32000000000005</v>
      </c>
      <c r="M592" s="6">
        <v>306.49</v>
      </c>
      <c r="N592" s="8">
        <f t="shared" si="19"/>
        <v>212.83000000000004</v>
      </c>
      <c r="O592" s="4" t="s">
        <v>84</v>
      </c>
      <c r="P592" s="4" t="s">
        <v>26</v>
      </c>
      <c r="Q592" s="4">
        <v>2</v>
      </c>
      <c r="R592" s="4" t="str">
        <f>TEXT(Table1[[#This Row],[Order Date]],"mmm")</f>
        <v>Aug</v>
      </c>
      <c r="S592" s="4" t="str">
        <f>TEXT(Table1[[#This Row],[Order Date]],"mm")</f>
        <v>08</v>
      </c>
      <c r="T592" s="4" t="str">
        <f>IF(Table1[[#This Row],[Sales]]&lt;0,"loss","profit")</f>
        <v>profit</v>
      </c>
      <c r="U592" s="4" t="str" cm="1">
        <f t="array" ref="U592">_xlfn.IFS(Table1[[#This Row],[Sales]]&gt;2000,"large",Table1[[#This Row],[Sales]]&gt;=500,"medium",Table1[[#This Row],[Sales]]&lt;500,"small")</f>
        <v>medium</v>
      </c>
      <c r="V592" s="22">
        <f>Table1[[#This Row],[Profit]]/Table1[[#This Row],[Sales]]*100</f>
        <v>40.982438573519218</v>
      </c>
    </row>
    <row r="593" spans="1:22" x14ac:dyDescent="0.35">
      <c r="A593" s="4" t="s">
        <v>974</v>
      </c>
      <c r="B593" s="5">
        <v>45874</v>
      </c>
      <c r="C593" s="4" t="s">
        <v>809</v>
      </c>
      <c r="D593" s="4" t="s">
        <v>20</v>
      </c>
      <c r="E593" s="4" t="s">
        <v>87</v>
      </c>
      <c r="F593" s="4" t="s">
        <v>88</v>
      </c>
      <c r="G593" s="4" t="s">
        <v>23</v>
      </c>
      <c r="H593" s="4" t="s">
        <v>44</v>
      </c>
      <c r="I593" s="4">
        <v>3</v>
      </c>
      <c r="J593" s="6">
        <v>116.68</v>
      </c>
      <c r="K593" s="7">
        <v>0</v>
      </c>
      <c r="L593" s="6">
        <f t="shared" si="18"/>
        <v>350.04</v>
      </c>
      <c r="M593" s="6">
        <v>66.959999999999994</v>
      </c>
      <c r="N593" s="8">
        <f t="shared" si="19"/>
        <v>149.16000000000003</v>
      </c>
      <c r="O593" s="4" t="s">
        <v>40</v>
      </c>
      <c r="P593" s="4" t="s">
        <v>75</v>
      </c>
      <c r="Q593" s="4">
        <v>3</v>
      </c>
      <c r="R593" s="4" t="str">
        <f>TEXT(Table1[[#This Row],[Order Date]],"mmm")</f>
        <v>Aug</v>
      </c>
      <c r="S593" s="4" t="str">
        <f>TEXT(Table1[[#This Row],[Order Date]],"mm")</f>
        <v>08</v>
      </c>
      <c r="T593" s="4" t="str">
        <f>IF(Table1[[#This Row],[Sales]]&lt;0,"loss","profit")</f>
        <v>profit</v>
      </c>
      <c r="U593" s="4" t="str" cm="1">
        <f t="array" ref="U593">_xlfn.IFS(Table1[[#This Row],[Sales]]&gt;2000,"large",Table1[[#This Row],[Sales]]&gt;=500,"medium",Table1[[#This Row],[Sales]]&lt;500,"small")</f>
        <v>small</v>
      </c>
      <c r="V593" s="22">
        <f>Table1[[#This Row],[Profit]]/Table1[[#This Row],[Sales]]*100</f>
        <v>42.612272883099081</v>
      </c>
    </row>
    <row r="594" spans="1:22" x14ac:dyDescent="0.35">
      <c r="A594" s="4" t="s">
        <v>975</v>
      </c>
      <c r="B594" s="5">
        <v>45874</v>
      </c>
      <c r="C594" s="4" t="s">
        <v>976</v>
      </c>
      <c r="D594" s="4" t="s">
        <v>43</v>
      </c>
      <c r="E594" s="4" t="s">
        <v>21</v>
      </c>
      <c r="F594" s="4" t="s">
        <v>81</v>
      </c>
      <c r="G594" s="4" t="s">
        <v>38</v>
      </c>
      <c r="H594" s="4" t="s">
        <v>96</v>
      </c>
      <c r="I594" s="4">
        <v>1</v>
      </c>
      <c r="J594" s="6">
        <v>306.10000000000002</v>
      </c>
      <c r="K594" s="7">
        <v>0.05</v>
      </c>
      <c r="L594" s="6">
        <f t="shared" si="18"/>
        <v>290.79500000000002</v>
      </c>
      <c r="M594" s="6">
        <v>264.79000000000002</v>
      </c>
      <c r="N594" s="8">
        <f t="shared" si="19"/>
        <v>26.004999999999995</v>
      </c>
      <c r="O594" s="4" t="s">
        <v>40</v>
      </c>
      <c r="P594" s="4" t="s">
        <v>97</v>
      </c>
      <c r="Q594" s="4">
        <v>3</v>
      </c>
      <c r="R594" s="4" t="str">
        <f>TEXT(Table1[[#This Row],[Order Date]],"mmm")</f>
        <v>Aug</v>
      </c>
      <c r="S594" s="4" t="str">
        <f>TEXT(Table1[[#This Row],[Order Date]],"mm")</f>
        <v>08</v>
      </c>
      <c r="T594" s="4" t="str">
        <f>IF(Table1[[#This Row],[Sales]]&lt;0,"loss","profit")</f>
        <v>profit</v>
      </c>
      <c r="U594" s="4" t="str" cm="1">
        <f t="array" ref="U594">_xlfn.IFS(Table1[[#This Row],[Sales]]&gt;2000,"large",Table1[[#This Row],[Sales]]&gt;=500,"medium",Table1[[#This Row],[Sales]]&lt;500,"small")</f>
        <v>small</v>
      </c>
      <c r="V594" s="22">
        <f>Table1[[#This Row],[Profit]]/Table1[[#This Row],[Sales]]*100</f>
        <v>8.9427259753434534</v>
      </c>
    </row>
    <row r="595" spans="1:22" x14ac:dyDescent="0.35">
      <c r="A595" s="4" t="s">
        <v>977</v>
      </c>
      <c r="B595" s="5">
        <v>45874</v>
      </c>
      <c r="C595" s="4" t="s">
        <v>28</v>
      </c>
      <c r="D595" s="4" t="s">
        <v>20</v>
      </c>
      <c r="E595" s="4" t="s">
        <v>29</v>
      </c>
      <c r="F595" s="4" t="s">
        <v>54</v>
      </c>
      <c r="G595" s="4" t="s">
        <v>38</v>
      </c>
      <c r="H595" s="4" t="s">
        <v>39</v>
      </c>
      <c r="I595" s="4">
        <v>1</v>
      </c>
      <c r="J595" s="6">
        <v>234.81</v>
      </c>
      <c r="K595" s="7">
        <v>0</v>
      </c>
      <c r="L595" s="6">
        <f t="shared" si="18"/>
        <v>234.81</v>
      </c>
      <c r="M595" s="6">
        <v>185.15</v>
      </c>
      <c r="N595" s="8">
        <f t="shared" si="19"/>
        <v>49.66</v>
      </c>
      <c r="O595" s="4" t="s">
        <v>40</v>
      </c>
      <c r="P595" s="4" t="s">
        <v>61</v>
      </c>
      <c r="Q595" s="4">
        <v>4</v>
      </c>
      <c r="R595" s="4" t="str">
        <f>TEXT(Table1[[#This Row],[Order Date]],"mmm")</f>
        <v>Aug</v>
      </c>
      <c r="S595" s="4" t="str">
        <f>TEXT(Table1[[#This Row],[Order Date]],"mm")</f>
        <v>08</v>
      </c>
      <c r="T595" s="4" t="str">
        <f>IF(Table1[[#This Row],[Sales]]&lt;0,"loss","profit")</f>
        <v>profit</v>
      </c>
      <c r="U595" s="4" t="str" cm="1">
        <f t="array" ref="U595">_xlfn.IFS(Table1[[#This Row],[Sales]]&gt;2000,"large",Table1[[#This Row],[Sales]]&gt;=500,"medium",Table1[[#This Row],[Sales]]&lt;500,"small")</f>
        <v>small</v>
      </c>
      <c r="V595" s="22">
        <f>Table1[[#This Row],[Profit]]/Table1[[#This Row],[Sales]]*100</f>
        <v>21.149014096503553</v>
      </c>
    </row>
    <row r="596" spans="1:22" x14ac:dyDescent="0.35">
      <c r="A596" s="4" t="s">
        <v>978</v>
      </c>
      <c r="B596" s="5">
        <v>45875</v>
      </c>
      <c r="C596" s="4" t="s">
        <v>550</v>
      </c>
      <c r="D596" s="4" t="s">
        <v>43</v>
      </c>
      <c r="E596" s="4" t="s">
        <v>36</v>
      </c>
      <c r="F596" s="4" t="s">
        <v>48</v>
      </c>
      <c r="G596" s="4" t="s">
        <v>49</v>
      </c>
      <c r="H596" s="4" t="s">
        <v>128</v>
      </c>
      <c r="I596" s="4">
        <v>1</v>
      </c>
      <c r="J596" s="6">
        <v>87.81</v>
      </c>
      <c r="K596" s="7">
        <v>0</v>
      </c>
      <c r="L596" s="6">
        <f t="shared" si="18"/>
        <v>87.81</v>
      </c>
      <c r="M596" s="6">
        <v>53.83</v>
      </c>
      <c r="N596" s="8">
        <f t="shared" si="19"/>
        <v>33.980000000000004</v>
      </c>
      <c r="O596" s="4" t="s">
        <v>51</v>
      </c>
      <c r="P596" s="4" t="s">
        <v>72</v>
      </c>
      <c r="Q596" s="4">
        <v>4</v>
      </c>
      <c r="R596" s="4" t="str">
        <f>TEXT(Table1[[#This Row],[Order Date]],"mmm")</f>
        <v>Aug</v>
      </c>
      <c r="S596" s="4" t="str">
        <f>TEXT(Table1[[#This Row],[Order Date]],"mm")</f>
        <v>08</v>
      </c>
      <c r="T596" s="4" t="str">
        <f>IF(Table1[[#This Row],[Sales]]&lt;0,"loss","profit")</f>
        <v>profit</v>
      </c>
      <c r="U596" s="4" t="str" cm="1">
        <f t="array" ref="U596">_xlfn.IFS(Table1[[#This Row],[Sales]]&gt;2000,"large",Table1[[#This Row],[Sales]]&gt;=500,"medium",Table1[[#This Row],[Sales]]&lt;500,"small")</f>
        <v>small</v>
      </c>
      <c r="V596" s="22">
        <f>Table1[[#This Row],[Profit]]/Table1[[#This Row],[Sales]]*100</f>
        <v>38.697187108529782</v>
      </c>
    </row>
    <row r="597" spans="1:22" x14ac:dyDescent="0.35">
      <c r="A597" s="4" t="s">
        <v>979</v>
      </c>
      <c r="B597" s="5">
        <v>45875</v>
      </c>
      <c r="C597" s="4" t="s">
        <v>427</v>
      </c>
      <c r="D597" s="4" t="s">
        <v>20</v>
      </c>
      <c r="E597" s="4" t="s">
        <v>21</v>
      </c>
      <c r="F597" s="4" t="s">
        <v>81</v>
      </c>
      <c r="G597" s="4" t="s">
        <v>49</v>
      </c>
      <c r="H597" s="4" t="s">
        <v>187</v>
      </c>
      <c r="I597" s="4">
        <v>3</v>
      </c>
      <c r="J597" s="6">
        <v>99.03</v>
      </c>
      <c r="K597" s="7">
        <v>0.15</v>
      </c>
      <c r="L597" s="6">
        <f t="shared" si="18"/>
        <v>252.52650000000003</v>
      </c>
      <c r="M597" s="6">
        <v>62.86</v>
      </c>
      <c r="N597" s="8">
        <f t="shared" si="19"/>
        <v>63.946500000000043</v>
      </c>
      <c r="O597" s="4" t="s">
        <v>25</v>
      </c>
      <c r="P597" s="4" t="s">
        <v>97</v>
      </c>
      <c r="Q597" s="4">
        <v>4</v>
      </c>
      <c r="R597" s="4" t="str">
        <f>TEXT(Table1[[#This Row],[Order Date]],"mmm")</f>
        <v>Aug</v>
      </c>
      <c r="S597" s="4" t="str">
        <f>TEXT(Table1[[#This Row],[Order Date]],"mm")</f>
        <v>08</v>
      </c>
      <c r="T597" s="4" t="str">
        <f>IF(Table1[[#This Row],[Sales]]&lt;0,"loss","profit")</f>
        <v>profit</v>
      </c>
      <c r="U597" s="4" t="str" cm="1">
        <f t="array" ref="U597">_xlfn.IFS(Table1[[#This Row],[Sales]]&gt;2000,"large",Table1[[#This Row],[Sales]]&gt;=500,"medium",Table1[[#This Row],[Sales]]&lt;500,"small")</f>
        <v>small</v>
      </c>
      <c r="V597" s="22">
        <f>Table1[[#This Row],[Profit]]/Table1[[#This Row],[Sales]]*100</f>
        <v>25.322688905916817</v>
      </c>
    </row>
    <row r="598" spans="1:22" x14ac:dyDescent="0.35">
      <c r="A598" s="4" t="s">
        <v>980</v>
      </c>
      <c r="B598" s="5">
        <v>45875</v>
      </c>
      <c r="C598" s="4" t="s">
        <v>363</v>
      </c>
      <c r="D598" s="4" t="s">
        <v>20</v>
      </c>
      <c r="E598" s="4" t="s">
        <v>29</v>
      </c>
      <c r="F598" s="4" t="s">
        <v>30</v>
      </c>
      <c r="G598" s="4" t="s">
        <v>31</v>
      </c>
      <c r="H598" s="4" t="s">
        <v>125</v>
      </c>
      <c r="I598" s="4">
        <v>2</v>
      </c>
      <c r="J598" s="6">
        <v>100.56</v>
      </c>
      <c r="K598" s="7">
        <v>0.1</v>
      </c>
      <c r="L598" s="6">
        <f t="shared" si="18"/>
        <v>181.00800000000001</v>
      </c>
      <c r="M598" s="6">
        <v>71.81</v>
      </c>
      <c r="N598" s="8">
        <f t="shared" si="19"/>
        <v>37.388000000000005</v>
      </c>
      <c r="O598" s="4" t="s">
        <v>60</v>
      </c>
      <c r="P598" s="4" t="s">
        <v>97</v>
      </c>
      <c r="Q598" s="4">
        <v>4</v>
      </c>
      <c r="R598" s="4" t="str">
        <f>TEXT(Table1[[#This Row],[Order Date]],"mmm")</f>
        <v>Aug</v>
      </c>
      <c r="S598" s="4" t="str">
        <f>TEXT(Table1[[#This Row],[Order Date]],"mm")</f>
        <v>08</v>
      </c>
      <c r="T598" s="4" t="str">
        <f>IF(Table1[[#This Row],[Sales]]&lt;0,"loss","profit")</f>
        <v>profit</v>
      </c>
      <c r="U598" s="4" t="str" cm="1">
        <f t="array" ref="U598">_xlfn.IFS(Table1[[#This Row],[Sales]]&gt;2000,"large",Table1[[#This Row],[Sales]]&gt;=500,"medium",Table1[[#This Row],[Sales]]&lt;500,"small")</f>
        <v>small</v>
      </c>
      <c r="V598" s="22">
        <f>Table1[[#This Row],[Profit]]/Table1[[#This Row],[Sales]]*100</f>
        <v>20.655440643507472</v>
      </c>
    </row>
    <row r="599" spans="1:22" x14ac:dyDescent="0.35">
      <c r="A599" s="4" t="s">
        <v>981</v>
      </c>
      <c r="B599" s="5">
        <v>45876</v>
      </c>
      <c r="C599" s="4" t="s">
        <v>77</v>
      </c>
      <c r="D599" s="4" t="s">
        <v>47</v>
      </c>
      <c r="E599" s="4" t="s">
        <v>36</v>
      </c>
      <c r="F599" s="4" t="s">
        <v>37</v>
      </c>
      <c r="G599" s="4" t="s">
        <v>38</v>
      </c>
      <c r="H599" s="4" t="s">
        <v>109</v>
      </c>
      <c r="I599" s="4">
        <v>6</v>
      </c>
      <c r="J599" s="6">
        <v>519.02</v>
      </c>
      <c r="K599" s="7">
        <v>0.1</v>
      </c>
      <c r="L599" s="6">
        <f t="shared" si="18"/>
        <v>2802.7080000000001</v>
      </c>
      <c r="M599" s="6">
        <v>418.22</v>
      </c>
      <c r="N599" s="8">
        <f t="shared" si="19"/>
        <v>293.38799999999992</v>
      </c>
      <c r="O599" s="4" t="s">
        <v>40</v>
      </c>
      <c r="P599" s="4" t="s">
        <v>97</v>
      </c>
      <c r="Q599" s="4">
        <v>5</v>
      </c>
      <c r="R599" s="4" t="str">
        <f>TEXT(Table1[[#This Row],[Order Date]],"mmm")</f>
        <v>Aug</v>
      </c>
      <c r="S599" s="4" t="str">
        <f>TEXT(Table1[[#This Row],[Order Date]],"mm")</f>
        <v>08</v>
      </c>
      <c r="T599" s="4" t="str">
        <f>IF(Table1[[#This Row],[Sales]]&lt;0,"loss","profit")</f>
        <v>profit</v>
      </c>
      <c r="U599" s="4" t="str" cm="1">
        <f t="array" ref="U599">_xlfn.IFS(Table1[[#This Row],[Sales]]&gt;2000,"large",Table1[[#This Row],[Sales]]&gt;=500,"medium",Table1[[#This Row],[Sales]]&lt;500,"small")</f>
        <v>large</v>
      </c>
      <c r="V599" s="22">
        <f>Table1[[#This Row],[Profit]]/Table1[[#This Row],[Sales]]*100</f>
        <v>10.468018787544043</v>
      </c>
    </row>
    <row r="600" spans="1:22" x14ac:dyDescent="0.35">
      <c r="A600" s="4" t="s">
        <v>982</v>
      </c>
      <c r="B600" s="5">
        <v>45876</v>
      </c>
      <c r="C600" s="4" t="s">
        <v>545</v>
      </c>
      <c r="D600" s="4" t="s">
        <v>47</v>
      </c>
      <c r="E600" s="4" t="s">
        <v>36</v>
      </c>
      <c r="F600" s="4" t="s">
        <v>201</v>
      </c>
      <c r="G600" s="4" t="s">
        <v>23</v>
      </c>
      <c r="H600" s="4" t="s">
        <v>71</v>
      </c>
      <c r="I600" s="4">
        <v>2</v>
      </c>
      <c r="J600" s="6">
        <v>58.39</v>
      </c>
      <c r="K600" s="7">
        <v>0</v>
      </c>
      <c r="L600" s="6">
        <f t="shared" si="18"/>
        <v>116.78</v>
      </c>
      <c r="M600" s="6">
        <v>36.42</v>
      </c>
      <c r="N600" s="8">
        <f t="shared" si="19"/>
        <v>43.94</v>
      </c>
      <c r="O600" s="4" t="s">
        <v>40</v>
      </c>
      <c r="P600" s="4" t="s">
        <v>75</v>
      </c>
      <c r="Q600" s="4">
        <v>2</v>
      </c>
      <c r="R600" s="4" t="str">
        <f>TEXT(Table1[[#This Row],[Order Date]],"mmm")</f>
        <v>Aug</v>
      </c>
      <c r="S600" s="4" t="str">
        <f>TEXT(Table1[[#This Row],[Order Date]],"mm")</f>
        <v>08</v>
      </c>
      <c r="T600" s="4" t="str">
        <f>IF(Table1[[#This Row],[Sales]]&lt;0,"loss","profit")</f>
        <v>profit</v>
      </c>
      <c r="U600" s="4" t="str" cm="1">
        <f t="array" ref="U600">_xlfn.IFS(Table1[[#This Row],[Sales]]&gt;2000,"large",Table1[[#This Row],[Sales]]&gt;=500,"medium",Table1[[#This Row],[Sales]]&lt;500,"small")</f>
        <v>small</v>
      </c>
      <c r="V600" s="22">
        <f>Table1[[#This Row],[Profit]]/Table1[[#This Row],[Sales]]*100</f>
        <v>37.626305874293543</v>
      </c>
    </row>
    <row r="601" spans="1:22" x14ac:dyDescent="0.35">
      <c r="A601" s="4" t="s">
        <v>983</v>
      </c>
      <c r="B601" s="5">
        <v>45877</v>
      </c>
      <c r="C601" s="4" t="s">
        <v>653</v>
      </c>
      <c r="D601" s="4" t="s">
        <v>47</v>
      </c>
      <c r="E601" s="4" t="s">
        <v>87</v>
      </c>
      <c r="F601" s="4" t="s">
        <v>92</v>
      </c>
      <c r="G601" s="4" t="s">
        <v>31</v>
      </c>
      <c r="H601" s="4" t="s">
        <v>32</v>
      </c>
      <c r="I601" s="4">
        <v>1</v>
      </c>
      <c r="J601" s="6">
        <v>195.78</v>
      </c>
      <c r="K601" s="7">
        <v>0</v>
      </c>
      <c r="L601" s="6">
        <f t="shared" si="18"/>
        <v>195.78</v>
      </c>
      <c r="M601" s="6">
        <v>117.63</v>
      </c>
      <c r="N601" s="8">
        <f t="shared" si="19"/>
        <v>78.150000000000006</v>
      </c>
      <c r="O601" s="4" t="s">
        <v>25</v>
      </c>
      <c r="P601" s="4" t="s">
        <v>26</v>
      </c>
      <c r="Q601" s="4">
        <v>4</v>
      </c>
      <c r="R601" s="4" t="str">
        <f>TEXT(Table1[[#This Row],[Order Date]],"mmm")</f>
        <v>Aug</v>
      </c>
      <c r="S601" s="4" t="str">
        <f>TEXT(Table1[[#This Row],[Order Date]],"mm")</f>
        <v>08</v>
      </c>
      <c r="T601" s="4" t="str">
        <f>IF(Table1[[#This Row],[Sales]]&lt;0,"loss","profit")</f>
        <v>profit</v>
      </c>
      <c r="U601" s="4" t="str" cm="1">
        <f t="array" ref="U601">_xlfn.IFS(Table1[[#This Row],[Sales]]&gt;2000,"large",Table1[[#This Row],[Sales]]&gt;=500,"medium",Table1[[#This Row],[Sales]]&lt;500,"small")</f>
        <v>small</v>
      </c>
      <c r="V601" s="22">
        <f>Table1[[#This Row],[Profit]]/Table1[[#This Row],[Sales]]*100</f>
        <v>39.917254060680357</v>
      </c>
    </row>
    <row r="602" spans="1:22" x14ac:dyDescent="0.35">
      <c r="A602" s="4" t="s">
        <v>984</v>
      </c>
      <c r="B602" s="5">
        <v>45877</v>
      </c>
      <c r="C602" s="4" t="s">
        <v>42</v>
      </c>
      <c r="D602" s="4" t="s">
        <v>47</v>
      </c>
      <c r="E602" s="4" t="s">
        <v>29</v>
      </c>
      <c r="F602" s="4" t="s">
        <v>54</v>
      </c>
      <c r="G602" s="4" t="s">
        <v>38</v>
      </c>
      <c r="H602" s="4" t="s">
        <v>39</v>
      </c>
      <c r="I602" s="4">
        <v>2</v>
      </c>
      <c r="J602" s="6">
        <v>323.10000000000002</v>
      </c>
      <c r="K602" s="7">
        <v>0</v>
      </c>
      <c r="L602" s="6">
        <f t="shared" si="18"/>
        <v>646.20000000000005</v>
      </c>
      <c r="M602" s="6">
        <v>256.20999999999998</v>
      </c>
      <c r="N602" s="8">
        <f t="shared" si="19"/>
        <v>133.78000000000009</v>
      </c>
      <c r="O602" s="4" t="s">
        <v>60</v>
      </c>
      <c r="P602" s="4" t="s">
        <v>56</v>
      </c>
      <c r="Q602" s="4">
        <v>3</v>
      </c>
      <c r="R602" s="4" t="str">
        <f>TEXT(Table1[[#This Row],[Order Date]],"mmm")</f>
        <v>Aug</v>
      </c>
      <c r="S602" s="4" t="str">
        <f>TEXT(Table1[[#This Row],[Order Date]],"mm")</f>
        <v>08</v>
      </c>
      <c r="T602" s="4" t="str">
        <f>IF(Table1[[#This Row],[Sales]]&lt;0,"loss","profit")</f>
        <v>profit</v>
      </c>
      <c r="U602" s="4" t="str" cm="1">
        <f t="array" ref="U602">_xlfn.IFS(Table1[[#This Row],[Sales]]&gt;2000,"large",Table1[[#This Row],[Sales]]&gt;=500,"medium",Table1[[#This Row],[Sales]]&lt;500,"small")</f>
        <v>medium</v>
      </c>
      <c r="V602" s="22">
        <f>Table1[[#This Row],[Profit]]/Table1[[#This Row],[Sales]]*100</f>
        <v>20.702568864128764</v>
      </c>
    </row>
    <row r="603" spans="1:22" x14ac:dyDescent="0.35">
      <c r="A603" s="4" t="s">
        <v>985</v>
      </c>
      <c r="B603" s="5">
        <v>45877</v>
      </c>
      <c r="C603" s="4" t="s">
        <v>670</v>
      </c>
      <c r="D603" s="4" t="s">
        <v>47</v>
      </c>
      <c r="E603" s="4" t="s">
        <v>21</v>
      </c>
      <c r="F603" s="4" t="s">
        <v>59</v>
      </c>
      <c r="G603" s="4" t="s">
        <v>38</v>
      </c>
      <c r="H603" s="4" t="s">
        <v>96</v>
      </c>
      <c r="I603" s="4">
        <v>1</v>
      </c>
      <c r="J603" s="6">
        <v>242.65</v>
      </c>
      <c r="K603" s="7">
        <v>0.05</v>
      </c>
      <c r="L603" s="6">
        <f t="shared" si="18"/>
        <v>230.51749999999998</v>
      </c>
      <c r="M603" s="6">
        <v>193.95</v>
      </c>
      <c r="N603" s="8">
        <f t="shared" si="19"/>
        <v>36.567499999999995</v>
      </c>
      <c r="O603" s="4" t="s">
        <v>60</v>
      </c>
      <c r="P603" s="4" t="s">
        <v>72</v>
      </c>
      <c r="Q603" s="4">
        <v>4</v>
      </c>
      <c r="R603" s="4" t="str">
        <f>TEXT(Table1[[#This Row],[Order Date]],"mmm")</f>
        <v>Aug</v>
      </c>
      <c r="S603" s="4" t="str">
        <f>TEXT(Table1[[#This Row],[Order Date]],"mm")</f>
        <v>08</v>
      </c>
      <c r="T603" s="4" t="str">
        <f>IF(Table1[[#This Row],[Sales]]&lt;0,"loss","profit")</f>
        <v>profit</v>
      </c>
      <c r="U603" s="4" t="str" cm="1">
        <f t="array" ref="U603">_xlfn.IFS(Table1[[#This Row],[Sales]]&gt;2000,"large",Table1[[#This Row],[Sales]]&gt;=500,"medium",Table1[[#This Row],[Sales]]&lt;500,"small")</f>
        <v>small</v>
      </c>
      <c r="V603" s="22">
        <f>Table1[[#This Row],[Profit]]/Table1[[#This Row],[Sales]]*100</f>
        <v>15.863220796685717</v>
      </c>
    </row>
    <row r="604" spans="1:22" x14ac:dyDescent="0.35">
      <c r="A604" s="4" t="s">
        <v>986</v>
      </c>
      <c r="B604" s="5">
        <v>45877</v>
      </c>
      <c r="C604" s="4" t="s">
        <v>732</v>
      </c>
      <c r="D604" s="4" t="s">
        <v>47</v>
      </c>
      <c r="E604" s="4" t="s">
        <v>21</v>
      </c>
      <c r="F604" s="4" t="s">
        <v>81</v>
      </c>
      <c r="G604" s="4" t="s">
        <v>38</v>
      </c>
      <c r="H604" s="4" t="s">
        <v>39</v>
      </c>
      <c r="I604" s="4">
        <v>3</v>
      </c>
      <c r="J604" s="6">
        <v>317.17</v>
      </c>
      <c r="K604" s="7">
        <v>0.05</v>
      </c>
      <c r="L604" s="6">
        <f t="shared" si="18"/>
        <v>903.93449999999996</v>
      </c>
      <c r="M604" s="6">
        <v>251.37</v>
      </c>
      <c r="N604" s="8">
        <f t="shared" si="19"/>
        <v>149.82449999999994</v>
      </c>
      <c r="O604" s="4" t="s">
        <v>60</v>
      </c>
      <c r="P604" s="4" t="s">
        <v>97</v>
      </c>
      <c r="Q604" s="4">
        <v>5</v>
      </c>
      <c r="R604" s="4" t="str">
        <f>TEXT(Table1[[#This Row],[Order Date]],"mmm")</f>
        <v>Aug</v>
      </c>
      <c r="S604" s="4" t="str">
        <f>TEXT(Table1[[#This Row],[Order Date]],"mm")</f>
        <v>08</v>
      </c>
      <c r="T604" s="4" t="str">
        <f>IF(Table1[[#This Row],[Sales]]&lt;0,"loss","profit")</f>
        <v>profit</v>
      </c>
      <c r="U604" s="4" t="str" cm="1">
        <f t="array" ref="U604">_xlfn.IFS(Table1[[#This Row],[Sales]]&gt;2000,"large",Table1[[#This Row],[Sales]]&gt;=500,"medium",Table1[[#This Row],[Sales]]&lt;500,"small")</f>
        <v>medium</v>
      </c>
      <c r="V604" s="22">
        <f>Table1[[#This Row],[Profit]]/Table1[[#This Row],[Sales]]*100</f>
        <v>16.574707570072828</v>
      </c>
    </row>
    <row r="605" spans="1:22" x14ac:dyDescent="0.35">
      <c r="A605" s="4" t="s">
        <v>987</v>
      </c>
      <c r="B605" s="5">
        <v>45878</v>
      </c>
      <c r="C605" s="4" t="s">
        <v>260</v>
      </c>
      <c r="D605" s="4" t="s">
        <v>20</v>
      </c>
      <c r="E605" s="4" t="s">
        <v>21</v>
      </c>
      <c r="F605" s="4" t="s">
        <v>81</v>
      </c>
      <c r="G605" s="4" t="s">
        <v>49</v>
      </c>
      <c r="H605" s="4" t="s">
        <v>78</v>
      </c>
      <c r="I605" s="4">
        <v>1</v>
      </c>
      <c r="J605" s="6">
        <v>740.69</v>
      </c>
      <c r="K605" s="7">
        <v>0</v>
      </c>
      <c r="L605" s="6">
        <f t="shared" si="18"/>
        <v>740.69</v>
      </c>
      <c r="M605" s="6">
        <v>525.89</v>
      </c>
      <c r="N605" s="8">
        <f t="shared" si="19"/>
        <v>214.80000000000007</v>
      </c>
      <c r="O605" s="4" t="s">
        <v>60</v>
      </c>
      <c r="P605" s="4" t="s">
        <v>72</v>
      </c>
      <c r="Q605" s="4">
        <v>5</v>
      </c>
      <c r="R605" s="4" t="str">
        <f>TEXT(Table1[[#This Row],[Order Date]],"mmm")</f>
        <v>Aug</v>
      </c>
      <c r="S605" s="4" t="str">
        <f>TEXT(Table1[[#This Row],[Order Date]],"mm")</f>
        <v>08</v>
      </c>
      <c r="T605" s="4" t="str">
        <f>IF(Table1[[#This Row],[Sales]]&lt;0,"loss","profit")</f>
        <v>profit</v>
      </c>
      <c r="U605" s="4" t="str" cm="1">
        <f t="array" ref="U605">_xlfn.IFS(Table1[[#This Row],[Sales]]&gt;2000,"large",Table1[[#This Row],[Sales]]&gt;=500,"medium",Table1[[#This Row],[Sales]]&lt;500,"small")</f>
        <v>medium</v>
      </c>
      <c r="V605" s="22">
        <f>Table1[[#This Row],[Profit]]/Table1[[#This Row],[Sales]]*100</f>
        <v>28.999986499075192</v>
      </c>
    </row>
    <row r="606" spans="1:22" x14ac:dyDescent="0.35">
      <c r="A606" s="4" t="s">
        <v>988</v>
      </c>
      <c r="B606" s="5">
        <v>45878</v>
      </c>
      <c r="C606" s="4" t="s">
        <v>989</v>
      </c>
      <c r="D606" s="4" t="s">
        <v>47</v>
      </c>
      <c r="E606" s="4" t="s">
        <v>21</v>
      </c>
      <c r="F606" s="4" t="s">
        <v>81</v>
      </c>
      <c r="G606" s="4" t="s">
        <v>38</v>
      </c>
      <c r="H606" s="4" t="s">
        <v>109</v>
      </c>
      <c r="I606" s="4">
        <v>2</v>
      </c>
      <c r="J606" s="6">
        <v>879.21</v>
      </c>
      <c r="K606" s="7">
        <v>0.1</v>
      </c>
      <c r="L606" s="6">
        <f t="shared" si="18"/>
        <v>1582.5780000000002</v>
      </c>
      <c r="M606" s="6">
        <v>785.48</v>
      </c>
      <c r="N606" s="8">
        <f t="shared" si="19"/>
        <v>11.618000000000166</v>
      </c>
      <c r="O606" s="4" t="s">
        <v>51</v>
      </c>
      <c r="P606" s="4" t="s">
        <v>97</v>
      </c>
      <c r="Q606" s="4">
        <v>5</v>
      </c>
      <c r="R606" s="4" t="str">
        <f>TEXT(Table1[[#This Row],[Order Date]],"mmm")</f>
        <v>Aug</v>
      </c>
      <c r="S606" s="4" t="str">
        <f>TEXT(Table1[[#This Row],[Order Date]],"mm")</f>
        <v>08</v>
      </c>
      <c r="T606" s="4" t="str">
        <f>IF(Table1[[#This Row],[Sales]]&lt;0,"loss","profit")</f>
        <v>profit</v>
      </c>
      <c r="U606" s="4" t="str" cm="1">
        <f t="array" ref="U606">_xlfn.IFS(Table1[[#This Row],[Sales]]&gt;2000,"large",Table1[[#This Row],[Sales]]&gt;=500,"medium",Table1[[#This Row],[Sales]]&lt;500,"small")</f>
        <v>medium</v>
      </c>
      <c r="V606" s="22">
        <f>Table1[[#This Row],[Profit]]/Table1[[#This Row],[Sales]]*100</f>
        <v>0.73411863427901591</v>
      </c>
    </row>
    <row r="607" spans="1:22" x14ac:dyDescent="0.35">
      <c r="A607" s="4" t="s">
        <v>990</v>
      </c>
      <c r="B607" s="5">
        <v>45878</v>
      </c>
      <c r="C607" s="4" t="s">
        <v>452</v>
      </c>
      <c r="D607" s="4" t="s">
        <v>43</v>
      </c>
      <c r="E607" s="4" t="s">
        <v>21</v>
      </c>
      <c r="F607" s="4" t="s">
        <v>81</v>
      </c>
      <c r="G607" s="4" t="s">
        <v>38</v>
      </c>
      <c r="H607" s="4" t="s">
        <v>109</v>
      </c>
      <c r="I607" s="4">
        <v>3</v>
      </c>
      <c r="J607" s="6">
        <v>384.71</v>
      </c>
      <c r="K607" s="7">
        <v>0</v>
      </c>
      <c r="L607" s="6">
        <f t="shared" si="18"/>
        <v>1154.1299999999999</v>
      </c>
      <c r="M607" s="6">
        <v>327.58</v>
      </c>
      <c r="N607" s="8">
        <f t="shared" si="19"/>
        <v>171.38999999999987</v>
      </c>
      <c r="O607" s="4" t="s">
        <v>84</v>
      </c>
      <c r="P607" s="4" t="s">
        <v>56</v>
      </c>
      <c r="Q607" s="4">
        <v>4</v>
      </c>
      <c r="R607" s="4" t="str">
        <f>TEXT(Table1[[#This Row],[Order Date]],"mmm")</f>
        <v>Aug</v>
      </c>
      <c r="S607" s="4" t="str">
        <f>TEXT(Table1[[#This Row],[Order Date]],"mm")</f>
        <v>08</v>
      </c>
      <c r="T607" s="4" t="str">
        <f>IF(Table1[[#This Row],[Sales]]&lt;0,"loss","profit")</f>
        <v>profit</v>
      </c>
      <c r="U607" s="4" t="str" cm="1">
        <f t="array" ref="U607">_xlfn.IFS(Table1[[#This Row],[Sales]]&gt;2000,"large",Table1[[#This Row],[Sales]]&gt;=500,"medium",Table1[[#This Row],[Sales]]&lt;500,"small")</f>
        <v>medium</v>
      </c>
      <c r="V607" s="22">
        <f>Table1[[#This Row],[Profit]]/Table1[[#This Row],[Sales]]*100</f>
        <v>14.850146863871478</v>
      </c>
    </row>
    <row r="608" spans="1:22" x14ac:dyDescent="0.35">
      <c r="A608" s="4" t="s">
        <v>991</v>
      </c>
      <c r="B608" s="5">
        <v>45878</v>
      </c>
      <c r="C608" s="4" t="s">
        <v>897</v>
      </c>
      <c r="D608" s="4" t="s">
        <v>20</v>
      </c>
      <c r="E608" s="4" t="s">
        <v>29</v>
      </c>
      <c r="F608" s="4" t="s">
        <v>30</v>
      </c>
      <c r="G608" s="4" t="s">
        <v>67</v>
      </c>
      <c r="H608" s="4" t="s">
        <v>140</v>
      </c>
      <c r="I608" s="4">
        <v>4</v>
      </c>
      <c r="J608" s="6">
        <v>68.349999999999994</v>
      </c>
      <c r="K608" s="7">
        <v>0.05</v>
      </c>
      <c r="L608" s="6">
        <f t="shared" si="18"/>
        <v>259.72999999999996</v>
      </c>
      <c r="M608" s="6">
        <v>42.58</v>
      </c>
      <c r="N608" s="8">
        <f t="shared" si="19"/>
        <v>89.409999999999968</v>
      </c>
      <c r="O608" s="4" t="s">
        <v>51</v>
      </c>
      <c r="P608" s="4" t="s">
        <v>61</v>
      </c>
      <c r="Q608" s="4">
        <v>3</v>
      </c>
      <c r="R608" s="4" t="str">
        <f>TEXT(Table1[[#This Row],[Order Date]],"mmm")</f>
        <v>Aug</v>
      </c>
      <c r="S608" s="4" t="str">
        <f>TEXT(Table1[[#This Row],[Order Date]],"mm")</f>
        <v>08</v>
      </c>
      <c r="T608" s="4" t="str">
        <f>IF(Table1[[#This Row],[Sales]]&lt;0,"loss","profit")</f>
        <v>profit</v>
      </c>
      <c r="U608" s="4" t="str" cm="1">
        <f t="array" ref="U608">_xlfn.IFS(Table1[[#This Row],[Sales]]&gt;2000,"large",Table1[[#This Row],[Sales]]&gt;=500,"medium",Table1[[#This Row],[Sales]]&lt;500,"small")</f>
        <v>small</v>
      </c>
      <c r="V608" s="22">
        <f>Table1[[#This Row],[Profit]]/Table1[[#This Row],[Sales]]*100</f>
        <v>34.424209756285364</v>
      </c>
    </row>
    <row r="609" spans="1:22" x14ac:dyDescent="0.35">
      <c r="A609" s="4" t="s">
        <v>992</v>
      </c>
      <c r="B609" s="5">
        <v>45879</v>
      </c>
      <c r="C609" s="4" t="s">
        <v>809</v>
      </c>
      <c r="D609" s="4" t="s">
        <v>43</v>
      </c>
      <c r="E609" s="4" t="s">
        <v>87</v>
      </c>
      <c r="F609" s="4" t="s">
        <v>92</v>
      </c>
      <c r="G609" s="4" t="s">
        <v>38</v>
      </c>
      <c r="H609" s="4" t="s">
        <v>55</v>
      </c>
      <c r="I609" s="4">
        <v>1</v>
      </c>
      <c r="J609" s="6">
        <v>294.98</v>
      </c>
      <c r="K609" s="7">
        <v>0.1</v>
      </c>
      <c r="L609" s="6">
        <f t="shared" si="18"/>
        <v>265.48200000000003</v>
      </c>
      <c r="M609" s="6">
        <v>234.67</v>
      </c>
      <c r="N609" s="8">
        <f t="shared" si="19"/>
        <v>30.81200000000004</v>
      </c>
      <c r="O609" s="4" t="s">
        <v>40</v>
      </c>
      <c r="P609" s="4" t="s">
        <v>56</v>
      </c>
      <c r="Q609" s="4">
        <v>4</v>
      </c>
      <c r="R609" s="4" t="str">
        <f>TEXT(Table1[[#This Row],[Order Date]],"mmm")</f>
        <v>Aug</v>
      </c>
      <c r="S609" s="4" t="str">
        <f>TEXT(Table1[[#This Row],[Order Date]],"mm")</f>
        <v>08</v>
      </c>
      <c r="T609" s="4" t="str">
        <f>IF(Table1[[#This Row],[Sales]]&lt;0,"loss","profit")</f>
        <v>profit</v>
      </c>
      <c r="U609" s="4" t="str" cm="1">
        <f t="array" ref="U609">_xlfn.IFS(Table1[[#This Row],[Sales]]&gt;2000,"large",Table1[[#This Row],[Sales]]&gt;=500,"medium",Table1[[#This Row],[Sales]]&lt;500,"small")</f>
        <v>small</v>
      </c>
      <c r="V609" s="22">
        <f>Table1[[#This Row],[Profit]]/Table1[[#This Row],[Sales]]*100</f>
        <v>11.606059921199945</v>
      </c>
    </row>
    <row r="610" spans="1:22" x14ac:dyDescent="0.35">
      <c r="A610" s="4" t="s">
        <v>993</v>
      </c>
      <c r="B610" s="5">
        <v>45880</v>
      </c>
      <c r="C610" s="4" t="s">
        <v>283</v>
      </c>
      <c r="D610" s="4" t="s">
        <v>47</v>
      </c>
      <c r="E610" s="4" t="s">
        <v>87</v>
      </c>
      <c r="F610" s="4" t="s">
        <v>124</v>
      </c>
      <c r="G610" s="4" t="s">
        <v>23</v>
      </c>
      <c r="H610" s="4" t="s">
        <v>44</v>
      </c>
      <c r="I610" s="4">
        <v>3</v>
      </c>
      <c r="J610" s="6">
        <v>85.88</v>
      </c>
      <c r="K610" s="7">
        <v>0.2</v>
      </c>
      <c r="L610" s="6">
        <f t="shared" si="18"/>
        <v>206.11199999999999</v>
      </c>
      <c r="M610" s="6">
        <v>42.07</v>
      </c>
      <c r="N610" s="8">
        <f t="shared" si="19"/>
        <v>79.901999999999987</v>
      </c>
      <c r="O610" s="4" t="s">
        <v>51</v>
      </c>
      <c r="P610" s="4" t="s">
        <v>56</v>
      </c>
      <c r="Q610" s="4">
        <v>3</v>
      </c>
      <c r="R610" s="4" t="str">
        <f>TEXT(Table1[[#This Row],[Order Date]],"mmm")</f>
        <v>Aug</v>
      </c>
      <c r="S610" s="4" t="str">
        <f>TEXT(Table1[[#This Row],[Order Date]],"mm")</f>
        <v>08</v>
      </c>
      <c r="T610" s="4" t="str">
        <f>IF(Table1[[#This Row],[Sales]]&lt;0,"loss","profit")</f>
        <v>profit</v>
      </c>
      <c r="U610" s="4" t="str" cm="1">
        <f t="array" ref="U610">_xlfn.IFS(Table1[[#This Row],[Sales]]&gt;2000,"large",Table1[[#This Row],[Sales]]&gt;=500,"medium",Table1[[#This Row],[Sales]]&lt;500,"small")</f>
        <v>small</v>
      </c>
      <c r="V610" s="22">
        <f>Table1[[#This Row],[Profit]]/Table1[[#This Row],[Sales]]*100</f>
        <v>38.766301816488117</v>
      </c>
    </row>
    <row r="611" spans="1:22" x14ac:dyDescent="0.35">
      <c r="A611" s="4" t="s">
        <v>994</v>
      </c>
      <c r="B611" s="5">
        <v>45880</v>
      </c>
      <c r="C611" s="4" t="s">
        <v>995</v>
      </c>
      <c r="D611" s="4" t="s">
        <v>20</v>
      </c>
      <c r="E611" s="4" t="s">
        <v>36</v>
      </c>
      <c r="F611" s="4" t="s">
        <v>201</v>
      </c>
      <c r="G611" s="4" t="s">
        <v>31</v>
      </c>
      <c r="H611" s="4" t="s">
        <v>125</v>
      </c>
      <c r="I611" s="4">
        <v>1</v>
      </c>
      <c r="J611" s="6">
        <v>135.36000000000001</v>
      </c>
      <c r="K611" s="7">
        <v>0</v>
      </c>
      <c r="L611" s="6">
        <f t="shared" si="18"/>
        <v>135.36000000000001</v>
      </c>
      <c r="M611" s="6">
        <v>99.9</v>
      </c>
      <c r="N611" s="8">
        <f t="shared" si="19"/>
        <v>35.460000000000008</v>
      </c>
      <c r="O611" s="4" t="s">
        <v>60</v>
      </c>
      <c r="P611" s="4" t="s">
        <v>72</v>
      </c>
      <c r="Q611" s="4">
        <v>5</v>
      </c>
      <c r="R611" s="4" t="str">
        <f>TEXT(Table1[[#This Row],[Order Date]],"mmm")</f>
        <v>Aug</v>
      </c>
      <c r="S611" s="4" t="str">
        <f>TEXT(Table1[[#This Row],[Order Date]],"mm")</f>
        <v>08</v>
      </c>
      <c r="T611" s="4" t="str">
        <f>IF(Table1[[#This Row],[Sales]]&lt;0,"loss","profit")</f>
        <v>profit</v>
      </c>
      <c r="U611" s="4" t="str" cm="1">
        <f t="array" ref="U611">_xlfn.IFS(Table1[[#This Row],[Sales]]&gt;2000,"large",Table1[[#This Row],[Sales]]&gt;=500,"medium",Table1[[#This Row],[Sales]]&lt;500,"small")</f>
        <v>small</v>
      </c>
      <c r="V611" s="22">
        <f>Table1[[#This Row],[Profit]]/Table1[[#This Row],[Sales]]*100</f>
        <v>26.196808510638302</v>
      </c>
    </row>
    <row r="612" spans="1:22" x14ac:dyDescent="0.35">
      <c r="A612" s="4" t="s">
        <v>996</v>
      </c>
      <c r="B612" s="5">
        <v>45880</v>
      </c>
      <c r="C612" s="4" t="s">
        <v>481</v>
      </c>
      <c r="D612" s="4" t="s">
        <v>43</v>
      </c>
      <c r="E612" s="4" t="s">
        <v>36</v>
      </c>
      <c r="F612" s="4" t="s">
        <v>201</v>
      </c>
      <c r="G612" s="4" t="s">
        <v>23</v>
      </c>
      <c r="H612" s="4" t="s">
        <v>44</v>
      </c>
      <c r="I612" s="4">
        <v>3</v>
      </c>
      <c r="J612" s="6">
        <v>128.71</v>
      </c>
      <c r="K612" s="7">
        <v>0.1</v>
      </c>
      <c r="L612" s="6">
        <f t="shared" si="18"/>
        <v>347.517</v>
      </c>
      <c r="M612" s="6">
        <v>73.09</v>
      </c>
      <c r="N612" s="8">
        <f t="shared" si="19"/>
        <v>128.24699999999999</v>
      </c>
      <c r="O612" s="4" t="s">
        <v>25</v>
      </c>
      <c r="P612" s="4" t="s">
        <v>75</v>
      </c>
      <c r="Q612" s="4">
        <v>3</v>
      </c>
      <c r="R612" s="4" t="str">
        <f>TEXT(Table1[[#This Row],[Order Date]],"mmm")</f>
        <v>Aug</v>
      </c>
      <c r="S612" s="4" t="str">
        <f>TEXT(Table1[[#This Row],[Order Date]],"mm")</f>
        <v>08</v>
      </c>
      <c r="T612" s="4" t="str">
        <f>IF(Table1[[#This Row],[Sales]]&lt;0,"loss","profit")</f>
        <v>profit</v>
      </c>
      <c r="U612" s="4" t="str" cm="1">
        <f t="array" ref="U612">_xlfn.IFS(Table1[[#This Row],[Sales]]&gt;2000,"large",Table1[[#This Row],[Sales]]&gt;=500,"medium",Table1[[#This Row],[Sales]]&lt;500,"small")</f>
        <v>small</v>
      </c>
      <c r="V612" s="22">
        <f>Table1[[#This Row],[Profit]]/Table1[[#This Row],[Sales]]*100</f>
        <v>36.903806144735363</v>
      </c>
    </row>
    <row r="613" spans="1:22" x14ac:dyDescent="0.35">
      <c r="A613" s="4" t="s">
        <v>997</v>
      </c>
      <c r="B613" s="5">
        <v>45881</v>
      </c>
      <c r="C613" s="4" t="s">
        <v>711</v>
      </c>
      <c r="D613" s="4" t="s">
        <v>20</v>
      </c>
      <c r="E613" s="4" t="s">
        <v>87</v>
      </c>
      <c r="F613" s="4" t="s">
        <v>124</v>
      </c>
      <c r="G613" s="4" t="s">
        <v>31</v>
      </c>
      <c r="H613" s="4" t="s">
        <v>64</v>
      </c>
      <c r="I613" s="4">
        <v>3</v>
      </c>
      <c r="J613" s="6">
        <v>90.87</v>
      </c>
      <c r="K613" s="7">
        <v>0</v>
      </c>
      <c r="L613" s="6">
        <f t="shared" si="18"/>
        <v>272.61</v>
      </c>
      <c r="M613" s="6">
        <v>58.35</v>
      </c>
      <c r="N613" s="8">
        <f t="shared" si="19"/>
        <v>97.56</v>
      </c>
      <c r="O613" s="4" t="s">
        <v>25</v>
      </c>
      <c r="P613" s="4" t="s">
        <v>61</v>
      </c>
      <c r="Q613" s="4">
        <v>4</v>
      </c>
      <c r="R613" s="4" t="str">
        <f>TEXT(Table1[[#This Row],[Order Date]],"mmm")</f>
        <v>Aug</v>
      </c>
      <c r="S613" s="4" t="str">
        <f>TEXT(Table1[[#This Row],[Order Date]],"mm")</f>
        <v>08</v>
      </c>
      <c r="T613" s="4" t="str">
        <f>IF(Table1[[#This Row],[Sales]]&lt;0,"loss","profit")</f>
        <v>profit</v>
      </c>
      <c r="U613" s="4" t="str" cm="1">
        <f t="array" ref="U613">_xlfn.IFS(Table1[[#This Row],[Sales]]&gt;2000,"large",Table1[[#This Row],[Sales]]&gt;=500,"medium",Table1[[#This Row],[Sales]]&lt;500,"small")</f>
        <v>small</v>
      </c>
      <c r="V613" s="22">
        <f>Table1[[#This Row],[Profit]]/Table1[[#This Row],[Sales]]*100</f>
        <v>35.787388577088144</v>
      </c>
    </row>
    <row r="614" spans="1:22" x14ac:dyDescent="0.35">
      <c r="A614" s="4" t="s">
        <v>998</v>
      </c>
      <c r="B614" s="5">
        <v>45881</v>
      </c>
      <c r="C614" s="4" t="s">
        <v>709</v>
      </c>
      <c r="D614" s="4" t="s">
        <v>47</v>
      </c>
      <c r="E614" s="4" t="s">
        <v>87</v>
      </c>
      <c r="F614" s="4" t="s">
        <v>88</v>
      </c>
      <c r="G614" s="4" t="s">
        <v>38</v>
      </c>
      <c r="H614" s="4" t="s">
        <v>96</v>
      </c>
      <c r="I614" s="4">
        <v>1</v>
      </c>
      <c r="J614" s="6">
        <v>188.49</v>
      </c>
      <c r="K614" s="7">
        <v>0</v>
      </c>
      <c r="L614" s="6">
        <f t="shared" si="18"/>
        <v>188.49</v>
      </c>
      <c r="M614" s="6">
        <v>164.2</v>
      </c>
      <c r="N614" s="8">
        <f t="shared" si="19"/>
        <v>24.29000000000002</v>
      </c>
      <c r="O614" s="4" t="s">
        <v>84</v>
      </c>
      <c r="P614" s="4" t="s">
        <v>56</v>
      </c>
      <c r="Q614" s="4">
        <v>4</v>
      </c>
      <c r="R614" s="4" t="str">
        <f>TEXT(Table1[[#This Row],[Order Date]],"mmm")</f>
        <v>Aug</v>
      </c>
      <c r="S614" s="4" t="str">
        <f>TEXT(Table1[[#This Row],[Order Date]],"mm")</f>
        <v>08</v>
      </c>
      <c r="T614" s="4" t="str">
        <f>IF(Table1[[#This Row],[Sales]]&lt;0,"loss","profit")</f>
        <v>profit</v>
      </c>
      <c r="U614" s="4" t="str" cm="1">
        <f t="array" ref="U614">_xlfn.IFS(Table1[[#This Row],[Sales]]&gt;2000,"large",Table1[[#This Row],[Sales]]&gt;=500,"medium",Table1[[#This Row],[Sales]]&lt;500,"small")</f>
        <v>small</v>
      </c>
      <c r="V614" s="22">
        <f>Table1[[#This Row],[Profit]]/Table1[[#This Row],[Sales]]*100</f>
        <v>12.886625285161028</v>
      </c>
    </row>
    <row r="615" spans="1:22" x14ac:dyDescent="0.35">
      <c r="A615" s="4" t="s">
        <v>999</v>
      </c>
      <c r="B615" s="5">
        <v>45881</v>
      </c>
      <c r="C615" s="4" t="s">
        <v>497</v>
      </c>
      <c r="D615" s="4" t="s">
        <v>20</v>
      </c>
      <c r="E615" s="4" t="s">
        <v>87</v>
      </c>
      <c r="F615" s="4" t="s">
        <v>124</v>
      </c>
      <c r="G615" s="4" t="s">
        <v>23</v>
      </c>
      <c r="H615" s="4" t="s">
        <v>24</v>
      </c>
      <c r="I615" s="4">
        <v>1</v>
      </c>
      <c r="J615" s="6">
        <v>71.91</v>
      </c>
      <c r="K615" s="7">
        <v>0</v>
      </c>
      <c r="L615" s="6">
        <f t="shared" si="18"/>
        <v>71.91</v>
      </c>
      <c r="M615" s="6">
        <v>42.34</v>
      </c>
      <c r="N615" s="8">
        <f t="shared" si="19"/>
        <v>29.569999999999993</v>
      </c>
      <c r="O615" s="4" t="s">
        <v>84</v>
      </c>
      <c r="P615" s="4" t="s">
        <v>33</v>
      </c>
      <c r="Q615" s="4">
        <v>5</v>
      </c>
      <c r="R615" s="4" t="str">
        <f>TEXT(Table1[[#This Row],[Order Date]],"mmm")</f>
        <v>Aug</v>
      </c>
      <c r="S615" s="4" t="str">
        <f>TEXT(Table1[[#This Row],[Order Date]],"mm")</f>
        <v>08</v>
      </c>
      <c r="T615" s="4" t="str">
        <f>IF(Table1[[#This Row],[Sales]]&lt;0,"loss","profit")</f>
        <v>profit</v>
      </c>
      <c r="U615" s="4" t="str" cm="1">
        <f t="array" ref="U615">_xlfn.IFS(Table1[[#This Row],[Sales]]&gt;2000,"large",Table1[[#This Row],[Sales]]&gt;=500,"medium",Table1[[#This Row],[Sales]]&lt;500,"small")</f>
        <v>small</v>
      </c>
      <c r="V615" s="22">
        <f>Table1[[#This Row],[Profit]]/Table1[[#This Row],[Sales]]*100</f>
        <v>41.120845501321092</v>
      </c>
    </row>
    <row r="616" spans="1:22" x14ac:dyDescent="0.35">
      <c r="A616" s="4" t="s">
        <v>1000</v>
      </c>
      <c r="B616" s="5">
        <v>45881</v>
      </c>
      <c r="C616" s="4" t="s">
        <v>296</v>
      </c>
      <c r="D616" s="4" t="s">
        <v>47</v>
      </c>
      <c r="E616" s="4" t="s">
        <v>29</v>
      </c>
      <c r="F616" s="4" t="s">
        <v>30</v>
      </c>
      <c r="G616" s="4" t="s">
        <v>23</v>
      </c>
      <c r="H616" s="4" t="s">
        <v>71</v>
      </c>
      <c r="I616" s="4">
        <v>2</v>
      </c>
      <c r="J616" s="6">
        <v>114.69</v>
      </c>
      <c r="K616" s="7">
        <v>0.1</v>
      </c>
      <c r="L616" s="6">
        <f t="shared" si="18"/>
        <v>206.44200000000001</v>
      </c>
      <c r="M616" s="6">
        <v>69.739999999999995</v>
      </c>
      <c r="N616" s="8">
        <f t="shared" si="19"/>
        <v>66.962000000000018</v>
      </c>
      <c r="O616" s="4" t="s">
        <v>40</v>
      </c>
      <c r="P616" s="4" t="s">
        <v>75</v>
      </c>
      <c r="Q616" s="4">
        <v>5</v>
      </c>
      <c r="R616" s="4" t="str">
        <f>TEXT(Table1[[#This Row],[Order Date]],"mmm")</f>
        <v>Aug</v>
      </c>
      <c r="S616" s="4" t="str">
        <f>TEXT(Table1[[#This Row],[Order Date]],"mm")</f>
        <v>08</v>
      </c>
      <c r="T616" s="4" t="str">
        <f>IF(Table1[[#This Row],[Sales]]&lt;0,"loss","profit")</f>
        <v>profit</v>
      </c>
      <c r="U616" s="4" t="str" cm="1">
        <f t="array" ref="U616">_xlfn.IFS(Table1[[#This Row],[Sales]]&gt;2000,"large",Table1[[#This Row],[Sales]]&gt;=500,"medium",Table1[[#This Row],[Sales]]&lt;500,"small")</f>
        <v>small</v>
      </c>
      <c r="V616" s="22">
        <f>Table1[[#This Row],[Profit]]/Table1[[#This Row],[Sales]]*100</f>
        <v>32.436229061915697</v>
      </c>
    </row>
    <row r="617" spans="1:22" x14ac:dyDescent="0.35">
      <c r="A617" s="4" t="s">
        <v>1001</v>
      </c>
      <c r="B617" s="5">
        <v>45882</v>
      </c>
      <c r="C617" s="4" t="s">
        <v>280</v>
      </c>
      <c r="D617" s="4" t="s">
        <v>43</v>
      </c>
      <c r="E617" s="4" t="s">
        <v>87</v>
      </c>
      <c r="F617" s="4" t="s">
        <v>124</v>
      </c>
      <c r="G617" s="4" t="s">
        <v>23</v>
      </c>
      <c r="H617" s="4" t="s">
        <v>135</v>
      </c>
      <c r="I617" s="4">
        <v>4</v>
      </c>
      <c r="J617" s="6">
        <v>28.49</v>
      </c>
      <c r="K617" s="7">
        <v>0</v>
      </c>
      <c r="L617" s="6">
        <f t="shared" si="18"/>
        <v>113.96</v>
      </c>
      <c r="M617" s="6">
        <v>11.95</v>
      </c>
      <c r="N617" s="8">
        <f t="shared" si="19"/>
        <v>66.16</v>
      </c>
      <c r="O617" s="4" t="s">
        <v>40</v>
      </c>
      <c r="P617" s="4" t="s">
        <v>33</v>
      </c>
      <c r="Q617" s="4">
        <v>4</v>
      </c>
      <c r="R617" s="4" t="str">
        <f>TEXT(Table1[[#This Row],[Order Date]],"mmm")</f>
        <v>Aug</v>
      </c>
      <c r="S617" s="4" t="str">
        <f>TEXT(Table1[[#This Row],[Order Date]],"mm")</f>
        <v>08</v>
      </c>
      <c r="T617" s="4" t="str">
        <f>IF(Table1[[#This Row],[Sales]]&lt;0,"loss","profit")</f>
        <v>profit</v>
      </c>
      <c r="U617" s="4" t="str" cm="1">
        <f t="array" ref="U617">_xlfn.IFS(Table1[[#This Row],[Sales]]&gt;2000,"large",Table1[[#This Row],[Sales]]&gt;=500,"medium",Table1[[#This Row],[Sales]]&lt;500,"small")</f>
        <v>small</v>
      </c>
      <c r="V617" s="22">
        <f>Table1[[#This Row],[Profit]]/Table1[[#This Row],[Sales]]*100</f>
        <v>58.055458055458054</v>
      </c>
    </row>
    <row r="618" spans="1:22" x14ac:dyDescent="0.35">
      <c r="A618" s="4" t="s">
        <v>1002</v>
      </c>
      <c r="B618" s="5">
        <v>45882</v>
      </c>
      <c r="C618" s="4" t="s">
        <v>813</v>
      </c>
      <c r="D618" s="4" t="s">
        <v>20</v>
      </c>
      <c r="E618" s="4" t="s">
        <v>87</v>
      </c>
      <c r="F618" s="4" t="s">
        <v>88</v>
      </c>
      <c r="G618" s="4" t="s">
        <v>23</v>
      </c>
      <c r="H618" s="4" t="s">
        <v>135</v>
      </c>
      <c r="I618" s="4">
        <v>6</v>
      </c>
      <c r="J618" s="6">
        <v>17</v>
      </c>
      <c r="K618" s="7">
        <v>0</v>
      </c>
      <c r="L618" s="6">
        <f t="shared" si="18"/>
        <v>102</v>
      </c>
      <c r="M618" s="6">
        <v>8.01</v>
      </c>
      <c r="N618" s="8">
        <f t="shared" si="19"/>
        <v>53.94</v>
      </c>
      <c r="O618" s="4" t="s">
        <v>25</v>
      </c>
      <c r="P618" s="4" t="s">
        <v>26</v>
      </c>
      <c r="Q618" s="4">
        <v>4</v>
      </c>
      <c r="R618" s="4" t="str">
        <f>TEXT(Table1[[#This Row],[Order Date]],"mmm")</f>
        <v>Aug</v>
      </c>
      <c r="S618" s="4" t="str">
        <f>TEXT(Table1[[#This Row],[Order Date]],"mm")</f>
        <v>08</v>
      </c>
      <c r="T618" s="4" t="str">
        <f>IF(Table1[[#This Row],[Sales]]&lt;0,"loss","profit")</f>
        <v>profit</v>
      </c>
      <c r="U618" s="4" t="str" cm="1">
        <f t="array" ref="U618">_xlfn.IFS(Table1[[#This Row],[Sales]]&gt;2000,"large",Table1[[#This Row],[Sales]]&gt;=500,"medium",Table1[[#This Row],[Sales]]&lt;500,"small")</f>
        <v>small</v>
      </c>
      <c r="V618" s="22">
        <f>Table1[[#This Row],[Profit]]/Table1[[#This Row],[Sales]]*100</f>
        <v>52.882352941176471</v>
      </c>
    </row>
    <row r="619" spans="1:22" x14ac:dyDescent="0.35">
      <c r="A619" s="4" t="s">
        <v>1003</v>
      </c>
      <c r="B619" s="5">
        <v>45883</v>
      </c>
      <c r="C619" s="4" t="s">
        <v>1004</v>
      </c>
      <c r="D619" s="4" t="s">
        <v>47</v>
      </c>
      <c r="E619" s="4" t="s">
        <v>29</v>
      </c>
      <c r="F619" s="4" t="s">
        <v>30</v>
      </c>
      <c r="G619" s="4" t="s">
        <v>23</v>
      </c>
      <c r="H619" s="4" t="s">
        <v>44</v>
      </c>
      <c r="I619" s="4">
        <v>3</v>
      </c>
      <c r="J619" s="6">
        <v>156.46</v>
      </c>
      <c r="K619" s="7">
        <v>0.05</v>
      </c>
      <c r="L619" s="6">
        <f t="shared" si="18"/>
        <v>445.911</v>
      </c>
      <c r="M619" s="6">
        <v>87.1</v>
      </c>
      <c r="N619" s="8">
        <f t="shared" si="19"/>
        <v>184.61100000000005</v>
      </c>
      <c r="O619" s="4" t="s">
        <v>60</v>
      </c>
      <c r="P619" s="4" t="s">
        <v>97</v>
      </c>
      <c r="Q619" s="4">
        <v>5</v>
      </c>
      <c r="R619" s="4" t="str">
        <f>TEXT(Table1[[#This Row],[Order Date]],"mmm")</f>
        <v>Aug</v>
      </c>
      <c r="S619" s="4" t="str">
        <f>TEXT(Table1[[#This Row],[Order Date]],"mm")</f>
        <v>08</v>
      </c>
      <c r="T619" s="4" t="str">
        <f>IF(Table1[[#This Row],[Sales]]&lt;0,"loss","profit")</f>
        <v>profit</v>
      </c>
      <c r="U619" s="4" t="str" cm="1">
        <f t="array" ref="U619">_xlfn.IFS(Table1[[#This Row],[Sales]]&gt;2000,"large",Table1[[#This Row],[Sales]]&gt;=500,"medium",Table1[[#This Row],[Sales]]&lt;500,"small")</f>
        <v>small</v>
      </c>
      <c r="V619" s="22">
        <f>Table1[[#This Row],[Profit]]/Table1[[#This Row],[Sales]]*100</f>
        <v>41.400862503952588</v>
      </c>
    </row>
    <row r="620" spans="1:22" x14ac:dyDescent="0.35">
      <c r="A620" s="4" t="s">
        <v>1005</v>
      </c>
      <c r="B620" s="5">
        <v>45883</v>
      </c>
      <c r="C620" s="4" t="s">
        <v>373</v>
      </c>
      <c r="D620" s="4" t="s">
        <v>20</v>
      </c>
      <c r="E620" s="4" t="s">
        <v>36</v>
      </c>
      <c r="F620" s="4" t="s">
        <v>37</v>
      </c>
      <c r="G620" s="4" t="s">
        <v>38</v>
      </c>
      <c r="H620" s="4" t="s">
        <v>96</v>
      </c>
      <c r="I620" s="4">
        <v>4</v>
      </c>
      <c r="J620" s="6">
        <v>676.4</v>
      </c>
      <c r="K620" s="7">
        <v>0.1</v>
      </c>
      <c r="L620" s="6">
        <f t="shared" si="18"/>
        <v>2435.04</v>
      </c>
      <c r="M620" s="6">
        <v>530.51</v>
      </c>
      <c r="N620" s="8">
        <f t="shared" si="19"/>
        <v>313</v>
      </c>
      <c r="O620" s="4" t="s">
        <v>60</v>
      </c>
      <c r="P620" s="4" t="s">
        <v>97</v>
      </c>
      <c r="Q620" s="4">
        <v>5</v>
      </c>
      <c r="R620" s="4" t="str">
        <f>TEXT(Table1[[#This Row],[Order Date]],"mmm")</f>
        <v>Aug</v>
      </c>
      <c r="S620" s="4" t="str">
        <f>TEXT(Table1[[#This Row],[Order Date]],"mm")</f>
        <v>08</v>
      </c>
      <c r="T620" s="4" t="str">
        <f>IF(Table1[[#This Row],[Sales]]&lt;0,"loss","profit")</f>
        <v>profit</v>
      </c>
      <c r="U620" s="4" t="str" cm="1">
        <f t="array" ref="U620">_xlfn.IFS(Table1[[#This Row],[Sales]]&gt;2000,"large",Table1[[#This Row],[Sales]]&gt;=500,"medium",Table1[[#This Row],[Sales]]&lt;500,"small")</f>
        <v>large</v>
      </c>
      <c r="V620" s="22">
        <f>Table1[[#This Row],[Profit]]/Table1[[#This Row],[Sales]]*100</f>
        <v>12.853998291609173</v>
      </c>
    </row>
    <row r="621" spans="1:22" x14ac:dyDescent="0.35">
      <c r="A621" s="4" t="s">
        <v>1006</v>
      </c>
      <c r="B621" s="5">
        <v>45884</v>
      </c>
      <c r="C621" s="4" t="s">
        <v>142</v>
      </c>
      <c r="D621" s="4" t="s">
        <v>20</v>
      </c>
      <c r="E621" s="4" t="s">
        <v>36</v>
      </c>
      <c r="F621" s="4" t="s">
        <v>37</v>
      </c>
      <c r="G621" s="4" t="s">
        <v>31</v>
      </c>
      <c r="H621" s="4" t="s">
        <v>125</v>
      </c>
      <c r="I621" s="4">
        <v>4</v>
      </c>
      <c r="J621" s="6">
        <v>111.21</v>
      </c>
      <c r="K621" s="7">
        <v>0</v>
      </c>
      <c r="L621" s="6">
        <f t="shared" si="18"/>
        <v>444.84</v>
      </c>
      <c r="M621" s="6">
        <v>62.91</v>
      </c>
      <c r="N621" s="8">
        <f t="shared" si="19"/>
        <v>193.2</v>
      </c>
      <c r="O621" s="4" t="s">
        <v>84</v>
      </c>
      <c r="P621" s="4" t="s">
        <v>33</v>
      </c>
      <c r="Q621" s="4">
        <v>4</v>
      </c>
      <c r="R621" s="4" t="str">
        <f>TEXT(Table1[[#This Row],[Order Date]],"mmm")</f>
        <v>Aug</v>
      </c>
      <c r="S621" s="4" t="str">
        <f>TEXT(Table1[[#This Row],[Order Date]],"mm")</f>
        <v>08</v>
      </c>
      <c r="T621" s="4" t="str">
        <f>IF(Table1[[#This Row],[Sales]]&lt;0,"loss","profit")</f>
        <v>profit</v>
      </c>
      <c r="U621" s="4" t="str" cm="1">
        <f t="array" ref="U621">_xlfn.IFS(Table1[[#This Row],[Sales]]&gt;2000,"large",Table1[[#This Row],[Sales]]&gt;=500,"medium",Table1[[#This Row],[Sales]]&lt;500,"small")</f>
        <v>small</v>
      </c>
      <c r="V621" s="22">
        <f>Table1[[#This Row],[Profit]]/Table1[[#This Row],[Sales]]*100</f>
        <v>43.431346101969247</v>
      </c>
    </row>
    <row r="622" spans="1:22" x14ac:dyDescent="0.35">
      <c r="A622" s="4" t="s">
        <v>1007</v>
      </c>
      <c r="B622" s="5">
        <v>45884</v>
      </c>
      <c r="C622" s="4" t="s">
        <v>134</v>
      </c>
      <c r="D622" s="4" t="s">
        <v>43</v>
      </c>
      <c r="E622" s="4" t="s">
        <v>87</v>
      </c>
      <c r="F622" s="4" t="s">
        <v>88</v>
      </c>
      <c r="G622" s="4" t="s">
        <v>49</v>
      </c>
      <c r="H622" s="4" t="s">
        <v>128</v>
      </c>
      <c r="I622" s="4">
        <v>1</v>
      </c>
      <c r="J622" s="6">
        <v>56.79</v>
      </c>
      <c r="K622" s="7">
        <v>0</v>
      </c>
      <c r="L622" s="6">
        <f t="shared" si="18"/>
        <v>56.79</v>
      </c>
      <c r="M622" s="6">
        <v>35.75</v>
      </c>
      <c r="N622" s="8">
        <f t="shared" si="19"/>
        <v>21.04</v>
      </c>
      <c r="O622" s="4" t="s">
        <v>40</v>
      </c>
      <c r="P622" s="4" t="s">
        <v>56</v>
      </c>
      <c r="Q622" s="4">
        <v>4</v>
      </c>
      <c r="R622" s="4" t="str">
        <f>TEXT(Table1[[#This Row],[Order Date]],"mmm")</f>
        <v>Aug</v>
      </c>
      <c r="S622" s="4" t="str">
        <f>TEXT(Table1[[#This Row],[Order Date]],"mm")</f>
        <v>08</v>
      </c>
      <c r="T622" s="4" t="str">
        <f>IF(Table1[[#This Row],[Sales]]&lt;0,"loss","profit")</f>
        <v>profit</v>
      </c>
      <c r="U622" s="4" t="str" cm="1">
        <f t="array" ref="U622">_xlfn.IFS(Table1[[#This Row],[Sales]]&gt;2000,"large",Table1[[#This Row],[Sales]]&gt;=500,"medium",Table1[[#This Row],[Sales]]&lt;500,"small")</f>
        <v>small</v>
      </c>
      <c r="V622" s="22">
        <f>Table1[[#This Row],[Profit]]/Table1[[#This Row],[Sales]]*100</f>
        <v>37.048776192991724</v>
      </c>
    </row>
    <row r="623" spans="1:22" x14ac:dyDescent="0.35">
      <c r="A623" s="4" t="s">
        <v>1008</v>
      </c>
      <c r="B623" s="5">
        <v>45884</v>
      </c>
      <c r="C623" s="4" t="s">
        <v>711</v>
      </c>
      <c r="D623" s="4" t="s">
        <v>20</v>
      </c>
      <c r="E623" s="4" t="s">
        <v>36</v>
      </c>
      <c r="F623" s="4" t="s">
        <v>37</v>
      </c>
      <c r="G623" s="4" t="s">
        <v>38</v>
      </c>
      <c r="H623" s="4" t="s">
        <v>96</v>
      </c>
      <c r="I623" s="4">
        <v>8</v>
      </c>
      <c r="J623" s="6">
        <v>241.2</v>
      </c>
      <c r="K623" s="7">
        <v>0.1</v>
      </c>
      <c r="L623" s="6">
        <f t="shared" si="18"/>
        <v>1736.6399999999999</v>
      </c>
      <c r="M623" s="6">
        <v>201.64</v>
      </c>
      <c r="N623" s="8">
        <f t="shared" si="19"/>
        <v>123.51999999999998</v>
      </c>
      <c r="O623" s="4" t="s">
        <v>25</v>
      </c>
      <c r="P623" s="4" t="s">
        <v>97</v>
      </c>
      <c r="Q623" s="4">
        <v>5</v>
      </c>
      <c r="R623" s="4" t="str">
        <f>TEXT(Table1[[#This Row],[Order Date]],"mmm")</f>
        <v>Aug</v>
      </c>
      <c r="S623" s="4" t="str">
        <f>TEXT(Table1[[#This Row],[Order Date]],"mm")</f>
        <v>08</v>
      </c>
      <c r="T623" s="4" t="str">
        <f>IF(Table1[[#This Row],[Sales]]&lt;0,"loss","profit")</f>
        <v>profit</v>
      </c>
      <c r="U623" s="4" t="str" cm="1">
        <f t="array" ref="U623">_xlfn.IFS(Table1[[#This Row],[Sales]]&gt;2000,"large",Table1[[#This Row],[Sales]]&gt;=500,"medium",Table1[[#This Row],[Sales]]&lt;500,"small")</f>
        <v>medium</v>
      </c>
      <c r="V623" s="22">
        <f>Table1[[#This Row],[Profit]]/Table1[[#This Row],[Sales]]*100</f>
        <v>7.112585222037958</v>
      </c>
    </row>
    <row r="624" spans="1:22" x14ac:dyDescent="0.35">
      <c r="A624" s="4" t="s">
        <v>1009</v>
      </c>
      <c r="B624" s="5">
        <v>45884</v>
      </c>
      <c r="C624" s="4" t="s">
        <v>19</v>
      </c>
      <c r="D624" s="4" t="s">
        <v>43</v>
      </c>
      <c r="E624" s="4" t="s">
        <v>36</v>
      </c>
      <c r="F624" s="4" t="s">
        <v>48</v>
      </c>
      <c r="G624" s="4" t="s">
        <v>49</v>
      </c>
      <c r="H624" s="4" t="s">
        <v>50</v>
      </c>
      <c r="I624" s="4">
        <v>1</v>
      </c>
      <c r="J624" s="6">
        <v>16.149999999999999</v>
      </c>
      <c r="K624" s="7">
        <v>0</v>
      </c>
      <c r="L624" s="6">
        <f t="shared" si="18"/>
        <v>16.149999999999999</v>
      </c>
      <c r="M624" s="6">
        <v>10.26</v>
      </c>
      <c r="N624" s="8">
        <f t="shared" si="19"/>
        <v>5.8899999999999988</v>
      </c>
      <c r="O624" s="4" t="s">
        <v>25</v>
      </c>
      <c r="P624" s="4" t="s">
        <v>75</v>
      </c>
      <c r="Q624" s="4">
        <v>5</v>
      </c>
      <c r="R624" s="4" t="str">
        <f>TEXT(Table1[[#This Row],[Order Date]],"mmm")</f>
        <v>Aug</v>
      </c>
      <c r="S624" s="4" t="str">
        <f>TEXT(Table1[[#This Row],[Order Date]],"mm")</f>
        <v>08</v>
      </c>
      <c r="T624" s="4" t="str">
        <f>IF(Table1[[#This Row],[Sales]]&lt;0,"loss","profit")</f>
        <v>profit</v>
      </c>
      <c r="U624" s="4" t="str" cm="1">
        <f t="array" ref="U624">_xlfn.IFS(Table1[[#This Row],[Sales]]&gt;2000,"large",Table1[[#This Row],[Sales]]&gt;=500,"medium",Table1[[#This Row],[Sales]]&lt;500,"small")</f>
        <v>small</v>
      </c>
      <c r="V624" s="22">
        <f>Table1[[#This Row],[Profit]]/Table1[[#This Row],[Sales]]*100</f>
        <v>36.470588235294116</v>
      </c>
    </row>
    <row r="625" spans="1:22" x14ac:dyDescent="0.35">
      <c r="A625" s="4" t="s">
        <v>1010</v>
      </c>
      <c r="B625" s="5">
        <v>45884</v>
      </c>
      <c r="C625" s="4" t="s">
        <v>1011</v>
      </c>
      <c r="D625" s="4" t="s">
        <v>47</v>
      </c>
      <c r="E625" s="4" t="s">
        <v>29</v>
      </c>
      <c r="F625" s="4" t="s">
        <v>108</v>
      </c>
      <c r="G625" s="4" t="s">
        <v>31</v>
      </c>
      <c r="H625" s="4" t="s">
        <v>147</v>
      </c>
      <c r="I625" s="4">
        <v>2</v>
      </c>
      <c r="J625" s="6">
        <v>34.200000000000003</v>
      </c>
      <c r="K625" s="7">
        <v>0</v>
      </c>
      <c r="L625" s="6">
        <f t="shared" si="18"/>
        <v>68.400000000000006</v>
      </c>
      <c r="M625" s="6">
        <v>20.36</v>
      </c>
      <c r="N625" s="8">
        <f t="shared" si="19"/>
        <v>27.680000000000007</v>
      </c>
      <c r="O625" s="4" t="s">
        <v>84</v>
      </c>
      <c r="P625" s="4" t="s">
        <v>118</v>
      </c>
      <c r="Q625" s="4">
        <v>3</v>
      </c>
      <c r="R625" s="4" t="str">
        <f>TEXT(Table1[[#This Row],[Order Date]],"mmm")</f>
        <v>Aug</v>
      </c>
      <c r="S625" s="4" t="str">
        <f>TEXT(Table1[[#This Row],[Order Date]],"mm")</f>
        <v>08</v>
      </c>
      <c r="T625" s="4" t="str">
        <f>IF(Table1[[#This Row],[Sales]]&lt;0,"loss","profit")</f>
        <v>profit</v>
      </c>
      <c r="U625" s="4" t="str" cm="1">
        <f t="array" ref="U625">_xlfn.IFS(Table1[[#This Row],[Sales]]&gt;2000,"large",Table1[[#This Row],[Sales]]&gt;=500,"medium",Table1[[#This Row],[Sales]]&lt;500,"small")</f>
        <v>small</v>
      </c>
      <c r="V625" s="22">
        <f>Table1[[#This Row],[Profit]]/Table1[[#This Row],[Sales]]*100</f>
        <v>40.467836257309948</v>
      </c>
    </row>
    <row r="626" spans="1:22" x14ac:dyDescent="0.35">
      <c r="A626" s="4" t="s">
        <v>1012</v>
      </c>
      <c r="B626" s="5">
        <v>45884</v>
      </c>
      <c r="C626" s="4" t="s">
        <v>1013</v>
      </c>
      <c r="D626" s="4" t="s">
        <v>20</v>
      </c>
      <c r="E626" s="4" t="s">
        <v>29</v>
      </c>
      <c r="F626" s="4" t="s">
        <v>108</v>
      </c>
      <c r="G626" s="4" t="s">
        <v>38</v>
      </c>
      <c r="H626" s="4" t="s">
        <v>96</v>
      </c>
      <c r="I626" s="4">
        <v>5</v>
      </c>
      <c r="J626" s="6">
        <v>250.09</v>
      </c>
      <c r="K626" s="7">
        <v>0</v>
      </c>
      <c r="L626" s="6">
        <f t="shared" si="18"/>
        <v>1250.45</v>
      </c>
      <c r="M626" s="6">
        <v>189.5</v>
      </c>
      <c r="N626" s="8">
        <f t="shared" si="19"/>
        <v>302.95000000000005</v>
      </c>
      <c r="O626" s="4" t="s">
        <v>84</v>
      </c>
      <c r="P626" s="4" t="s">
        <v>72</v>
      </c>
      <c r="Q626" s="4">
        <v>3</v>
      </c>
      <c r="R626" s="4" t="str">
        <f>TEXT(Table1[[#This Row],[Order Date]],"mmm")</f>
        <v>Aug</v>
      </c>
      <c r="S626" s="4" t="str">
        <f>TEXT(Table1[[#This Row],[Order Date]],"mm")</f>
        <v>08</v>
      </c>
      <c r="T626" s="4" t="str">
        <f>IF(Table1[[#This Row],[Sales]]&lt;0,"loss","profit")</f>
        <v>profit</v>
      </c>
      <c r="U626" s="4" t="str" cm="1">
        <f t="array" ref="U626">_xlfn.IFS(Table1[[#This Row],[Sales]]&gt;2000,"large",Table1[[#This Row],[Sales]]&gt;=500,"medium",Table1[[#This Row],[Sales]]&lt;500,"small")</f>
        <v>medium</v>
      </c>
      <c r="V626" s="22">
        <f>Table1[[#This Row],[Profit]]/Table1[[#This Row],[Sales]]*100</f>
        <v>24.227278179855254</v>
      </c>
    </row>
    <row r="627" spans="1:22" x14ac:dyDescent="0.35">
      <c r="A627" s="4" t="s">
        <v>1014</v>
      </c>
      <c r="B627" s="5">
        <v>45886</v>
      </c>
      <c r="C627" s="4" t="s">
        <v>1015</v>
      </c>
      <c r="D627" s="4" t="s">
        <v>47</v>
      </c>
      <c r="E627" s="4" t="s">
        <v>21</v>
      </c>
      <c r="F627" s="4" t="s">
        <v>59</v>
      </c>
      <c r="G627" s="4" t="s">
        <v>49</v>
      </c>
      <c r="H627" s="4" t="s">
        <v>187</v>
      </c>
      <c r="I627" s="4">
        <v>1</v>
      </c>
      <c r="J627" s="6">
        <v>96.11</v>
      </c>
      <c r="K627" s="7">
        <v>0</v>
      </c>
      <c r="L627" s="6">
        <f t="shared" si="18"/>
        <v>96.11</v>
      </c>
      <c r="M627" s="6">
        <v>54.53</v>
      </c>
      <c r="N627" s="8">
        <f t="shared" si="19"/>
        <v>41.58</v>
      </c>
      <c r="O627" s="4" t="s">
        <v>25</v>
      </c>
      <c r="P627" s="4" t="s">
        <v>56</v>
      </c>
      <c r="Q627" s="4">
        <v>4</v>
      </c>
      <c r="R627" s="4" t="str">
        <f>TEXT(Table1[[#This Row],[Order Date]],"mmm")</f>
        <v>Aug</v>
      </c>
      <c r="S627" s="4" t="str">
        <f>TEXT(Table1[[#This Row],[Order Date]],"mm")</f>
        <v>08</v>
      </c>
      <c r="T627" s="4" t="str">
        <f>IF(Table1[[#This Row],[Sales]]&lt;0,"loss","profit")</f>
        <v>profit</v>
      </c>
      <c r="U627" s="4" t="str" cm="1">
        <f t="array" ref="U627">_xlfn.IFS(Table1[[#This Row],[Sales]]&gt;2000,"large",Table1[[#This Row],[Sales]]&gt;=500,"medium",Table1[[#This Row],[Sales]]&lt;500,"small")</f>
        <v>small</v>
      </c>
      <c r="V627" s="22">
        <f>Table1[[#This Row],[Profit]]/Table1[[#This Row],[Sales]]*100</f>
        <v>43.262927895120171</v>
      </c>
    </row>
    <row r="628" spans="1:22" x14ac:dyDescent="0.35">
      <c r="A628" s="4" t="s">
        <v>1016</v>
      </c>
      <c r="B628" s="5">
        <v>45887</v>
      </c>
      <c r="C628" s="4" t="s">
        <v>142</v>
      </c>
      <c r="D628" s="4" t="s">
        <v>20</v>
      </c>
      <c r="E628" s="4" t="s">
        <v>21</v>
      </c>
      <c r="F628" s="4" t="s">
        <v>22</v>
      </c>
      <c r="G628" s="4" t="s">
        <v>23</v>
      </c>
      <c r="H628" s="4" t="s">
        <v>44</v>
      </c>
      <c r="I628" s="4">
        <v>1</v>
      </c>
      <c r="J628" s="6">
        <v>98.22</v>
      </c>
      <c r="K628" s="7">
        <v>0.2</v>
      </c>
      <c r="L628" s="6">
        <f t="shared" si="18"/>
        <v>78.576000000000008</v>
      </c>
      <c r="M628" s="6">
        <v>45.17</v>
      </c>
      <c r="N628" s="8">
        <f t="shared" si="19"/>
        <v>33.406000000000006</v>
      </c>
      <c r="O628" s="4" t="s">
        <v>60</v>
      </c>
      <c r="P628" s="4" t="s">
        <v>56</v>
      </c>
      <c r="Q628" s="4">
        <v>3</v>
      </c>
      <c r="R628" s="4" t="str">
        <f>TEXT(Table1[[#This Row],[Order Date]],"mmm")</f>
        <v>Aug</v>
      </c>
      <c r="S628" s="4" t="str">
        <f>TEXT(Table1[[#This Row],[Order Date]],"mm")</f>
        <v>08</v>
      </c>
      <c r="T628" s="4" t="str">
        <f>IF(Table1[[#This Row],[Sales]]&lt;0,"loss","profit")</f>
        <v>profit</v>
      </c>
      <c r="U628" s="4" t="str" cm="1">
        <f t="array" ref="U628">_xlfn.IFS(Table1[[#This Row],[Sales]]&gt;2000,"large",Table1[[#This Row],[Sales]]&gt;=500,"medium",Table1[[#This Row],[Sales]]&lt;500,"small")</f>
        <v>small</v>
      </c>
      <c r="V628" s="22">
        <f>Table1[[#This Row],[Profit]]/Table1[[#This Row],[Sales]]*100</f>
        <v>42.514253716147429</v>
      </c>
    </row>
    <row r="629" spans="1:22" x14ac:dyDescent="0.35">
      <c r="A629" s="4" t="s">
        <v>1017</v>
      </c>
      <c r="B629" s="5">
        <v>45887</v>
      </c>
      <c r="C629" s="4" t="s">
        <v>367</v>
      </c>
      <c r="D629" s="4" t="s">
        <v>43</v>
      </c>
      <c r="E629" s="4" t="s">
        <v>36</v>
      </c>
      <c r="F629" s="4" t="s">
        <v>201</v>
      </c>
      <c r="G629" s="4" t="s">
        <v>31</v>
      </c>
      <c r="H629" s="4" t="s">
        <v>32</v>
      </c>
      <c r="I629" s="4">
        <v>2</v>
      </c>
      <c r="J629" s="6">
        <v>268.99</v>
      </c>
      <c r="K629" s="7">
        <v>0</v>
      </c>
      <c r="L629" s="6">
        <f t="shared" si="18"/>
        <v>537.98</v>
      </c>
      <c r="M629" s="6">
        <v>148.65</v>
      </c>
      <c r="N629" s="8">
        <f t="shared" si="19"/>
        <v>240.68</v>
      </c>
      <c r="O629" s="4" t="s">
        <v>25</v>
      </c>
      <c r="P629" s="4" t="s">
        <v>118</v>
      </c>
      <c r="Q629" s="4">
        <v>5</v>
      </c>
      <c r="R629" s="4" t="str">
        <f>TEXT(Table1[[#This Row],[Order Date]],"mmm")</f>
        <v>Aug</v>
      </c>
      <c r="S629" s="4" t="str">
        <f>TEXT(Table1[[#This Row],[Order Date]],"mm")</f>
        <v>08</v>
      </c>
      <c r="T629" s="4" t="str">
        <f>IF(Table1[[#This Row],[Sales]]&lt;0,"loss","profit")</f>
        <v>profit</v>
      </c>
      <c r="U629" s="4" t="str" cm="1">
        <f t="array" ref="U629">_xlfn.IFS(Table1[[#This Row],[Sales]]&gt;2000,"large",Table1[[#This Row],[Sales]]&gt;=500,"medium",Table1[[#This Row],[Sales]]&lt;500,"small")</f>
        <v>medium</v>
      </c>
      <c r="V629" s="22">
        <f>Table1[[#This Row],[Profit]]/Table1[[#This Row],[Sales]]*100</f>
        <v>44.737722591917915</v>
      </c>
    </row>
    <row r="630" spans="1:22" x14ac:dyDescent="0.35">
      <c r="A630" s="4" t="s">
        <v>1018</v>
      </c>
      <c r="B630" s="5">
        <v>45887</v>
      </c>
      <c r="C630" s="4" t="s">
        <v>1019</v>
      </c>
      <c r="D630" s="4" t="s">
        <v>43</v>
      </c>
      <c r="E630" s="4" t="s">
        <v>21</v>
      </c>
      <c r="F630" s="4" t="s">
        <v>81</v>
      </c>
      <c r="G630" s="4" t="s">
        <v>31</v>
      </c>
      <c r="H630" s="4" t="s">
        <v>64</v>
      </c>
      <c r="I630" s="4">
        <v>5</v>
      </c>
      <c r="J630" s="6">
        <v>179.67</v>
      </c>
      <c r="K630" s="7">
        <v>0.15</v>
      </c>
      <c r="L630" s="6">
        <f t="shared" si="18"/>
        <v>763.59749999999985</v>
      </c>
      <c r="M630" s="6">
        <v>121.15</v>
      </c>
      <c r="N630" s="8">
        <f t="shared" si="19"/>
        <v>157.84749999999985</v>
      </c>
      <c r="O630" s="4" t="s">
        <v>40</v>
      </c>
      <c r="P630" s="4" t="s">
        <v>61</v>
      </c>
      <c r="Q630" s="4">
        <v>1</v>
      </c>
      <c r="R630" s="4" t="str">
        <f>TEXT(Table1[[#This Row],[Order Date]],"mmm")</f>
        <v>Aug</v>
      </c>
      <c r="S630" s="4" t="str">
        <f>TEXT(Table1[[#This Row],[Order Date]],"mm")</f>
        <v>08</v>
      </c>
      <c r="T630" s="4" t="str">
        <f>IF(Table1[[#This Row],[Sales]]&lt;0,"loss","profit")</f>
        <v>profit</v>
      </c>
      <c r="U630" s="4" t="str" cm="1">
        <f t="array" ref="U630">_xlfn.IFS(Table1[[#This Row],[Sales]]&gt;2000,"large",Table1[[#This Row],[Sales]]&gt;=500,"medium",Table1[[#This Row],[Sales]]&lt;500,"small")</f>
        <v>medium</v>
      </c>
      <c r="V630" s="22">
        <f>Table1[[#This Row],[Profit]]/Table1[[#This Row],[Sales]]*100</f>
        <v>20.671557987028493</v>
      </c>
    </row>
    <row r="631" spans="1:22" x14ac:dyDescent="0.35">
      <c r="A631" s="4" t="s">
        <v>1020</v>
      </c>
      <c r="B631" s="5">
        <v>45888</v>
      </c>
      <c r="C631" s="4" t="s">
        <v>1021</v>
      </c>
      <c r="D631" s="4" t="s">
        <v>20</v>
      </c>
      <c r="E631" s="4" t="s">
        <v>87</v>
      </c>
      <c r="F631" s="4" t="s">
        <v>92</v>
      </c>
      <c r="G631" s="4" t="s">
        <v>38</v>
      </c>
      <c r="H631" s="4" t="s">
        <v>39</v>
      </c>
      <c r="I631" s="4">
        <v>2</v>
      </c>
      <c r="J631" s="6">
        <v>183.4</v>
      </c>
      <c r="K631" s="7">
        <v>0.1</v>
      </c>
      <c r="L631" s="6">
        <f t="shared" si="18"/>
        <v>330.12</v>
      </c>
      <c r="M631" s="6">
        <v>145.82</v>
      </c>
      <c r="N631" s="8">
        <f t="shared" si="19"/>
        <v>38.480000000000018</v>
      </c>
      <c r="O631" s="4" t="s">
        <v>40</v>
      </c>
      <c r="P631" s="4" t="s">
        <v>72</v>
      </c>
      <c r="Q631" s="4">
        <v>1</v>
      </c>
      <c r="R631" s="4" t="str">
        <f>TEXT(Table1[[#This Row],[Order Date]],"mmm")</f>
        <v>Aug</v>
      </c>
      <c r="S631" s="4" t="str">
        <f>TEXT(Table1[[#This Row],[Order Date]],"mm")</f>
        <v>08</v>
      </c>
      <c r="T631" s="4" t="str">
        <f>IF(Table1[[#This Row],[Sales]]&lt;0,"loss","profit")</f>
        <v>profit</v>
      </c>
      <c r="U631" s="4" t="str" cm="1">
        <f t="array" ref="U631">_xlfn.IFS(Table1[[#This Row],[Sales]]&gt;2000,"large",Table1[[#This Row],[Sales]]&gt;=500,"medium",Table1[[#This Row],[Sales]]&lt;500,"small")</f>
        <v>small</v>
      </c>
      <c r="V631" s="22">
        <f>Table1[[#This Row],[Profit]]/Table1[[#This Row],[Sales]]*100</f>
        <v>11.656367381558226</v>
      </c>
    </row>
    <row r="632" spans="1:22" x14ac:dyDescent="0.35">
      <c r="A632" s="4" t="s">
        <v>1022</v>
      </c>
      <c r="B632" s="5">
        <v>45888</v>
      </c>
      <c r="C632" s="4" t="s">
        <v>268</v>
      </c>
      <c r="D632" s="4" t="s">
        <v>43</v>
      </c>
      <c r="E632" s="4" t="s">
        <v>21</v>
      </c>
      <c r="F632" s="4" t="s">
        <v>59</v>
      </c>
      <c r="G632" s="4" t="s">
        <v>23</v>
      </c>
      <c r="H632" s="4" t="s">
        <v>71</v>
      </c>
      <c r="I632" s="4">
        <v>2</v>
      </c>
      <c r="J632" s="6">
        <v>47.91</v>
      </c>
      <c r="K632" s="7">
        <v>0.05</v>
      </c>
      <c r="L632" s="6">
        <f t="shared" si="18"/>
        <v>91.028999999999996</v>
      </c>
      <c r="M632" s="6">
        <v>26.83</v>
      </c>
      <c r="N632" s="8">
        <f t="shared" si="19"/>
        <v>37.369</v>
      </c>
      <c r="O632" s="4" t="s">
        <v>40</v>
      </c>
      <c r="P632" s="4" t="s">
        <v>56</v>
      </c>
      <c r="Q632" s="4">
        <v>4</v>
      </c>
      <c r="R632" s="4" t="str">
        <f>TEXT(Table1[[#This Row],[Order Date]],"mmm")</f>
        <v>Aug</v>
      </c>
      <c r="S632" s="4" t="str">
        <f>TEXT(Table1[[#This Row],[Order Date]],"mm")</f>
        <v>08</v>
      </c>
      <c r="T632" s="4" t="str">
        <f>IF(Table1[[#This Row],[Sales]]&lt;0,"loss","profit")</f>
        <v>profit</v>
      </c>
      <c r="U632" s="4" t="str" cm="1">
        <f t="array" ref="U632">_xlfn.IFS(Table1[[#This Row],[Sales]]&gt;2000,"large",Table1[[#This Row],[Sales]]&gt;=500,"medium",Table1[[#This Row],[Sales]]&lt;500,"small")</f>
        <v>small</v>
      </c>
      <c r="V632" s="22">
        <f>Table1[[#This Row],[Profit]]/Table1[[#This Row],[Sales]]*100</f>
        <v>41.051752738138397</v>
      </c>
    </row>
    <row r="633" spans="1:22" x14ac:dyDescent="0.35">
      <c r="A633" s="4" t="s">
        <v>1023</v>
      </c>
      <c r="B633" s="5">
        <v>45888</v>
      </c>
      <c r="C633" s="4" t="s">
        <v>134</v>
      </c>
      <c r="D633" s="4" t="s">
        <v>47</v>
      </c>
      <c r="E633" s="4" t="s">
        <v>21</v>
      </c>
      <c r="F633" s="4" t="s">
        <v>59</v>
      </c>
      <c r="G633" s="4" t="s">
        <v>49</v>
      </c>
      <c r="H633" s="4" t="s">
        <v>187</v>
      </c>
      <c r="I633" s="4">
        <v>2</v>
      </c>
      <c r="J633" s="6">
        <v>178.03</v>
      </c>
      <c r="K633" s="7">
        <v>0.1</v>
      </c>
      <c r="L633" s="6">
        <f t="shared" si="18"/>
        <v>320.45400000000001</v>
      </c>
      <c r="M633" s="6">
        <v>103</v>
      </c>
      <c r="N633" s="8">
        <f t="shared" si="19"/>
        <v>114.45400000000001</v>
      </c>
      <c r="O633" s="4" t="s">
        <v>51</v>
      </c>
      <c r="P633" s="4" t="s">
        <v>75</v>
      </c>
      <c r="Q633" s="4">
        <v>3</v>
      </c>
      <c r="R633" s="4" t="str">
        <f>TEXT(Table1[[#This Row],[Order Date]],"mmm")</f>
        <v>Aug</v>
      </c>
      <c r="S633" s="4" t="str">
        <f>TEXT(Table1[[#This Row],[Order Date]],"mm")</f>
        <v>08</v>
      </c>
      <c r="T633" s="4" t="str">
        <f>IF(Table1[[#This Row],[Sales]]&lt;0,"loss","profit")</f>
        <v>profit</v>
      </c>
      <c r="U633" s="4" t="str" cm="1">
        <f t="array" ref="U633">_xlfn.IFS(Table1[[#This Row],[Sales]]&gt;2000,"large",Table1[[#This Row],[Sales]]&gt;=500,"medium",Table1[[#This Row],[Sales]]&lt;500,"small")</f>
        <v>small</v>
      </c>
      <c r="V633" s="22">
        <f>Table1[[#This Row],[Profit]]/Table1[[#This Row],[Sales]]*100</f>
        <v>35.71620263750804</v>
      </c>
    </row>
    <row r="634" spans="1:22" x14ac:dyDescent="0.35">
      <c r="A634" s="4" t="s">
        <v>1024</v>
      </c>
      <c r="B634" s="5">
        <v>45888</v>
      </c>
      <c r="C634" s="4" t="s">
        <v>800</v>
      </c>
      <c r="D634" s="4" t="s">
        <v>20</v>
      </c>
      <c r="E634" s="4" t="s">
        <v>29</v>
      </c>
      <c r="F634" s="4" t="s">
        <v>54</v>
      </c>
      <c r="G634" s="4" t="s">
        <v>31</v>
      </c>
      <c r="H634" s="4" t="s">
        <v>64</v>
      </c>
      <c r="I634" s="4">
        <v>6</v>
      </c>
      <c r="J634" s="6">
        <v>214.79</v>
      </c>
      <c r="K634" s="7">
        <v>0.2</v>
      </c>
      <c r="L634" s="6">
        <f t="shared" si="18"/>
        <v>1030.992</v>
      </c>
      <c r="M634" s="6">
        <v>118.29</v>
      </c>
      <c r="N634" s="8">
        <f t="shared" si="19"/>
        <v>321.25199999999995</v>
      </c>
      <c r="O634" s="4" t="s">
        <v>51</v>
      </c>
      <c r="P634" s="4" t="s">
        <v>72</v>
      </c>
      <c r="Q634" s="4">
        <v>3</v>
      </c>
      <c r="R634" s="4" t="str">
        <f>TEXT(Table1[[#This Row],[Order Date]],"mmm")</f>
        <v>Aug</v>
      </c>
      <c r="S634" s="4" t="str">
        <f>TEXT(Table1[[#This Row],[Order Date]],"mm")</f>
        <v>08</v>
      </c>
      <c r="T634" s="4" t="str">
        <f>IF(Table1[[#This Row],[Sales]]&lt;0,"loss","profit")</f>
        <v>profit</v>
      </c>
      <c r="U634" s="4" t="str" cm="1">
        <f t="array" ref="U634">_xlfn.IFS(Table1[[#This Row],[Sales]]&gt;2000,"large",Table1[[#This Row],[Sales]]&gt;=500,"medium",Table1[[#This Row],[Sales]]&lt;500,"small")</f>
        <v>medium</v>
      </c>
      <c r="V634" s="22">
        <f>Table1[[#This Row],[Profit]]/Table1[[#This Row],[Sales]]*100</f>
        <v>31.159504632431673</v>
      </c>
    </row>
    <row r="635" spans="1:22" x14ac:dyDescent="0.35">
      <c r="A635" s="4" t="s">
        <v>1025</v>
      </c>
      <c r="B635" s="5">
        <v>45889</v>
      </c>
      <c r="C635" s="4" t="s">
        <v>231</v>
      </c>
      <c r="D635" s="4" t="s">
        <v>43</v>
      </c>
      <c r="E635" s="4" t="s">
        <v>21</v>
      </c>
      <c r="F635" s="4" t="s">
        <v>22</v>
      </c>
      <c r="G635" s="4" t="s">
        <v>38</v>
      </c>
      <c r="H635" s="4" t="s">
        <v>89</v>
      </c>
      <c r="I635" s="4">
        <v>6</v>
      </c>
      <c r="J635" s="6">
        <v>729.1</v>
      </c>
      <c r="K635" s="7">
        <v>0</v>
      </c>
      <c r="L635" s="6">
        <f t="shared" si="18"/>
        <v>4374.6000000000004</v>
      </c>
      <c r="M635" s="6">
        <v>547.54999999999995</v>
      </c>
      <c r="N635" s="8">
        <f t="shared" si="19"/>
        <v>1089.3000000000006</v>
      </c>
      <c r="O635" s="4" t="s">
        <v>84</v>
      </c>
      <c r="P635" s="4" t="s">
        <v>33</v>
      </c>
      <c r="Q635" s="4">
        <v>4</v>
      </c>
      <c r="R635" s="4" t="str">
        <f>TEXT(Table1[[#This Row],[Order Date]],"mmm")</f>
        <v>Aug</v>
      </c>
      <c r="S635" s="4" t="str">
        <f>TEXT(Table1[[#This Row],[Order Date]],"mm")</f>
        <v>08</v>
      </c>
      <c r="T635" s="4" t="str">
        <f>IF(Table1[[#This Row],[Sales]]&lt;0,"loss","profit")</f>
        <v>profit</v>
      </c>
      <c r="U635" s="4" t="str" cm="1">
        <f t="array" ref="U635">_xlfn.IFS(Table1[[#This Row],[Sales]]&gt;2000,"large",Table1[[#This Row],[Sales]]&gt;=500,"medium",Table1[[#This Row],[Sales]]&lt;500,"small")</f>
        <v>large</v>
      </c>
      <c r="V635" s="22">
        <f>Table1[[#This Row],[Profit]]/Table1[[#This Row],[Sales]]*100</f>
        <v>24.90056233712798</v>
      </c>
    </row>
    <row r="636" spans="1:22" x14ac:dyDescent="0.35">
      <c r="A636" s="4" t="s">
        <v>1026</v>
      </c>
      <c r="B636" s="5">
        <v>45890</v>
      </c>
      <c r="C636" s="4" t="s">
        <v>547</v>
      </c>
      <c r="D636" s="4" t="s">
        <v>20</v>
      </c>
      <c r="E636" s="4" t="s">
        <v>29</v>
      </c>
      <c r="F636" s="4" t="s">
        <v>54</v>
      </c>
      <c r="G636" s="4" t="s">
        <v>49</v>
      </c>
      <c r="H636" s="4" t="s">
        <v>50</v>
      </c>
      <c r="I636" s="4">
        <v>4</v>
      </c>
      <c r="J636" s="6">
        <v>37.29</v>
      </c>
      <c r="K636" s="7">
        <v>0</v>
      </c>
      <c r="L636" s="6">
        <f t="shared" si="18"/>
        <v>149.16</v>
      </c>
      <c r="M636" s="6">
        <v>21.09</v>
      </c>
      <c r="N636" s="8">
        <f t="shared" si="19"/>
        <v>64.8</v>
      </c>
      <c r="O636" s="4" t="s">
        <v>51</v>
      </c>
      <c r="P636" s="4" t="s">
        <v>56</v>
      </c>
      <c r="Q636" s="4">
        <v>4</v>
      </c>
      <c r="R636" s="4" t="str">
        <f>TEXT(Table1[[#This Row],[Order Date]],"mmm")</f>
        <v>Aug</v>
      </c>
      <c r="S636" s="4" t="str">
        <f>TEXT(Table1[[#This Row],[Order Date]],"mm")</f>
        <v>08</v>
      </c>
      <c r="T636" s="4" t="str">
        <f>IF(Table1[[#This Row],[Sales]]&lt;0,"loss","profit")</f>
        <v>profit</v>
      </c>
      <c r="U636" s="4" t="str" cm="1">
        <f t="array" ref="U636">_xlfn.IFS(Table1[[#This Row],[Sales]]&gt;2000,"large",Table1[[#This Row],[Sales]]&gt;=500,"medium",Table1[[#This Row],[Sales]]&lt;500,"small")</f>
        <v>small</v>
      </c>
      <c r="V636" s="22">
        <f>Table1[[#This Row],[Profit]]/Table1[[#This Row],[Sales]]*100</f>
        <v>43.443282381335479</v>
      </c>
    </row>
    <row r="637" spans="1:22" x14ac:dyDescent="0.35">
      <c r="A637" s="4" t="s">
        <v>1027</v>
      </c>
      <c r="B637" s="5">
        <v>45890</v>
      </c>
      <c r="C637" s="4" t="s">
        <v>213</v>
      </c>
      <c r="D637" s="4" t="s">
        <v>47</v>
      </c>
      <c r="E637" s="4" t="s">
        <v>29</v>
      </c>
      <c r="F637" s="4" t="s">
        <v>54</v>
      </c>
      <c r="G637" s="4" t="s">
        <v>67</v>
      </c>
      <c r="H637" s="4" t="s">
        <v>68</v>
      </c>
      <c r="I637" s="4">
        <v>1</v>
      </c>
      <c r="J637" s="6">
        <v>888.53</v>
      </c>
      <c r="K637" s="7">
        <v>0</v>
      </c>
      <c r="L637" s="6">
        <f t="shared" si="18"/>
        <v>888.53</v>
      </c>
      <c r="M637" s="6">
        <v>571.30999999999995</v>
      </c>
      <c r="N637" s="8">
        <f t="shared" si="19"/>
        <v>317.22000000000003</v>
      </c>
      <c r="O637" s="4" t="s">
        <v>60</v>
      </c>
      <c r="P637" s="4" t="s">
        <v>118</v>
      </c>
      <c r="Q637" s="4">
        <v>5</v>
      </c>
      <c r="R637" s="4" t="str">
        <f>TEXT(Table1[[#This Row],[Order Date]],"mmm")</f>
        <v>Aug</v>
      </c>
      <c r="S637" s="4" t="str">
        <f>TEXT(Table1[[#This Row],[Order Date]],"mm")</f>
        <v>08</v>
      </c>
      <c r="T637" s="4" t="str">
        <f>IF(Table1[[#This Row],[Sales]]&lt;0,"loss","profit")</f>
        <v>profit</v>
      </c>
      <c r="U637" s="4" t="str" cm="1">
        <f t="array" ref="U637">_xlfn.IFS(Table1[[#This Row],[Sales]]&gt;2000,"large",Table1[[#This Row],[Sales]]&gt;=500,"medium",Table1[[#This Row],[Sales]]&lt;500,"small")</f>
        <v>medium</v>
      </c>
      <c r="V637" s="22">
        <f>Table1[[#This Row],[Profit]]/Table1[[#This Row],[Sales]]*100</f>
        <v>35.701664547060879</v>
      </c>
    </row>
    <row r="638" spans="1:22" x14ac:dyDescent="0.35">
      <c r="A638" s="4" t="s">
        <v>1028</v>
      </c>
      <c r="B638" s="5">
        <v>45890</v>
      </c>
      <c r="C638" s="4" t="s">
        <v>1029</v>
      </c>
      <c r="D638" s="4" t="s">
        <v>20</v>
      </c>
      <c r="E638" s="4" t="s">
        <v>36</v>
      </c>
      <c r="F638" s="4" t="s">
        <v>201</v>
      </c>
      <c r="G638" s="4" t="s">
        <v>49</v>
      </c>
      <c r="H638" s="4" t="s">
        <v>50</v>
      </c>
      <c r="I638" s="4">
        <v>3</v>
      </c>
      <c r="J638" s="6">
        <v>33.770000000000003</v>
      </c>
      <c r="K638" s="7">
        <v>0</v>
      </c>
      <c r="L638" s="6">
        <f t="shared" si="18"/>
        <v>101.31</v>
      </c>
      <c r="M638" s="6">
        <v>24.47</v>
      </c>
      <c r="N638" s="8">
        <f t="shared" si="19"/>
        <v>27.900000000000006</v>
      </c>
      <c r="O638" s="4" t="s">
        <v>51</v>
      </c>
      <c r="P638" s="4" t="s">
        <v>72</v>
      </c>
      <c r="Q638" s="4">
        <v>5</v>
      </c>
      <c r="R638" s="4" t="str">
        <f>TEXT(Table1[[#This Row],[Order Date]],"mmm")</f>
        <v>Aug</v>
      </c>
      <c r="S638" s="4" t="str">
        <f>TEXT(Table1[[#This Row],[Order Date]],"mm")</f>
        <v>08</v>
      </c>
      <c r="T638" s="4" t="str">
        <f>IF(Table1[[#This Row],[Sales]]&lt;0,"loss","profit")</f>
        <v>profit</v>
      </c>
      <c r="U638" s="4" t="str" cm="1">
        <f t="array" ref="U638">_xlfn.IFS(Table1[[#This Row],[Sales]]&gt;2000,"large",Table1[[#This Row],[Sales]]&gt;=500,"medium",Table1[[#This Row],[Sales]]&lt;500,"small")</f>
        <v>small</v>
      </c>
      <c r="V638" s="22">
        <f>Table1[[#This Row],[Profit]]/Table1[[#This Row],[Sales]]*100</f>
        <v>27.53923600829139</v>
      </c>
    </row>
    <row r="639" spans="1:22" x14ac:dyDescent="0.35">
      <c r="A639" s="4" t="s">
        <v>1030</v>
      </c>
      <c r="B639" s="5">
        <v>45890</v>
      </c>
      <c r="C639" s="4" t="s">
        <v>1031</v>
      </c>
      <c r="D639" s="4" t="s">
        <v>43</v>
      </c>
      <c r="E639" s="4" t="s">
        <v>87</v>
      </c>
      <c r="F639" s="4" t="s">
        <v>124</v>
      </c>
      <c r="G639" s="4" t="s">
        <v>49</v>
      </c>
      <c r="H639" s="4" t="s">
        <v>78</v>
      </c>
      <c r="I639" s="4">
        <v>3</v>
      </c>
      <c r="J639" s="6">
        <v>651.33000000000004</v>
      </c>
      <c r="K639" s="7">
        <v>0.05</v>
      </c>
      <c r="L639" s="6">
        <f t="shared" si="18"/>
        <v>1856.2905000000001</v>
      </c>
      <c r="M639" s="6">
        <v>384.61</v>
      </c>
      <c r="N639" s="8">
        <f t="shared" si="19"/>
        <v>702.46050000000014</v>
      </c>
      <c r="O639" s="4" t="s">
        <v>60</v>
      </c>
      <c r="P639" s="4" t="s">
        <v>26</v>
      </c>
      <c r="Q639" s="4">
        <v>3</v>
      </c>
      <c r="R639" s="4" t="str">
        <f>TEXT(Table1[[#This Row],[Order Date]],"mmm")</f>
        <v>Aug</v>
      </c>
      <c r="S639" s="4" t="str">
        <f>TEXT(Table1[[#This Row],[Order Date]],"mm")</f>
        <v>08</v>
      </c>
      <c r="T639" s="4" t="str">
        <f>IF(Table1[[#This Row],[Sales]]&lt;0,"loss","profit")</f>
        <v>profit</v>
      </c>
      <c r="U639" s="4" t="str" cm="1">
        <f t="array" ref="U639">_xlfn.IFS(Table1[[#This Row],[Sales]]&gt;2000,"large",Table1[[#This Row],[Sales]]&gt;=500,"medium",Table1[[#This Row],[Sales]]&lt;500,"small")</f>
        <v>medium</v>
      </c>
      <c r="V639" s="22">
        <f>Table1[[#This Row],[Profit]]/Table1[[#This Row],[Sales]]*100</f>
        <v>37.842164251769866</v>
      </c>
    </row>
    <row r="640" spans="1:22" x14ac:dyDescent="0.35">
      <c r="A640" s="4" t="s">
        <v>1032</v>
      </c>
      <c r="B640" s="5">
        <v>45890</v>
      </c>
      <c r="C640" s="4" t="s">
        <v>142</v>
      </c>
      <c r="D640" s="4" t="s">
        <v>20</v>
      </c>
      <c r="E640" s="4" t="s">
        <v>29</v>
      </c>
      <c r="F640" s="4" t="s">
        <v>54</v>
      </c>
      <c r="G640" s="4" t="s">
        <v>31</v>
      </c>
      <c r="H640" s="4" t="s">
        <v>64</v>
      </c>
      <c r="I640" s="4">
        <v>3</v>
      </c>
      <c r="J640" s="6">
        <v>215.82</v>
      </c>
      <c r="K640" s="7">
        <v>0</v>
      </c>
      <c r="L640" s="6">
        <f t="shared" si="18"/>
        <v>647.46</v>
      </c>
      <c r="M640" s="6">
        <v>140.29</v>
      </c>
      <c r="N640" s="8">
        <f t="shared" si="19"/>
        <v>226.59000000000003</v>
      </c>
      <c r="O640" s="4" t="s">
        <v>60</v>
      </c>
      <c r="P640" s="4" t="s">
        <v>118</v>
      </c>
      <c r="Q640" s="4">
        <v>3</v>
      </c>
      <c r="R640" s="4" t="str">
        <f>TEXT(Table1[[#This Row],[Order Date]],"mmm")</f>
        <v>Aug</v>
      </c>
      <c r="S640" s="4" t="str">
        <f>TEXT(Table1[[#This Row],[Order Date]],"mm")</f>
        <v>08</v>
      </c>
      <c r="T640" s="4" t="str">
        <f>IF(Table1[[#This Row],[Sales]]&lt;0,"loss","profit")</f>
        <v>profit</v>
      </c>
      <c r="U640" s="4" t="str" cm="1">
        <f t="array" ref="U640">_xlfn.IFS(Table1[[#This Row],[Sales]]&gt;2000,"large",Table1[[#This Row],[Sales]]&gt;=500,"medium",Table1[[#This Row],[Sales]]&lt;500,"small")</f>
        <v>medium</v>
      </c>
      <c r="V640" s="22">
        <f>Table1[[#This Row],[Profit]]/Table1[[#This Row],[Sales]]*100</f>
        <v>34.996756556389585</v>
      </c>
    </row>
    <row r="641" spans="1:22" x14ac:dyDescent="0.35">
      <c r="A641" s="4" t="s">
        <v>1033</v>
      </c>
      <c r="B641" s="5">
        <v>45890</v>
      </c>
      <c r="C641" s="4" t="s">
        <v>211</v>
      </c>
      <c r="D641" s="4" t="s">
        <v>43</v>
      </c>
      <c r="E641" s="4" t="s">
        <v>29</v>
      </c>
      <c r="F641" s="4" t="s">
        <v>108</v>
      </c>
      <c r="G641" s="4" t="s">
        <v>49</v>
      </c>
      <c r="H641" s="4" t="s">
        <v>50</v>
      </c>
      <c r="I641" s="4">
        <v>5</v>
      </c>
      <c r="J641" s="6">
        <v>22.39</v>
      </c>
      <c r="K641" s="7">
        <v>0.05</v>
      </c>
      <c r="L641" s="6">
        <f t="shared" si="18"/>
        <v>106.35249999999999</v>
      </c>
      <c r="M641" s="6">
        <v>13</v>
      </c>
      <c r="N641" s="8">
        <f t="shared" si="19"/>
        <v>41.352499999999992</v>
      </c>
      <c r="O641" s="4" t="s">
        <v>60</v>
      </c>
      <c r="P641" s="4" t="s">
        <v>118</v>
      </c>
      <c r="Q641" s="4">
        <v>3</v>
      </c>
      <c r="R641" s="4" t="str">
        <f>TEXT(Table1[[#This Row],[Order Date]],"mmm")</f>
        <v>Aug</v>
      </c>
      <c r="S641" s="4" t="str">
        <f>TEXT(Table1[[#This Row],[Order Date]],"mm")</f>
        <v>08</v>
      </c>
      <c r="T641" s="4" t="str">
        <f>IF(Table1[[#This Row],[Sales]]&lt;0,"loss","profit")</f>
        <v>profit</v>
      </c>
      <c r="U641" s="4" t="str" cm="1">
        <f t="array" ref="U641">_xlfn.IFS(Table1[[#This Row],[Sales]]&gt;2000,"large",Table1[[#This Row],[Sales]]&gt;=500,"medium",Table1[[#This Row],[Sales]]&lt;500,"small")</f>
        <v>small</v>
      </c>
      <c r="V641" s="22">
        <f>Table1[[#This Row],[Profit]]/Table1[[#This Row],[Sales]]*100</f>
        <v>38.882489833337246</v>
      </c>
    </row>
    <row r="642" spans="1:22" x14ac:dyDescent="0.35">
      <c r="A642" s="4" t="s">
        <v>1034</v>
      </c>
      <c r="B642" s="5">
        <v>45891</v>
      </c>
      <c r="C642" s="4" t="s">
        <v>1035</v>
      </c>
      <c r="D642" s="4" t="s">
        <v>47</v>
      </c>
      <c r="E642" s="4" t="s">
        <v>87</v>
      </c>
      <c r="F642" s="4" t="s">
        <v>92</v>
      </c>
      <c r="G642" s="4" t="s">
        <v>31</v>
      </c>
      <c r="H642" s="4" t="s">
        <v>125</v>
      </c>
      <c r="I642" s="4">
        <v>4</v>
      </c>
      <c r="J642" s="6">
        <v>149.07</v>
      </c>
      <c r="K642" s="7">
        <v>0</v>
      </c>
      <c r="L642" s="6">
        <f t="shared" ref="L642:L705" si="20">I642*J642*(1-K642)</f>
        <v>596.28</v>
      </c>
      <c r="M642" s="6">
        <v>110.24</v>
      </c>
      <c r="N642" s="8">
        <f t="shared" ref="N642:N705" si="21">L642-I642*M642</f>
        <v>155.32</v>
      </c>
      <c r="O642" s="4" t="s">
        <v>60</v>
      </c>
      <c r="P642" s="4" t="s">
        <v>97</v>
      </c>
      <c r="Q642" s="4">
        <v>4</v>
      </c>
      <c r="R642" s="4" t="str">
        <f>TEXT(Table1[[#This Row],[Order Date]],"mmm")</f>
        <v>Aug</v>
      </c>
      <c r="S642" s="4" t="str">
        <f>TEXT(Table1[[#This Row],[Order Date]],"mm")</f>
        <v>08</v>
      </c>
      <c r="T642" s="4" t="str">
        <f>IF(Table1[[#This Row],[Sales]]&lt;0,"loss","profit")</f>
        <v>profit</v>
      </c>
      <c r="U642" s="4" t="str" cm="1">
        <f t="array" ref="U642">_xlfn.IFS(Table1[[#This Row],[Sales]]&gt;2000,"large",Table1[[#This Row],[Sales]]&gt;=500,"medium",Table1[[#This Row],[Sales]]&lt;500,"small")</f>
        <v>medium</v>
      </c>
      <c r="V642" s="22">
        <f>Table1[[#This Row],[Profit]]/Table1[[#This Row],[Sales]]*100</f>
        <v>26.048165291473801</v>
      </c>
    </row>
    <row r="643" spans="1:22" x14ac:dyDescent="0.35">
      <c r="A643" s="4" t="s">
        <v>1036</v>
      </c>
      <c r="B643" s="5">
        <v>45891</v>
      </c>
      <c r="C643" s="4" t="s">
        <v>1037</v>
      </c>
      <c r="D643" s="4" t="s">
        <v>43</v>
      </c>
      <c r="E643" s="4" t="s">
        <v>36</v>
      </c>
      <c r="F643" s="4" t="s">
        <v>201</v>
      </c>
      <c r="G643" s="4" t="s">
        <v>31</v>
      </c>
      <c r="H643" s="4" t="s">
        <v>64</v>
      </c>
      <c r="I643" s="4">
        <v>3</v>
      </c>
      <c r="J643" s="6">
        <v>199.12</v>
      </c>
      <c r="K643" s="7">
        <v>0</v>
      </c>
      <c r="L643" s="6">
        <f t="shared" si="20"/>
        <v>597.36</v>
      </c>
      <c r="M643" s="6">
        <v>133.77000000000001</v>
      </c>
      <c r="N643" s="8">
        <f t="shared" si="21"/>
        <v>196.04999999999995</v>
      </c>
      <c r="O643" s="4" t="s">
        <v>60</v>
      </c>
      <c r="P643" s="4" t="s">
        <v>61</v>
      </c>
      <c r="Q643" s="4">
        <v>4</v>
      </c>
      <c r="R643" s="4" t="str">
        <f>TEXT(Table1[[#This Row],[Order Date]],"mmm")</f>
        <v>Aug</v>
      </c>
      <c r="S643" s="4" t="str">
        <f>TEXT(Table1[[#This Row],[Order Date]],"mm")</f>
        <v>08</v>
      </c>
      <c r="T643" s="4" t="str">
        <f>IF(Table1[[#This Row],[Sales]]&lt;0,"loss","profit")</f>
        <v>profit</v>
      </c>
      <c r="U643" s="4" t="str" cm="1">
        <f t="array" ref="U643">_xlfn.IFS(Table1[[#This Row],[Sales]]&gt;2000,"large",Table1[[#This Row],[Sales]]&gt;=500,"medium",Table1[[#This Row],[Sales]]&lt;500,"small")</f>
        <v>medium</v>
      </c>
      <c r="V643" s="22">
        <f>Table1[[#This Row],[Profit]]/Table1[[#This Row],[Sales]]*100</f>
        <v>32.81940538368822</v>
      </c>
    </row>
    <row r="644" spans="1:22" x14ac:dyDescent="0.35">
      <c r="A644" s="4" t="s">
        <v>1038</v>
      </c>
      <c r="B644" s="5">
        <v>45892</v>
      </c>
      <c r="C644" s="4" t="s">
        <v>450</v>
      </c>
      <c r="D644" s="4" t="s">
        <v>43</v>
      </c>
      <c r="E644" s="4" t="s">
        <v>29</v>
      </c>
      <c r="F644" s="4" t="s">
        <v>108</v>
      </c>
      <c r="G644" s="4" t="s">
        <v>31</v>
      </c>
      <c r="H644" s="4" t="s">
        <v>147</v>
      </c>
      <c r="I644" s="4">
        <v>1</v>
      </c>
      <c r="J644" s="6">
        <v>105.73</v>
      </c>
      <c r="K644" s="7">
        <v>0</v>
      </c>
      <c r="L644" s="6">
        <f t="shared" si="20"/>
        <v>105.73</v>
      </c>
      <c r="M644" s="6">
        <v>64.290000000000006</v>
      </c>
      <c r="N644" s="8">
        <f t="shared" si="21"/>
        <v>41.44</v>
      </c>
      <c r="O644" s="4" t="s">
        <v>25</v>
      </c>
      <c r="P644" s="4" t="s">
        <v>61</v>
      </c>
      <c r="Q644" s="4">
        <v>3</v>
      </c>
      <c r="R644" s="4" t="str">
        <f>TEXT(Table1[[#This Row],[Order Date]],"mmm")</f>
        <v>Aug</v>
      </c>
      <c r="S644" s="4" t="str">
        <f>TEXT(Table1[[#This Row],[Order Date]],"mm")</f>
        <v>08</v>
      </c>
      <c r="T644" s="4" t="str">
        <f>IF(Table1[[#This Row],[Sales]]&lt;0,"loss","profit")</f>
        <v>profit</v>
      </c>
      <c r="U644" s="4" t="str" cm="1">
        <f t="array" ref="U644">_xlfn.IFS(Table1[[#This Row],[Sales]]&gt;2000,"large",Table1[[#This Row],[Sales]]&gt;=500,"medium",Table1[[#This Row],[Sales]]&lt;500,"small")</f>
        <v>small</v>
      </c>
      <c r="V644" s="22">
        <f>Table1[[#This Row],[Profit]]/Table1[[#This Row],[Sales]]*100</f>
        <v>39.194173839023925</v>
      </c>
    </row>
    <row r="645" spans="1:22" x14ac:dyDescent="0.35">
      <c r="A645" s="4" t="s">
        <v>1039</v>
      </c>
      <c r="B645" s="5">
        <v>45892</v>
      </c>
      <c r="C645" s="4" t="s">
        <v>795</v>
      </c>
      <c r="D645" s="4" t="s">
        <v>43</v>
      </c>
      <c r="E645" s="4" t="s">
        <v>21</v>
      </c>
      <c r="F645" s="4" t="s">
        <v>59</v>
      </c>
      <c r="G645" s="4" t="s">
        <v>31</v>
      </c>
      <c r="H645" s="4" t="s">
        <v>125</v>
      </c>
      <c r="I645" s="4">
        <v>4</v>
      </c>
      <c r="J645" s="6">
        <v>155</v>
      </c>
      <c r="K645" s="7">
        <v>0.15</v>
      </c>
      <c r="L645" s="6">
        <f t="shared" si="20"/>
        <v>527</v>
      </c>
      <c r="M645" s="6">
        <v>115.97</v>
      </c>
      <c r="N645" s="8">
        <f t="shared" si="21"/>
        <v>63.120000000000005</v>
      </c>
      <c r="O645" s="4" t="s">
        <v>84</v>
      </c>
      <c r="P645" s="4" t="s">
        <v>75</v>
      </c>
      <c r="Q645" s="4">
        <v>2</v>
      </c>
      <c r="R645" s="4" t="str">
        <f>TEXT(Table1[[#This Row],[Order Date]],"mmm")</f>
        <v>Aug</v>
      </c>
      <c r="S645" s="4" t="str">
        <f>TEXT(Table1[[#This Row],[Order Date]],"mm")</f>
        <v>08</v>
      </c>
      <c r="T645" s="4" t="str">
        <f>IF(Table1[[#This Row],[Sales]]&lt;0,"loss","profit")</f>
        <v>profit</v>
      </c>
      <c r="U645" s="4" t="str" cm="1">
        <f t="array" ref="U645">_xlfn.IFS(Table1[[#This Row],[Sales]]&gt;2000,"large",Table1[[#This Row],[Sales]]&gt;=500,"medium",Table1[[#This Row],[Sales]]&lt;500,"small")</f>
        <v>medium</v>
      </c>
      <c r="V645" s="22">
        <f>Table1[[#This Row],[Profit]]/Table1[[#This Row],[Sales]]*100</f>
        <v>11.977229601518028</v>
      </c>
    </row>
    <row r="646" spans="1:22" x14ac:dyDescent="0.35">
      <c r="A646" s="4" t="s">
        <v>1040</v>
      </c>
      <c r="B646" s="5">
        <v>45892</v>
      </c>
      <c r="C646" s="4" t="s">
        <v>77</v>
      </c>
      <c r="D646" s="4" t="s">
        <v>43</v>
      </c>
      <c r="E646" s="4" t="s">
        <v>36</v>
      </c>
      <c r="F646" s="4" t="s">
        <v>37</v>
      </c>
      <c r="G646" s="4" t="s">
        <v>49</v>
      </c>
      <c r="H646" s="4" t="s">
        <v>128</v>
      </c>
      <c r="I646" s="4">
        <v>2</v>
      </c>
      <c r="J646" s="6">
        <v>143.13</v>
      </c>
      <c r="K646" s="7">
        <v>0</v>
      </c>
      <c r="L646" s="6">
        <f t="shared" si="20"/>
        <v>286.26</v>
      </c>
      <c r="M646" s="6">
        <v>103.99</v>
      </c>
      <c r="N646" s="8">
        <f t="shared" si="21"/>
        <v>78.28</v>
      </c>
      <c r="O646" s="4" t="s">
        <v>84</v>
      </c>
      <c r="P646" s="4" t="s">
        <v>75</v>
      </c>
      <c r="Q646" s="4">
        <v>2</v>
      </c>
      <c r="R646" s="4" t="str">
        <f>TEXT(Table1[[#This Row],[Order Date]],"mmm")</f>
        <v>Aug</v>
      </c>
      <c r="S646" s="4" t="str">
        <f>TEXT(Table1[[#This Row],[Order Date]],"mm")</f>
        <v>08</v>
      </c>
      <c r="T646" s="4" t="str">
        <f>IF(Table1[[#This Row],[Sales]]&lt;0,"loss","profit")</f>
        <v>profit</v>
      </c>
      <c r="U646" s="4" t="str" cm="1">
        <f t="array" ref="U646">_xlfn.IFS(Table1[[#This Row],[Sales]]&gt;2000,"large",Table1[[#This Row],[Sales]]&gt;=500,"medium",Table1[[#This Row],[Sales]]&lt;500,"small")</f>
        <v>small</v>
      </c>
      <c r="V646" s="22">
        <f>Table1[[#This Row],[Profit]]/Table1[[#This Row],[Sales]]*100</f>
        <v>27.345769580102008</v>
      </c>
    </row>
    <row r="647" spans="1:22" x14ac:dyDescent="0.35">
      <c r="A647" s="4" t="s">
        <v>1041</v>
      </c>
      <c r="B647" s="5">
        <v>45893</v>
      </c>
      <c r="C647" s="4" t="s">
        <v>485</v>
      </c>
      <c r="D647" s="4" t="s">
        <v>43</v>
      </c>
      <c r="E647" s="4" t="s">
        <v>29</v>
      </c>
      <c r="F647" s="4" t="s">
        <v>108</v>
      </c>
      <c r="G647" s="4" t="s">
        <v>67</v>
      </c>
      <c r="H647" s="4" t="s">
        <v>140</v>
      </c>
      <c r="I647" s="4">
        <v>10</v>
      </c>
      <c r="J647" s="6">
        <v>190.72</v>
      </c>
      <c r="K647" s="7">
        <v>0.1</v>
      </c>
      <c r="L647" s="6">
        <f t="shared" si="20"/>
        <v>1716.48</v>
      </c>
      <c r="M647" s="6">
        <v>116.17</v>
      </c>
      <c r="N647" s="8">
        <f t="shared" si="21"/>
        <v>554.78</v>
      </c>
      <c r="O647" s="4" t="s">
        <v>40</v>
      </c>
      <c r="P647" s="4" t="s">
        <v>33</v>
      </c>
      <c r="Q647" s="4">
        <v>4</v>
      </c>
      <c r="R647" s="4" t="str">
        <f>TEXT(Table1[[#This Row],[Order Date]],"mmm")</f>
        <v>Aug</v>
      </c>
      <c r="S647" s="4" t="str">
        <f>TEXT(Table1[[#This Row],[Order Date]],"mm")</f>
        <v>08</v>
      </c>
      <c r="T647" s="4" t="str">
        <f>IF(Table1[[#This Row],[Sales]]&lt;0,"loss","profit")</f>
        <v>profit</v>
      </c>
      <c r="U647" s="4" t="str" cm="1">
        <f t="array" ref="U647">_xlfn.IFS(Table1[[#This Row],[Sales]]&gt;2000,"large",Table1[[#This Row],[Sales]]&gt;=500,"medium",Table1[[#This Row],[Sales]]&lt;500,"small")</f>
        <v>medium</v>
      </c>
      <c r="V647" s="22">
        <f>Table1[[#This Row],[Profit]]/Table1[[#This Row],[Sales]]*100</f>
        <v>32.320796047725572</v>
      </c>
    </row>
    <row r="648" spans="1:22" x14ac:dyDescent="0.35">
      <c r="A648" s="4" t="s">
        <v>1042</v>
      </c>
      <c r="B648" s="5">
        <v>45893</v>
      </c>
      <c r="C648" s="4" t="s">
        <v>972</v>
      </c>
      <c r="D648" s="4" t="s">
        <v>20</v>
      </c>
      <c r="E648" s="4" t="s">
        <v>29</v>
      </c>
      <c r="F648" s="4" t="s">
        <v>108</v>
      </c>
      <c r="G648" s="4" t="s">
        <v>23</v>
      </c>
      <c r="H648" s="4" t="s">
        <v>135</v>
      </c>
      <c r="I648" s="4">
        <v>3</v>
      </c>
      <c r="J648" s="6">
        <v>11.24</v>
      </c>
      <c r="K648" s="7">
        <v>0.05</v>
      </c>
      <c r="L648" s="6">
        <f t="shared" si="20"/>
        <v>32.033999999999999</v>
      </c>
      <c r="M648" s="6">
        <v>7.07</v>
      </c>
      <c r="N648" s="8">
        <f t="shared" si="21"/>
        <v>10.823999999999998</v>
      </c>
      <c r="O648" s="4" t="s">
        <v>51</v>
      </c>
      <c r="P648" s="4" t="s">
        <v>26</v>
      </c>
      <c r="Q648" s="4">
        <v>3</v>
      </c>
      <c r="R648" s="4" t="str">
        <f>TEXT(Table1[[#This Row],[Order Date]],"mmm")</f>
        <v>Aug</v>
      </c>
      <c r="S648" s="4" t="str">
        <f>TEXT(Table1[[#This Row],[Order Date]],"mm")</f>
        <v>08</v>
      </c>
      <c r="T648" s="4" t="str">
        <f>IF(Table1[[#This Row],[Sales]]&lt;0,"loss","profit")</f>
        <v>profit</v>
      </c>
      <c r="U648" s="4" t="str" cm="1">
        <f t="array" ref="U648">_xlfn.IFS(Table1[[#This Row],[Sales]]&gt;2000,"large",Table1[[#This Row],[Sales]]&gt;=500,"medium",Table1[[#This Row],[Sales]]&lt;500,"small")</f>
        <v>small</v>
      </c>
      <c r="V648" s="22">
        <f>Table1[[#This Row],[Profit]]/Table1[[#This Row],[Sales]]*100</f>
        <v>33.789099082225135</v>
      </c>
    </row>
    <row r="649" spans="1:22" x14ac:dyDescent="0.35">
      <c r="A649" s="4" t="s">
        <v>1043</v>
      </c>
      <c r="B649" s="5">
        <v>45893</v>
      </c>
      <c r="C649" s="4" t="s">
        <v>550</v>
      </c>
      <c r="D649" s="4" t="s">
        <v>20</v>
      </c>
      <c r="E649" s="4" t="s">
        <v>29</v>
      </c>
      <c r="F649" s="4" t="s">
        <v>30</v>
      </c>
      <c r="G649" s="4" t="s">
        <v>31</v>
      </c>
      <c r="H649" s="4" t="s">
        <v>125</v>
      </c>
      <c r="I649" s="4">
        <v>3</v>
      </c>
      <c r="J649" s="6">
        <v>95.27</v>
      </c>
      <c r="K649" s="7">
        <v>0</v>
      </c>
      <c r="L649" s="6">
        <f t="shared" si="20"/>
        <v>285.81</v>
      </c>
      <c r="M649" s="6">
        <v>52.4</v>
      </c>
      <c r="N649" s="8">
        <f t="shared" si="21"/>
        <v>128.61000000000001</v>
      </c>
      <c r="O649" s="4" t="s">
        <v>51</v>
      </c>
      <c r="P649" s="4" t="s">
        <v>61</v>
      </c>
      <c r="Q649" s="4">
        <v>4</v>
      </c>
      <c r="R649" s="4" t="str">
        <f>TEXT(Table1[[#This Row],[Order Date]],"mmm")</f>
        <v>Aug</v>
      </c>
      <c r="S649" s="4" t="str">
        <f>TEXT(Table1[[#This Row],[Order Date]],"mm")</f>
        <v>08</v>
      </c>
      <c r="T649" s="4" t="str">
        <f>IF(Table1[[#This Row],[Sales]]&lt;0,"loss","profit")</f>
        <v>profit</v>
      </c>
      <c r="U649" s="4" t="str" cm="1">
        <f t="array" ref="U649">_xlfn.IFS(Table1[[#This Row],[Sales]]&gt;2000,"large",Table1[[#This Row],[Sales]]&gt;=500,"medium",Table1[[#This Row],[Sales]]&lt;500,"small")</f>
        <v>small</v>
      </c>
      <c r="V649" s="22">
        <f>Table1[[#This Row],[Profit]]/Table1[[#This Row],[Sales]]*100</f>
        <v>44.998425527448312</v>
      </c>
    </row>
    <row r="650" spans="1:22" x14ac:dyDescent="0.35">
      <c r="A650" s="4" t="s">
        <v>1044</v>
      </c>
      <c r="B650" s="5">
        <v>45894</v>
      </c>
      <c r="C650" s="4" t="s">
        <v>904</v>
      </c>
      <c r="D650" s="4" t="s">
        <v>20</v>
      </c>
      <c r="E650" s="4" t="s">
        <v>29</v>
      </c>
      <c r="F650" s="4" t="s">
        <v>54</v>
      </c>
      <c r="G650" s="4" t="s">
        <v>31</v>
      </c>
      <c r="H650" s="4" t="s">
        <v>32</v>
      </c>
      <c r="I650" s="4">
        <v>2</v>
      </c>
      <c r="J650" s="6">
        <v>253.5</v>
      </c>
      <c r="K650" s="7">
        <v>0.05</v>
      </c>
      <c r="L650" s="6">
        <f t="shared" si="20"/>
        <v>481.65</v>
      </c>
      <c r="M650" s="6">
        <v>162.93</v>
      </c>
      <c r="N650" s="8">
        <f t="shared" si="21"/>
        <v>155.78999999999996</v>
      </c>
      <c r="O650" s="4" t="s">
        <v>60</v>
      </c>
      <c r="P650" s="4" t="s">
        <v>72</v>
      </c>
      <c r="Q650" s="4">
        <v>5</v>
      </c>
      <c r="R650" s="4" t="str">
        <f>TEXT(Table1[[#This Row],[Order Date]],"mmm")</f>
        <v>Aug</v>
      </c>
      <c r="S650" s="4" t="str">
        <f>TEXT(Table1[[#This Row],[Order Date]],"mm")</f>
        <v>08</v>
      </c>
      <c r="T650" s="4" t="str">
        <f>IF(Table1[[#This Row],[Sales]]&lt;0,"loss","profit")</f>
        <v>profit</v>
      </c>
      <c r="U650" s="4" t="str" cm="1">
        <f t="array" ref="U650">_xlfn.IFS(Table1[[#This Row],[Sales]]&gt;2000,"large",Table1[[#This Row],[Sales]]&gt;=500,"medium",Table1[[#This Row],[Sales]]&lt;500,"small")</f>
        <v>small</v>
      </c>
      <c r="V650" s="22">
        <f>Table1[[#This Row],[Profit]]/Table1[[#This Row],[Sales]]*100</f>
        <v>32.345063843039547</v>
      </c>
    </row>
    <row r="651" spans="1:22" x14ac:dyDescent="0.35">
      <c r="A651" s="4" t="s">
        <v>1045</v>
      </c>
      <c r="B651" s="5">
        <v>45894</v>
      </c>
      <c r="C651" s="4" t="s">
        <v>170</v>
      </c>
      <c r="D651" s="4" t="s">
        <v>47</v>
      </c>
      <c r="E651" s="4" t="s">
        <v>21</v>
      </c>
      <c r="F651" s="4" t="s">
        <v>59</v>
      </c>
      <c r="G651" s="4" t="s">
        <v>49</v>
      </c>
      <c r="H651" s="4" t="s">
        <v>128</v>
      </c>
      <c r="I651" s="4">
        <v>2</v>
      </c>
      <c r="J651" s="6">
        <v>132.75</v>
      </c>
      <c r="K651" s="7">
        <v>0</v>
      </c>
      <c r="L651" s="6">
        <f t="shared" si="20"/>
        <v>265.5</v>
      </c>
      <c r="M651" s="6">
        <v>81.099999999999994</v>
      </c>
      <c r="N651" s="8">
        <f t="shared" si="21"/>
        <v>103.30000000000001</v>
      </c>
      <c r="O651" s="4" t="s">
        <v>51</v>
      </c>
      <c r="P651" s="4" t="s">
        <v>72</v>
      </c>
      <c r="Q651" s="4">
        <v>4</v>
      </c>
      <c r="R651" s="4" t="str">
        <f>TEXT(Table1[[#This Row],[Order Date]],"mmm")</f>
        <v>Aug</v>
      </c>
      <c r="S651" s="4" t="str">
        <f>TEXT(Table1[[#This Row],[Order Date]],"mm")</f>
        <v>08</v>
      </c>
      <c r="T651" s="4" t="str">
        <f>IF(Table1[[#This Row],[Sales]]&lt;0,"loss","profit")</f>
        <v>profit</v>
      </c>
      <c r="U651" s="4" t="str" cm="1">
        <f t="array" ref="U651">_xlfn.IFS(Table1[[#This Row],[Sales]]&gt;2000,"large",Table1[[#This Row],[Sales]]&gt;=500,"medium",Table1[[#This Row],[Sales]]&lt;500,"small")</f>
        <v>small</v>
      </c>
      <c r="V651" s="22">
        <f>Table1[[#This Row],[Profit]]/Table1[[#This Row],[Sales]]*100</f>
        <v>38.907721280602644</v>
      </c>
    </row>
    <row r="652" spans="1:22" x14ac:dyDescent="0.35">
      <c r="A652" s="4" t="s">
        <v>1046</v>
      </c>
      <c r="B652" s="5">
        <v>45894</v>
      </c>
      <c r="C652" s="4" t="s">
        <v>976</v>
      </c>
      <c r="D652" s="4" t="s">
        <v>43</v>
      </c>
      <c r="E652" s="4" t="s">
        <v>21</v>
      </c>
      <c r="F652" s="4" t="s">
        <v>59</v>
      </c>
      <c r="G652" s="4" t="s">
        <v>38</v>
      </c>
      <c r="H652" s="4" t="s">
        <v>55</v>
      </c>
      <c r="I652" s="4">
        <v>1</v>
      </c>
      <c r="J652" s="6">
        <v>259.89</v>
      </c>
      <c r="K652" s="7">
        <v>0.2</v>
      </c>
      <c r="L652" s="6">
        <f t="shared" si="20"/>
        <v>207.91200000000001</v>
      </c>
      <c r="M652" s="6">
        <v>232.54</v>
      </c>
      <c r="N652" s="8">
        <f t="shared" si="21"/>
        <v>-24.627999999999986</v>
      </c>
      <c r="O652" s="4" t="s">
        <v>60</v>
      </c>
      <c r="P652" s="4" t="s">
        <v>72</v>
      </c>
      <c r="Q652" s="4">
        <v>3</v>
      </c>
      <c r="R652" s="4" t="str">
        <f>TEXT(Table1[[#This Row],[Order Date]],"mmm")</f>
        <v>Aug</v>
      </c>
      <c r="S652" s="4" t="str">
        <f>TEXT(Table1[[#This Row],[Order Date]],"mm")</f>
        <v>08</v>
      </c>
      <c r="T652" s="4" t="str">
        <f>IF(Table1[[#This Row],[Sales]]&lt;0,"loss","profit")</f>
        <v>profit</v>
      </c>
      <c r="U652" s="4" t="str" cm="1">
        <f t="array" ref="U652">_xlfn.IFS(Table1[[#This Row],[Sales]]&gt;2000,"large",Table1[[#This Row],[Sales]]&gt;=500,"medium",Table1[[#This Row],[Sales]]&lt;500,"small")</f>
        <v>small</v>
      </c>
      <c r="V652" s="22">
        <f>Table1[[#This Row],[Profit]]/Table1[[#This Row],[Sales]]*100</f>
        <v>-11.845396129131549</v>
      </c>
    </row>
    <row r="653" spans="1:22" x14ac:dyDescent="0.35">
      <c r="A653" s="4" t="s">
        <v>1047</v>
      </c>
      <c r="B653" s="5">
        <v>45895</v>
      </c>
      <c r="C653" s="4" t="s">
        <v>1048</v>
      </c>
      <c r="D653" s="4" t="s">
        <v>20</v>
      </c>
      <c r="E653" s="4" t="s">
        <v>29</v>
      </c>
      <c r="F653" s="4" t="s">
        <v>108</v>
      </c>
      <c r="G653" s="4" t="s">
        <v>49</v>
      </c>
      <c r="H653" s="4" t="s">
        <v>78</v>
      </c>
      <c r="I653" s="4">
        <v>2</v>
      </c>
      <c r="J653" s="6">
        <v>578.45000000000005</v>
      </c>
      <c r="K653" s="7">
        <v>0.15</v>
      </c>
      <c r="L653" s="6">
        <f t="shared" si="20"/>
        <v>983.36500000000001</v>
      </c>
      <c r="M653" s="6">
        <v>382.36</v>
      </c>
      <c r="N653" s="8">
        <f t="shared" si="21"/>
        <v>218.64499999999998</v>
      </c>
      <c r="O653" s="4" t="s">
        <v>51</v>
      </c>
      <c r="P653" s="4" t="s">
        <v>72</v>
      </c>
      <c r="Q653" s="4">
        <v>4</v>
      </c>
      <c r="R653" s="4" t="str">
        <f>TEXT(Table1[[#This Row],[Order Date]],"mmm")</f>
        <v>Aug</v>
      </c>
      <c r="S653" s="4" t="str">
        <f>TEXT(Table1[[#This Row],[Order Date]],"mm")</f>
        <v>08</v>
      </c>
      <c r="T653" s="4" t="str">
        <f>IF(Table1[[#This Row],[Sales]]&lt;0,"loss","profit")</f>
        <v>profit</v>
      </c>
      <c r="U653" s="4" t="str" cm="1">
        <f t="array" ref="U653">_xlfn.IFS(Table1[[#This Row],[Sales]]&gt;2000,"large",Table1[[#This Row],[Sales]]&gt;=500,"medium",Table1[[#This Row],[Sales]]&lt;500,"small")</f>
        <v>medium</v>
      </c>
      <c r="V653" s="22">
        <f>Table1[[#This Row],[Profit]]/Table1[[#This Row],[Sales]]*100</f>
        <v>22.234368723719065</v>
      </c>
    </row>
    <row r="654" spans="1:22" x14ac:dyDescent="0.35">
      <c r="A654" s="4" t="s">
        <v>1049</v>
      </c>
      <c r="B654" s="5">
        <v>45895</v>
      </c>
      <c r="C654" s="4" t="s">
        <v>765</v>
      </c>
      <c r="D654" s="4" t="s">
        <v>20</v>
      </c>
      <c r="E654" s="4" t="s">
        <v>36</v>
      </c>
      <c r="F654" s="4" t="s">
        <v>48</v>
      </c>
      <c r="G654" s="4" t="s">
        <v>31</v>
      </c>
      <c r="H654" s="4" t="s">
        <v>147</v>
      </c>
      <c r="I654" s="4">
        <v>8</v>
      </c>
      <c r="J654" s="6">
        <v>47.52</v>
      </c>
      <c r="K654" s="7">
        <v>0.1</v>
      </c>
      <c r="L654" s="6">
        <f t="shared" si="20"/>
        <v>342.14400000000001</v>
      </c>
      <c r="M654" s="6">
        <v>33.85</v>
      </c>
      <c r="N654" s="8">
        <f t="shared" si="21"/>
        <v>71.343999999999994</v>
      </c>
      <c r="O654" s="4" t="s">
        <v>25</v>
      </c>
      <c r="P654" s="4" t="s">
        <v>33</v>
      </c>
      <c r="Q654" s="4">
        <v>3</v>
      </c>
      <c r="R654" s="4" t="str">
        <f>TEXT(Table1[[#This Row],[Order Date]],"mmm")</f>
        <v>Aug</v>
      </c>
      <c r="S654" s="4" t="str">
        <f>TEXT(Table1[[#This Row],[Order Date]],"mm")</f>
        <v>08</v>
      </c>
      <c r="T654" s="4" t="str">
        <f>IF(Table1[[#This Row],[Sales]]&lt;0,"loss","profit")</f>
        <v>profit</v>
      </c>
      <c r="U654" s="4" t="str" cm="1">
        <f t="array" ref="U654">_xlfn.IFS(Table1[[#This Row],[Sales]]&gt;2000,"large",Table1[[#This Row],[Sales]]&gt;=500,"medium",Table1[[#This Row],[Sales]]&lt;500,"small")</f>
        <v>small</v>
      </c>
      <c r="V654" s="22">
        <f>Table1[[#This Row],[Profit]]/Table1[[#This Row],[Sales]]*100</f>
        <v>20.852038907594462</v>
      </c>
    </row>
    <row r="655" spans="1:22" x14ac:dyDescent="0.35">
      <c r="A655" s="4" t="s">
        <v>1050</v>
      </c>
      <c r="B655" s="5">
        <v>45895</v>
      </c>
      <c r="C655" s="4" t="s">
        <v>1051</v>
      </c>
      <c r="D655" s="4" t="s">
        <v>43</v>
      </c>
      <c r="E655" s="4" t="s">
        <v>87</v>
      </c>
      <c r="F655" s="4" t="s">
        <v>92</v>
      </c>
      <c r="G655" s="4" t="s">
        <v>23</v>
      </c>
      <c r="H655" s="4" t="s">
        <v>135</v>
      </c>
      <c r="I655" s="4">
        <v>2</v>
      </c>
      <c r="J655" s="6">
        <v>22.85</v>
      </c>
      <c r="K655" s="7">
        <v>0.2</v>
      </c>
      <c r="L655" s="6">
        <f t="shared" si="20"/>
        <v>36.56</v>
      </c>
      <c r="M655" s="6">
        <v>13.36</v>
      </c>
      <c r="N655" s="8">
        <f t="shared" si="21"/>
        <v>9.8400000000000034</v>
      </c>
      <c r="O655" s="4" t="s">
        <v>84</v>
      </c>
      <c r="P655" s="4" t="s">
        <v>72</v>
      </c>
      <c r="Q655" s="4">
        <v>2</v>
      </c>
      <c r="R655" s="4" t="str">
        <f>TEXT(Table1[[#This Row],[Order Date]],"mmm")</f>
        <v>Aug</v>
      </c>
      <c r="S655" s="4" t="str">
        <f>TEXT(Table1[[#This Row],[Order Date]],"mm")</f>
        <v>08</v>
      </c>
      <c r="T655" s="4" t="str">
        <f>IF(Table1[[#This Row],[Sales]]&lt;0,"loss","profit")</f>
        <v>profit</v>
      </c>
      <c r="U655" s="4" t="str" cm="1">
        <f t="array" ref="U655">_xlfn.IFS(Table1[[#This Row],[Sales]]&gt;2000,"large",Table1[[#This Row],[Sales]]&gt;=500,"medium",Table1[[#This Row],[Sales]]&lt;500,"small")</f>
        <v>small</v>
      </c>
      <c r="V655" s="22">
        <f>Table1[[#This Row],[Profit]]/Table1[[#This Row],[Sales]]*100</f>
        <v>26.914660831509856</v>
      </c>
    </row>
    <row r="656" spans="1:22" x14ac:dyDescent="0.35">
      <c r="A656" s="4" t="s">
        <v>1052</v>
      </c>
      <c r="B656" s="5">
        <v>45896</v>
      </c>
      <c r="C656" s="4" t="s">
        <v>205</v>
      </c>
      <c r="D656" s="4" t="s">
        <v>43</v>
      </c>
      <c r="E656" s="4" t="s">
        <v>87</v>
      </c>
      <c r="F656" s="4" t="s">
        <v>92</v>
      </c>
      <c r="G656" s="4" t="s">
        <v>31</v>
      </c>
      <c r="H656" s="4" t="s">
        <v>125</v>
      </c>
      <c r="I656" s="4">
        <v>5</v>
      </c>
      <c r="J656" s="6">
        <v>151.46</v>
      </c>
      <c r="K656" s="7">
        <v>0</v>
      </c>
      <c r="L656" s="6">
        <f t="shared" si="20"/>
        <v>757.30000000000007</v>
      </c>
      <c r="M656" s="6">
        <v>96.52</v>
      </c>
      <c r="N656" s="8">
        <f t="shared" si="21"/>
        <v>274.7000000000001</v>
      </c>
      <c r="O656" s="4" t="s">
        <v>60</v>
      </c>
      <c r="P656" s="4" t="s">
        <v>72</v>
      </c>
      <c r="Q656" s="4">
        <v>2</v>
      </c>
      <c r="R656" s="4" t="str">
        <f>TEXT(Table1[[#This Row],[Order Date]],"mmm")</f>
        <v>Aug</v>
      </c>
      <c r="S656" s="4" t="str">
        <f>TEXT(Table1[[#This Row],[Order Date]],"mm")</f>
        <v>08</v>
      </c>
      <c r="T656" s="4" t="str">
        <f>IF(Table1[[#This Row],[Sales]]&lt;0,"loss","profit")</f>
        <v>profit</v>
      </c>
      <c r="U656" s="4" t="str" cm="1">
        <f t="array" ref="U656">_xlfn.IFS(Table1[[#This Row],[Sales]]&gt;2000,"large",Table1[[#This Row],[Sales]]&gt;=500,"medium",Table1[[#This Row],[Sales]]&lt;500,"small")</f>
        <v>medium</v>
      </c>
      <c r="V656" s="22">
        <f>Table1[[#This Row],[Profit]]/Table1[[#This Row],[Sales]]*100</f>
        <v>36.273603591707392</v>
      </c>
    </row>
    <row r="657" spans="1:22" x14ac:dyDescent="0.35">
      <c r="A657" s="4" t="s">
        <v>1053</v>
      </c>
      <c r="B657" s="5">
        <v>45896</v>
      </c>
      <c r="C657" s="4" t="s">
        <v>160</v>
      </c>
      <c r="D657" s="4" t="s">
        <v>43</v>
      </c>
      <c r="E657" s="4" t="s">
        <v>36</v>
      </c>
      <c r="F657" s="4" t="s">
        <v>37</v>
      </c>
      <c r="G657" s="4" t="s">
        <v>38</v>
      </c>
      <c r="H657" s="4" t="s">
        <v>89</v>
      </c>
      <c r="I657" s="4">
        <v>1</v>
      </c>
      <c r="J657" s="6">
        <v>1162.98</v>
      </c>
      <c r="K657" s="7">
        <v>0.15</v>
      </c>
      <c r="L657" s="6">
        <f t="shared" si="20"/>
        <v>988.53300000000002</v>
      </c>
      <c r="M657" s="6">
        <v>975.72</v>
      </c>
      <c r="N657" s="8">
        <f t="shared" si="21"/>
        <v>12.812999999999988</v>
      </c>
      <c r="O657" s="4" t="s">
        <v>84</v>
      </c>
      <c r="P657" s="4" t="s">
        <v>72</v>
      </c>
      <c r="Q657" s="4">
        <v>3</v>
      </c>
      <c r="R657" s="4" t="str">
        <f>TEXT(Table1[[#This Row],[Order Date]],"mmm")</f>
        <v>Aug</v>
      </c>
      <c r="S657" s="4" t="str">
        <f>TEXT(Table1[[#This Row],[Order Date]],"mm")</f>
        <v>08</v>
      </c>
      <c r="T657" s="4" t="str">
        <f>IF(Table1[[#This Row],[Sales]]&lt;0,"loss","profit")</f>
        <v>profit</v>
      </c>
      <c r="U657" s="4" t="str" cm="1">
        <f t="array" ref="U657">_xlfn.IFS(Table1[[#This Row],[Sales]]&gt;2000,"large",Table1[[#This Row],[Sales]]&gt;=500,"medium",Table1[[#This Row],[Sales]]&lt;500,"small")</f>
        <v>medium</v>
      </c>
      <c r="V657" s="22">
        <f>Table1[[#This Row],[Profit]]/Table1[[#This Row],[Sales]]*100</f>
        <v>1.2961631022940041</v>
      </c>
    </row>
    <row r="658" spans="1:22" x14ac:dyDescent="0.35">
      <c r="A658" s="4" t="s">
        <v>1054</v>
      </c>
      <c r="B658" s="5">
        <v>45896</v>
      </c>
      <c r="C658" s="4" t="s">
        <v>917</v>
      </c>
      <c r="D658" s="4" t="s">
        <v>43</v>
      </c>
      <c r="E658" s="4" t="s">
        <v>21</v>
      </c>
      <c r="F658" s="4" t="s">
        <v>22</v>
      </c>
      <c r="G658" s="4" t="s">
        <v>38</v>
      </c>
      <c r="H658" s="4" t="s">
        <v>109</v>
      </c>
      <c r="I658" s="4">
        <v>2</v>
      </c>
      <c r="J658" s="6">
        <v>602.91</v>
      </c>
      <c r="K658" s="7">
        <v>0.15</v>
      </c>
      <c r="L658" s="6">
        <f t="shared" si="20"/>
        <v>1024.9469999999999</v>
      </c>
      <c r="M658" s="6">
        <v>533.12</v>
      </c>
      <c r="N658" s="8">
        <f t="shared" si="21"/>
        <v>-41.29300000000012</v>
      </c>
      <c r="O658" s="4" t="s">
        <v>60</v>
      </c>
      <c r="P658" s="4" t="s">
        <v>118</v>
      </c>
      <c r="Q658" s="4">
        <v>5</v>
      </c>
      <c r="R658" s="4" t="str">
        <f>TEXT(Table1[[#This Row],[Order Date]],"mmm")</f>
        <v>Aug</v>
      </c>
      <c r="S658" s="4" t="str">
        <f>TEXT(Table1[[#This Row],[Order Date]],"mm")</f>
        <v>08</v>
      </c>
      <c r="T658" s="4" t="str">
        <f>IF(Table1[[#This Row],[Sales]]&lt;0,"loss","profit")</f>
        <v>profit</v>
      </c>
      <c r="U658" s="4" t="str" cm="1">
        <f t="array" ref="U658">_xlfn.IFS(Table1[[#This Row],[Sales]]&gt;2000,"large",Table1[[#This Row],[Sales]]&gt;=500,"medium",Table1[[#This Row],[Sales]]&lt;500,"small")</f>
        <v>medium</v>
      </c>
      <c r="V658" s="22">
        <f>Table1[[#This Row],[Profit]]/Table1[[#This Row],[Sales]]*100</f>
        <v>-4.0287936839661098</v>
      </c>
    </row>
    <row r="659" spans="1:22" x14ac:dyDescent="0.35">
      <c r="A659" s="4" t="s">
        <v>1055</v>
      </c>
      <c r="B659" s="5">
        <v>45896</v>
      </c>
      <c r="C659" s="4" t="s">
        <v>229</v>
      </c>
      <c r="D659" s="4" t="s">
        <v>20</v>
      </c>
      <c r="E659" s="4" t="s">
        <v>87</v>
      </c>
      <c r="F659" s="4" t="s">
        <v>92</v>
      </c>
      <c r="G659" s="4" t="s">
        <v>49</v>
      </c>
      <c r="H659" s="4" t="s">
        <v>78</v>
      </c>
      <c r="I659" s="4">
        <v>8</v>
      </c>
      <c r="J659" s="6">
        <v>544.85</v>
      </c>
      <c r="K659" s="7">
        <v>0</v>
      </c>
      <c r="L659" s="6">
        <f t="shared" si="20"/>
        <v>4358.8</v>
      </c>
      <c r="M659" s="6">
        <v>310.94</v>
      </c>
      <c r="N659" s="8">
        <f t="shared" si="21"/>
        <v>1871.2800000000002</v>
      </c>
      <c r="O659" s="4" t="s">
        <v>51</v>
      </c>
      <c r="P659" s="4" t="s">
        <v>97</v>
      </c>
      <c r="Q659" s="4">
        <v>4</v>
      </c>
      <c r="R659" s="4" t="str">
        <f>TEXT(Table1[[#This Row],[Order Date]],"mmm")</f>
        <v>Aug</v>
      </c>
      <c r="S659" s="4" t="str">
        <f>TEXT(Table1[[#This Row],[Order Date]],"mm")</f>
        <v>08</v>
      </c>
      <c r="T659" s="4" t="str">
        <f>IF(Table1[[#This Row],[Sales]]&lt;0,"loss","profit")</f>
        <v>profit</v>
      </c>
      <c r="U659" s="4" t="str" cm="1">
        <f t="array" ref="U659">_xlfn.IFS(Table1[[#This Row],[Sales]]&gt;2000,"large",Table1[[#This Row],[Sales]]&gt;=500,"medium",Table1[[#This Row],[Sales]]&lt;500,"small")</f>
        <v>large</v>
      </c>
      <c r="V659" s="22">
        <f>Table1[[#This Row],[Profit]]/Table1[[#This Row],[Sales]]*100</f>
        <v>42.931081949160323</v>
      </c>
    </row>
    <row r="660" spans="1:22" x14ac:dyDescent="0.35">
      <c r="A660" s="4" t="s">
        <v>1056</v>
      </c>
      <c r="B660" s="5">
        <v>45897</v>
      </c>
      <c r="C660" s="4" t="s">
        <v>1057</v>
      </c>
      <c r="D660" s="4" t="s">
        <v>20</v>
      </c>
      <c r="E660" s="4" t="s">
        <v>87</v>
      </c>
      <c r="F660" s="4" t="s">
        <v>88</v>
      </c>
      <c r="G660" s="4" t="s">
        <v>38</v>
      </c>
      <c r="H660" s="4" t="s">
        <v>89</v>
      </c>
      <c r="I660" s="4">
        <v>2</v>
      </c>
      <c r="J660" s="6">
        <v>1164.99</v>
      </c>
      <c r="K660" s="7">
        <v>0.1</v>
      </c>
      <c r="L660" s="6">
        <f t="shared" si="20"/>
        <v>2096.982</v>
      </c>
      <c r="M660" s="6">
        <v>923.86</v>
      </c>
      <c r="N660" s="8">
        <f t="shared" si="21"/>
        <v>249.26199999999994</v>
      </c>
      <c r="O660" s="4" t="s">
        <v>25</v>
      </c>
      <c r="P660" s="4" t="s">
        <v>72</v>
      </c>
      <c r="Q660" s="4">
        <v>4</v>
      </c>
      <c r="R660" s="4" t="str">
        <f>TEXT(Table1[[#This Row],[Order Date]],"mmm")</f>
        <v>Aug</v>
      </c>
      <c r="S660" s="4" t="str">
        <f>TEXT(Table1[[#This Row],[Order Date]],"mm")</f>
        <v>08</v>
      </c>
      <c r="T660" s="4" t="str">
        <f>IF(Table1[[#This Row],[Sales]]&lt;0,"loss","profit")</f>
        <v>profit</v>
      </c>
      <c r="U660" s="4" t="str" cm="1">
        <f t="array" ref="U660">_xlfn.IFS(Table1[[#This Row],[Sales]]&gt;2000,"large",Table1[[#This Row],[Sales]]&gt;=500,"medium",Table1[[#This Row],[Sales]]&lt;500,"small")</f>
        <v>large</v>
      </c>
      <c r="V660" s="22">
        <f>Table1[[#This Row],[Profit]]/Table1[[#This Row],[Sales]]*100</f>
        <v>11.886701936401932</v>
      </c>
    </row>
    <row r="661" spans="1:22" x14ac:dyDescent="0.35">
      <c r="A661" s="4" t="s">
        <v>1058</v>
      </c>
      <c r="B661" s="5">
        <v>45897</v>
      </c>
      <c r="C661" s="4" t="s">
        <v>481</v>
      </c>
      <c r="D661" s="4" t="s">
        <v>20</v>
      </c>
      <c r="E661" s="4" t="s">
        <v>29</v>
      </c>
      <c r="F661" s="4" t="s">
        <v>108</v>
      </c>
      <c r="G661" s="4" t="s">
        <v>23</v>
      </c>
      <c r="H661" s="4" t="s">
        <v>44</v>
      </c>
      <c r="I661" s="4">
        <v>1</v>
      </c>
      <c r="J661" s="6">
        <v>61.97</v>
      </c>
      <c r="K661" s="7">
        <v>0.2</v>
      </c>
      <c r="L661" s="6">
        <f t="shared" si="20"/>
        <v>49.576000000000001</v>
      </c>
      <c r="M661" s="6">
        <v>25</v>
      </c>
      <c r="N661" s="8">
        <f t="shared" si="21"/>
        <v>24.576000000000001</v>
      </c>
      <c r="O661" s="4" t="s">
        <v>84</v>
      </c>
      <c r="P661" s="4" t="s">
        <v>33</v>
      </c>
      <c r="Q661" s="4">
        <v>4</v>
      </c>
      <c r="R661" s="4" t="str">
        <f>TEXT(Table1[[#This Row],[Order Date]],"mmm")</f>
        <v>Aug</v>
      </c>
      <c r="S661" s="4" t="str">
        <f>TEXT(Table1[[#This Row],[Order Date]],"mm")</f>
        <v>08</v>
      </c>
      <c r="T661" s="4" t="str">
        <f>IF(Table1[[#This Row],[Sales]]&lt;0,"loss","profit")</f>
        <v>profit</v>
      </c>
      <c r="U661" s="4" t="str" cm="1">
        <f t="array" ref="U661">_xlfn.IFS(Table1[[#This Row],[Sales]]&gt;2000,"large",Table1[[#This Row],[Sales]]&gt;=500,"medium",Table1[[#This Row],[Sales]]&lt;500,"small")</f>
        <v>small</v>
      </c>
      <c r="V661" s="22">
        <f>Table1[[#This Row],[Profit]]/Table1[[#This Row],[Sales]]*100</f>
        <v>49.57237372922382</v>
      </c>
    </row>
    <row r="662" spans="1:22" x14ac:dyDescent="0.35">
      <c r="A662" s="4" t="s">
        <v>1059</v>
      </c>
      <c r="B662" s="5">
        <v>45897</v>
      </c>
      <c r="C662" s="4" t="s">
        <v>223</v>
      </c>
      <c r="D662" s="4" t="s">
        <v>47</v>
      </c>
      <c r="E662" s="4" t="s">
        <v>21</v>
      </c>
      <c r="F662" s="4" t="s">
        <v>59</v>
      </c>
      <c r="G662" s="4" t="s">
        <v>38</v>
      </c>
      <c r="H662" s="4" t="s">
        <v>55</v>
      </c>
      <c r="I662" s="4">
        <v>1</v>
      </c>
      <c r="J662" s="6">
        <v>139.76</v>
      </c>
      <c r="K662" s="7">
        <v>0.1</v>
      </c>
      <c r="L662" s="6">
        <f t="shared" si="20"/>
        <v>125.78399999999999</v>
      </c>
      <c r="M662" s="6">
        <v>119.23</v>
      </c>
      <c r="N662" s="8">
        <f t="shared" si="21"/>
        <v>6.5539999999999878</v>
      </c>
      <c r="O662" s="4" t="s">
        <v>51</v>
      </c>
      <c r="P662" s="4" t="s">
        <v>75</v>
      </c>
      <c r="Q662" s="4">
        <v>2</v>
      </c>
      <c r="R662" s="4" t="str">
        <f>TEXT(Table1[[#This Row],[Order Date]],"mmm")</f>
        <v>Aug</v>
      </c>
      <c r="S662" s="4" t="str">
        <f>TEXT(Table1[[#This Row],[Order Date]],"mm")</f>
        <v>08</v>
      </c>
      <c r="T662" s="4" t="str">
        <f>IF(Table1[[#This Row],[Sales]]&lt;0,"loss","profit")</f>
        <v>profit</v>
      </c>
      <c r="U662" s="4" t="str" cm="1">
        <f t="array" ref="U662">_xlfn.IFS(Table1[[#This Row],[Sales]]&gt;2000,"large",Table1[[#This Row],[Sales]]&gt;=500,"medium",Table1[[#This Row],[Sales]]&lt;500,"small")</f>
        <v>small</v>
      </c>
      <c r="V662" s="22">
        <f>Table1[[#This Row],[Profit]]/Table1[[#This Row],[Sales]]*100</f>
        <v>5.21051962093747</v>
      </c>
    </row>
    <row r="663" spans="1:22" x14ac:dyDescent="0.35">
      <c r="A663" s="4" t="s">
        <v>1060</v>
      </c>
      <c r="B663" s="5">
        <v>45898</v>
      </c>
      <c r="C663" s="4" t="s">
        <v>431</v>
      </c>
      <c r="D663" s="4" t="s">
        <v>43</v>
      </c>
      <c r="E663" s="4" t="s">
        <v>29</v>
      </c>
      <c r="F663" s="4" t="s">
        <v>108</v>
      </c>
      <c r="G663" s="4" t="s">
        <v>67</v>
      </c>
      <c r="H663" s="4" t="s">
        <v>68</v>
      </c>
      <c r="I663" s="4">
        <v>2</v>
      </c>
      <c r="J663" s="6">
        <v>1027.51</v>
      </c>
      <c r="K663" s="7">
        <v>0.1</v>
      </c>
      <c r="L663" s="6">
        <f t="shared" si="20"/>
        <v>1849.518</v>
      </c>
      <c r="M663" s="6">
        <v>819.81</v>
      </c>
      <c r="N663" s="8">
        <f t="shared" si="21"/>
        <v>209.89800000000014</v>
      </c>
      <c r="O663" s="4" t="s">
        <v>51</v>
      </c>
      <c r="P663" s="4" t="s">
        <v>56</v>
      </c>
      <c r="Q663" s="4">
        <v>4</v>
      </c>
      <c r="R663" s="4" t="str">
        <f>TEXT(Table1[[#This Row],[Order Date]],"mmm")</f>
        <v>Aug</v>
      </c>
      <c r="S663" s="4" t="str">
        <f>TEXT(Table1[[#This Row],[Order Date]],"mm")</f>
        <v>08</v>
      </c>
      <c r="T663" s="4" t="str">
        <f>IF(Table1[[#This Row],[Sales]]&lt;0,"loss","profit")</f>
        <v>profit</v>
      </c>
      <c r="U663" s="4" t="str" cm="1">
        <f t="array" ref="U663">_xlfn.IFS(Table1[[#This Row],[Sales]]&gt;2000,"large",Table1[[#This Row],[Sales]]&gt;=500,"medium",Table1[[#This Row],[Sales]]&lt;500,"small")</f>
        <v>medium</v>
      </c>
      <c r="V663" s="22">
        <f>Table1[[#This Row],[Profit]]/Table1[[#This Row],[Sales]]*100</f>
        <v>11.348794658932768</v>
      </c>
    </row>
    <row r="664" spans="1:22" x14ac:dyDescent="0.35">
      <c r="A664" s="4" t="s">
        <v>1061</v>
      </c>
      <c r="B664" s="5">
        <v>45898</v>
      </c>
      <c r="C664" s="4" t="s">
        <v>1062</v>
      </c>
      <c r="D664" s="4" t="s">
        <v>20</v>
      </c>
      <c r="E664" s="4" t="s">
        <v>36</v>
      </c>
      <c r="F664" s="4" t="s">
        <v>48</v>
      </c>
      <c r="G664" s="4" t="s">
        <v>23</v>
      </c>
      <c r="H664" s="4" t="s">
        <v>135</v>
      </c>
      <c r="I664" s="4">
        <v>10</v>
      </c>
      <c r="J664" s="6">
        <v>27.28</v>
      </c>
      <c r="K664" s="7">
        <v>0.1</v>
      </c>
      <c r="L664" s="6">
        <f t="shared" si="20"/>
        <v>245.52</v>
      </c>
      <c r="M664" s="6">
        <v>12.94</v>
      </c>
      <c r="N664" s="8">
        <f t="shared" si="21"/>
        <v>116.12</v>
      </c>
      <c r="O664" s="4" t="s">
        <v>51</v>
      </c>
      <c r="P664" s="4" t="s">
        <v>75</v>
      </c>
      <c r="Q664" s="4">
        <v>4</v>
      </c>
      <c r="R664" s="4" t="str">
        <f>TEXT(Table1[[#This Row],[Order Date]],"mmm")</f>
        <v>Aug</v>
      </c>
      <c r="S664" s="4" t="str">
        <f>TEXT(Table1[[#This Row],[Order Date]],"mm")</f>
        <v>08</v>
      </c>
      <c r="T664" s="4" t="str">
        <f>IF(Table1[[#This Row],[Sales]]&lt;0,"loss","profit")</f>
        <v>profit</v>
      </c>
      <c r="U664" s="4" t="str" cm="1">
        <f t="array" ref="U664">_xlfn.IFS(Table1[[#This Row],[Sales]]&gt;2000,"large",Table1[[#This Row],[Sales]]&gt;=500,"medium",Table1[[#This Row],[Sales]]&lt;500,"small")</f>
        <v>small</v>
      </c>
      <c r="V664" s="22">
        <f>Table1[[#This Row],[Profit]]/Table1[[#This Row],[Sales]]*100</f>
        <v>47.295536005213421</v>
      </c>
    </row>
    <row r="665" spans="1:22" x14ac:dyDescent="0.35">
      <c r="A665" s="4" t="s">
        <v>1063</v>
      </c>
      <c r="B665" s="5">
        <v>45898</v>
      </c>
      <c r="C665" s="4" t="s">
        <v>869</v>
      </c>
      <c r="D665" s="4" t="s">
        <v>43</v>
      </c>
      <c r="E665" s="4" t="s">
        <v>87</v>
      </c>
      <c r="F665" s="4" t="s">
        <v>124</v>
      </c>
      <c r="G665" s="4" t="s">
        <v>49</v>
      </c>
      <c r="H665" s="4" t="s">
        <v>128</v>
      </c>
      <c r="I665" s="4">
        <v>2</v>
      </c>
      <c r="J665" s="6">
        <v>46.85</v>
      </c>
      <c r="K665" s="7">
        <v>0</v>
      </c>
      <c r="L665" s="6">
        <f t="shared" si="20"/>
        <v>93.7</v>
      </c>
      <c r="M665" s="6">
        <v>31.7</v>
      </c>
      <c r="N665" s="8">
        <f t="shared" si="21"/>
        <v>30.300000000000004</v>
      </c>
      <c r="O665" s="4" t="s">
        <v>84</v>
      </c>
      <c r="P665" s="4" t="s">
        <v>118</v>
      </c>
      <c r="Q665" s="4">
        <v>5</v>
      </c>
      <c r="R665" s="4" t="str">
        <f>TEXT(Table1[[#This Row],[Order Date]],"mmm")</f>
        <v>Aug</v>
      </c>
      <c r="S665" s="4" t="str">
        <f>TEXT(Table1[[#This Row],[Order Date]],"mm")</f>
        <v>08</v>
      </c>
      <c r="T665" s="4" t="str">
        <f>IF(Table1[[#This Row],[Sales]]&lt;0,"loss","profit")</f>
        <v>profit</v>
      </c>
      <c r="U665" s="4" t="str" cm="1">
        <f t="array" ref="U665">_xlfn.IFS(Table1[[#This Row],[Sales]]&gt;2000,"large",Table1[[#This Row],[Sales]]&gt;=500,"medium",Table1[[#This Row],[Sales]]&lt;500,"small")</f>
        <v>small</v>
      </c>
      <c r="V665" s="22">
        <f>Table1[[#This Row],[Profit]]/Table1[[#This Row],[Sales]]*100</f>
        <v>32.337246531483459</v>
      </c>
    </row>
    <row r="666" spans="1:22" x14ac:dyDescent="0.35">
      <c r="A666" s="4" t="s">
        <v>1064</v>
      </c>
      <c r="B666" s="5">
        <v>45898</v>
      </c>
      <c r="C666" s="4" t="s">
        <v>1065</v>
      </c>
      <c r="D666" s="4" t="s">
        <v>47</v>
      </c>
      <c r="E666" s="4" t="s">
        <v>21</v>
      </c>
      <c r="F666" s="4" t="s">
        <v>81</v>
      </c>
      <c r="G666" s="4" t="s">
        <v>67</v>
      </c>
      <c r="H666" s="4" t="s">
        <v>93</v>
      </c>
      <c r="I666" s="4">
        <v>1</v>
      </c>
      <c r="J666" s="6">
        <v>519.23</v>
      </c>
      <c r="K666" s="7">
        <v>0</v>
      </c>
      <c r="L666" s="6">
        <f t="shared" si="20"/>
        <v>519.23</v>
      </c>
      <c r="M666" s="6">
        <v>327.02999999999997</v>
      </c>
      <c r="N666" s="8">
        <f t="shared" si="21"/>
        <v>192.20000000000005</v>
      </c>
      <c r="O666" s="4" t="s">
        <v>51</v>
      </c>
      <c r="P666" s="4" t="s">
        <v>97</v>
      </c>
      <c r="Q666" s="4">
        <v>3</v>
      </c>
      <c r="R666" s="4" t="str">
        <f>TEXT(Table1[[#This Row],[Order Date]],"mmm")</f>
        <v>Aug</v>
      </c>
      <c r="S666" s="4" t="str">
        <f>TEXT(Table1[[#This Row],[Order Date]],"mm")</f>
        <v>08</v>
      </c>
      <c r="T666" s="4" t="str">
        <f>IF(Table1[[#This Row],[Sales]]&lt;0,"loss","profit")</f>
        <v>profit</v>
      </c>
      <c r="U666" s="4" t="str" cm="1">
        <f t="array" ref="U666">_xlfn.IFS(Table1[[#This Row],[Sales]]&gt;2000,"large",Table1[[#This Row],[Sales]]&gt;=500,"medium",Table1[[#This Row],[Sales]]&lt;500,"small")</f>
        <v>medium</v>
      </c>
      <c r="V666" s="22">
        <f>Table1[[#This Row],[Profit]]/Table1[[#This Row],[Sales]]*100</f>
        <v>37.016351135335022</v>
      </c>
    </row>
    <row r="667" spans="1:22" x14ac:dyDescent="0.35">
      <c r="A667" s="4" t="s">
        <v>1066</v>
      </c>
      <c r="B667" s="5">
        <v>45900</v>
      </c>
      <c r="C667" s="4" t="s">
        <v>123</v>
      </c>
      <c r="D667" s="4" t="s">
        <v>43</v>
      </c>
      <c r="E667" s="4" t="s">
        <v>29</v>
      </c>
      <c r="F667" s="4" t="s">
        <v>54</v>
      </c>
      <c r="G667" s="4" t="s">
        <v>67</v>
      </c>
      <c r="H667" s="4" t="s">
        <v>121</v>
      </c>
      <c r="I667" s="4">
        <v>2</v>
      </c>
      <c r="J667" s="6">
        <v>426.1</v>
      </c>
      <c r="K667" s="7">
        <v>0.1</v>
      </c>
      <c r="L667" s="6">
        <f t="shared" si="20"/>
        <v>766.98</v>
      </c>
      <c r="M667" s="6">
        <v>264.82</v>
      </c>
      <c r="N667" s="8">
        <f t="shared" si="21"/>
        <v>237.34000000000003</v>
      </c>
      <c r="O667" s="4" t="s">
        <v>25</v>
      </c>
      <c r="P667" s="4" t="s">
        <v>56</v>
      </c>
      <c r="Q667" s="4">
        <v>1</v>
      </c>
      <c r="R667" s="4" t="str">
        <f>TEXT(Table1[[#This Row],[Order Date]],"mmm")</f>
        <v>Aug</v>
      </c>
      <c r="S667" s="4" t="str">
        <f>TEXT(Table1[[#This Row],[Order Date]],"mm")</f>
        <v>08</v>
      </c>
      <c r="T667" s="4" t="str">
        <f>IF(Table1[[#This Row],[Sales]]&lt;0,"loss","profit")</f>
        <v>profit</v>
      </c>
      <c r="U667" s="4" t="str" cm="1">
        <f t="array" ref="U667">_xlfn.IFS(Table1[[#This Row],[Sales]]&gt;2000,"large",Table1[[#This Row],[Sales]]&gt;=500,"medium",Table1[[#This Row],[Sales]]&lt;500,"small")</f>
        <v>medium</v>
      </c>
      <c r="V667" s="22">
        <f>Table1[[#This Row],[Profit]]/Table1[[#This Row],[Sales]]*100</f>
        <v>30.944744321885842</v>
      </c>
    </row>
    <row r="668" spans="1:22" x14ac:dyDescent="0.35">
      <c r="A668" s="4" t="s">
        <v>1067</v>
      </c>
      <c r="B668" s="5">
        <v>45900</v>
      </c>
      <c r="C668" s="4" t="s">
        <v>620</v>
      </c>
      <c r="D668" s="4" t="s">
        <v>43</v>
      </c>
      <c r="E668" s="4" t="s">
        <v>29</v>
      </c>
      <c r="F668" s="4" t="s">
        <v>30</v>
      </c>
      <c r="G668" s="4" t="s">
        <v>49</v>
      </c>
      <c r="H668" s="4" t="s">
        <v>128</v>
      </c>
      <c r="I668" s="4">
        <v>1</v>
      </c>
      <c r="J668" s="6">
        <v>75.260000000000005</v>
      </c>
      <c r="K668" s="7">
        <v>0.05</v>
      </c>
      <c r="L668" s="6">
        <f t="shared" si="20"/>
        <v>71.497</v>
      </c>
      <c r="M668" s="6">
        <v>56.31</v>
      </c>
      <c r="N668" s="8">
        <f t="shared" si="21"/>
        <v>15.186999999999998</v>
      </c>
      <c r="O668" s="4" t="s">
        <v>60</v>
      </c>
      <c r="P668" s="4" t="s">
        <v>26</v>
      </c>
      <c r="Q668" s="4">
        <v>1</v>
      </c>
      <c r="R668" s="4" t="str">
        <f>TEXT(Table1[[#This Row],[Order Date]],"mmm")</f>
        <v>Aug</v>
      </c>
      <c r="S668" s="4" t="str">
        <f>TEXT(Table1[[#This Row],[Order Date]],"mm")</f>
        <v>08</v>
      </c>
      <c r="T668" s="4" t="str">
        <f>IF(Table1[[#This Row],[Sales]]&lt;0,"loss","profit")</f>
        <v>profit</v>
      </c>
      <c r="U668" s="4" t="str" cm="1">
        <f t="array" ref="U668">_xlfn.IFS(Table1[[#This Row],[Sales]]&gt;2000,"large",Table1[[#This Row],[Sales]]&gt;=500,"medium",Table1[[#This Row],[Sales]]&lt;500,"small")</f>
        <v>small</v>
      </c>
      <c r="V668" s="22">
        <f>Table1[[#This Row],[Profit]]/Table1[[#This Row],[Sales]]*100</f>
        <v>21.241450690238747</v>
      </c>
    </row>
    <row r="669" spans="1:22" x14ac:dyDescent="0.35">
      <c r="A669" s="4" t="s">
        <v>1068</v>
      </c>
      <c r="B669" s="5">
        <v>45900</v>
      </c>
      <c r="C669" s="4" t="s">
        <v>388</v>
      </c>
      <c r="D669" s="4" t="s">
        <v>47</v>
      </c>
      <c r="E669" s="4" t="s">
        <v>36</v>
      </c>
      <c r="F669" s="4" t="s">
        <v>201</v>
      </c>
      <c r="G669" s="4" t="s">
        <v>31</v>
      </c>
      <c r="H669" s="4" t="s">
        <v>64</v>
      </c>
      <c r="I669" s="4">
        <v>2</v>
      </c>
      <c r="J669" s="6">
        <v>87.48</v>
      </c>
      <c r="K669" s="7">
        <v>0</v>
      </c>
      <c r="L669" s="6">
        <f t="shared" si="20"/>
        <v>174.96</v>
      </c>
      <c r="M669" s="6">
        <v>58.69</v>
      </c>
      <c r="N669" s="8">
        <f t="shared" si="21"/>
        <v>57.580000000000013</v>
      </c>
      <c r="O669" s="4" t="s">
        <v>40</v>
      </c>
      <c r="P669" s="4" t="s">
        <v>26</v>
      </c>
      <c r="Q669" s="4">
        <v>3</v>
      </c>
      <c r="R669" s="4" t="str">
        <f>TEXT(Table1[[#This Row],[Order Date]],"mmm")</f>
        <v>Aug</v>
      </c>
      <c r="S669" s="4" t="str">
        <f>TEXT(Table1[[#This Row],[Order Date]],"mm")</f>
        <v>08</v>
      </c>
      <c r="T669" s="4" t="str">
        <f>IF(Table1[[#This Row],[Sales]]&lt;0,"loss","profit")</f>
        <v>profit</v>
      </c>
      <c r="U669" s="4" t="str" cm="1">
        <f t="array" ref="U669">_xlfn.IFS(Table1[[#This Row],[Sales]]&gt;2000,"large",Table1[[#This Row],[Sales]]&gt;=500,"medium",Table1[[#This Row],[Sales]]&lt;500,"small")</f>
        <v>small</v>
      </c>
      <c r="V669" s="22">
        <f>Table1[[#This Row],[Profit]]/Table1[[#This Row],[Sales]]*100</f>
        <v>32.910379515317793</v>
      </c>
    </row>
    <row r="670" spans="1:22" x14ac:dyDescent="0.35">
      <c r="A670" s="4" t="s">
        <v>1069</v>
      </c>
      <c r="B670" s="5">
        <v>45900</v>
      </c>
      <c r="C670" s="4" t="s">
        <v>325</v>
      </c>
      <c r="D670" s="4" t="s">
        <v>43</v>
      </c>
      <c r="E670" s="4" t="s">
        <v>87</v>
      </c>
      <c r="F670" s="4" t="s">
        <v>88</v>
      </c>
      <c r="G670" s="4" t="s">
        <v>67</v>
      </c>
      <c r="H670" s="4" t="s">
        <v>68</v>
      </c>
      <c r="I670" s="4">
        <v>1</v>
      </c>
      <c r="J670" s="6">
        <v>305.23</v>
      </c>
      <c r="K670" s="7">
        <v>0</v>
      </c>
      <c r="L670" s="6">
        <f t="shared" si="20"/>
        <v>305.23</v>
      </c>
      <c r="M670" s="6">
        <v>190.25</v>
      </c>
      <c r="N670" s="8">
        <f t="shared" si="21"/>
        <v>114.98000000000002</v>
      </c>
      <c r="O670" s="4" t="s">
        <v>25</v>
      </c>
      <c r="P670" s="4" t="s">
        <v>75</v>
      </c>
      <c r="Q670" s="4">
        <v>3</v>
      </c>
      <c r="R670" s="4" t="str">
        <f>TEXT(Table1[[#This Row],[Order Date]],"mmm")</f>
        <v>Aug</v>
      </c>
      <c r="S670" s="4" t="str">
        <f>TEXT(Table1[[#This Row],[Order Date]],"mm")</f>
        <v>08</v>
      </c>
      <c r="T670" s="4" t="str">
        <f>IF(Table1[[#This Row],[Sales]]&lt;0,"loss","profit")</f>
        <v>profit</v>
      </c>
      <c r="U670" s="4" t="str" cm="1">
        <f t="array" ref="U670">_xlfn.IFS(Table1[[#This Row],[Sales]]&gt;2000,"large",Table1[[#This Row],[Sales]]&gt;=500,"medium",Table1[[#This Row],[Sales]]&lt;500,"small")</f>
        <v>small</v>
      </c>
      <c r="V670" s="22">
        <f>Table1[[#This Row],[Profit]]/Table1[[#This Row],[Sales]]*100</f>
        <v>37.669953805327133</v>
      </c>
    </row>
    <row r="671" spans="1:22" x14ac:dyDescent="0.35">
      <c r="A671" s="4" t="s">
        <v>1070</v>
      </c>
      <c r="B671" s="5">
        <v>45900</v>
      </c>
      <c r="C671" s="4" t="s">
        <v>442</v>
      </c>
      <c r="D671" s="4" t="s">
        <v>20</v>
      </c>
      <c r="E671" s="4" t="s">
        <v>21</v>
      </c>
      <c r="F671" s="4" t="s">
        <v>81</v>
      </c>
      <c r="G671" s="4" t="s">
        <v>38</v>
      </c>
      <c r="H671" s="4" t="s">
        <v>96</v>
      </c>
      <c r="I671" s="4">
        <v>2</v>
      </c>
      <c r="J671" s="6">
        <v>677.83</v>
      </c>
      <c r="K671" s="7">
        <v>0.05</v>
      </c>
      <c r="L671" s="6">
        <f t="shared" si="20"/>
        <v>1287.877</v>
      </c>
      <c r="M671" s="6">
        <v>510.11</v>
      </c>
      <c r="N671" s="8">
        <f t="shared" si="21"/>
        <v>267.65699999999993</v>
      </c>
      <c r="O671" s="4" t="s">
        <v>84</v>
      </c>
      <c r="P671" s="4" t="s">
        <v>118</v>
      </c>
      <c r="Q671" s="4">
        <v>5</v>
      </c>
      <c r="R671" s="4" t="str">
        <f>TEXT(Table1[[#This Row],[Order Date]],"mmm")</f>
        <v>Aug</v>
      </c>
      <c r="S671" s="4" t="str">
        <f>TEXT(Table1[[#This Row],[Order Date]],"mm")</f>
        <v>08</v>
      </c>
      <c r="T671" s="4" t="str">
        <f>IF(Table1[[#This Row],[Sales]]&lt;0,"loss","profit")</f>
        <v>profit</v>
      </c>
      <c r="U671" s="4" t="str" cm="1">
        <f t="array" ref="U671">_xlfn.IFS(Table1[[#This Row],[Sales]]&gt;2000,"large",Table1[[#This Row],[Sales]]&gt;=500,"medium",Table1[[#This Row],[Sales]]&lt;500,"small")</f>
        <v>medium</v>
      </c>
      <c r="V671" s="22">
        <f>Table1[[#This Row],[Profit]]/Table1[[#This Row],[Sales]]*100</f>
        <v>20.782807674956533</v>
      </c>
    </row>
    <row r="672" spans="1:22" x14ac:dyDescent="0.35">
      <c r="A672" s="4" t="s">
        <v>1071</v>
      </c>
      <c r="B672" s="5">
        <v>45901</v>
      </c>
      <c r="C672" s="4" t="s">
        <v>120</v>
      </c>
      <c r="D672" s="4" t="s">
        <v>47</v>
      </c>
      <c r="E672" s="4" t="s">
        <v>29</v>
      </c>
      <c r="F672" s="4" t="s">
        <v>54</v>
      </c>
      <c r="G672" s="4" t="s">
        <v>31</v>
      </c>
      <c r="H672" s="4" t="s">
        <v>32</v>
      </c>
      <c r="I672" s="4">
        <v>1</v>
      </c>
      <c r="J672" s="6">
        <v>235.61</v>
      </c>
      <c r="K672" s="7">
        <v>0</v>
      </c>
      <c r="L672" s="6">
        <f t="shared" si="20"/>
        <v>235.61</v>
      </c>
      <c r="M672" s="6">
        <v>133.19</v>
      </c>
      <c r="N672" s="8">
        <f t="shared" si="21"/>
        <v>102.42000000000002</v>
      </c>
      <c r="O672" s="4" t="s">
        <v>84</v>
      </c>
      <c r="P672" s="4" t="s">
        <v>118</v>
      </c>
      <c r="Q672" s="4">
        <v>4</v>
      </c>
      <c r="R672" s="4" t="str">
        <f>TEXT(Table1[[#This Row],[Order Date]],"mmm")</f>
        <v>Sep</v>
      </c>
      <c r="S672" s="4" t="str">
        <f>TEXT(Table1[[#This Row],[Order Date]],"mm")</f>
        <v>09</v>
      </c>
      <c r="T672" s="4" t="str">
        <f>IF(Table1[[#This Row],[Sales]]&lt;0,"loss","profit")</f>
        <v>profit</v>
      </c>
      <c r="U672" s="4" t="str" cm="1">
        <f t="array" ref="U672">_xlfn.IFS(Table1[[#This Row],[Sales]]&gt;2000,"large",Table1[[#This Row],[Sales]]&gt;=500,"medium",Table1[[#This Row],[Sales]]&lt;500,"small")</f>
        <v>small</v>
      </c>
      <c r="V672" s="22">
        <f>Table1[[#This Row],[Profit]]/Table1[[#This Row],[Sales]]*100</f>
        <v>43.470141335257424</v>
      </c>
    </row>
    <row r="673" spans="1:22" x14ac:dyDescent="0.35">
      <c r="A673" s="4" t="s">
        <v>1072</v>
      </c>
      <c r="B673" s="5">
        <v>45901</v>
      </c>
      <c r="C673" s="4" t="s">
        <v>258</v>
      </c>
      <c r="D673" s="4" t="s">
        <v>43</v>
      </c>
      <c r="E673" s="4" t="s">
        <v>29</v>
      </c>
      <c r="F673" s="4" t="s">
        <v>108</v>
      </c>
      <c r="G673" s="4" t="s">
        <v>31</v>
      </c>
      <c r="H673" s="4" t="s">
        <v>125</v>
      </c>
      <c r="I673" s="4">
        <v>4</v>
      </c>
      <c r="J673" s="6">
        <v>38.85</v>
      </c>
      <c r="K673" s="7">
        <v>0.05</v>
      </c>
      <c r="L673" s="6">
        <f t="shared" si="20"/>
        <v>147.63</v>
      </c>
      <c r="M673" s="6">
        <v>22.69</v>
      </c>
      <c r="N673" s="8">
        <f t="shared" si="21"/>
        <v>56.86999999999999</v>
      </c>
      <c r="O673" s="4" t="s">
        <v>40</v>
      </c>
      <c r="P673" s="4" t="s">
        <v>56</v>
      </c>
      <c r="Q673" s="4">
        <v>5</v>
      </c>
      <c r="R673" s="4" t="str">
        <f>TEXT(Table1[[#This Row],[Order Date]],"mmm")</f>
        <v>Sep</v>
      </c>
      <c r="S673" s="4" t="str">
        <f>TEXT(Table1[[#This Row],[Order Date]],"mm")</f>
        <v>09</v>
      </c>
      <c r="T673" s="4" t="str">
        <f>IF(Table1[[#This Row],[Sales]]&lt;0,"loss","profit")</f>
        <v>profit</v>
      </c>
      <c r="U673" s="4" t="str" cm="1">
        <f t="array" ref="U673">_xlfn.IFS(Table1[[#This Row],[Sales]]&gt;2000,"large",Table1[[#This Row],[Sales]]&gt;=500,"medium",Table1[[#This Row],[Sales]]&lt;500,"small")</f>
        <v>small</v>
      </c>
      <c r="V673" s="22">
        <f>Table1[[#This Row],[Profit]]/Table1[[#This Row],[Sales]]*100</f>
        <v>38.521980627243778</v>
      </c>
    </row>
    <row r="674" spans="1:22" x14ac:dyDescent="0.35">
      <c r="A674" s="4" t="s">
        <v>1073</v>
      </c>
      <c r="B674" s="5">
        <v>45901</v>
      </c>
      <c r="C674" s="4" t="s">
        <v>829</v>
      </c>
      <c r="D674" s="4" t="s">
        <v>20</v>
      </c>
      <c r="E674" s="4" t="s">
        <v>36</v>
      </c>
      <c r="F674" s="4" t="s">
        <v>48</v>
      </c>
      <c r="G674" s="4" t="s">
        <v>38</v>
      </c>
      <c r="H674" s="4" t="s">
        <v>109</v>
      </c>
      <c r="I674" s="4">
        <v>5</v>
      </c>
      <c r="J674" s="6">
        <v>883.4</v>
      </c>
      <c r="K674" s="7">
        <v>0.2</v>
      </c>
      <c r="L674" s="6">
        <f t="shared" si="20"/>
        <v>3533.6000000000004</v>
      </c>
      <c r="M674" s="6">
        <v>770.3</v>
      </c>
      <c r="N674" s="8">
        <f t="shared" si="21"/>
        <v>-317.89999999999964</v>
      </c>
      <c r="O674" s="4" t="s">
        <v>40</v>
      </c>
      <c r="P674" s="4" t="s">
        <v>72</v>
      </c>
      <c r="Q674" s="4">
        <v>4</v>
      </c>
      <c r="R674" s="4" t="str">
        <f>TEXT(Table1[[#This Row],[Order Date]],"mmm")</f>
        <v>Sep</v>
      </c>
      <c r="S674" s="4" t="str">
        <f>TEXT(Table1[[#This Row],[Order Date]],"mm")</f>
        <v>09</v>
      </c>
      <c r="T674" s="4" t="str">
        <f>IF(Table1[[#This Row],[Sales]]&lt;0,"loss","profit")</f>
        <v>profit</v>
      </c>
      <c r="U674" s="4" t="str" cm="1">
        <f t="array" ref="U674">_xlfn.IFS(Table1[[#This Row],[Sales]]&gt;2000,"large",Table1[[#This Row],[Sales]]&gt;=500,"medium",Table1[[#This Row],[Sales]]&lt;500,"small")</f>
        <v>large</v>
      </c>
      <c r="V674" s="22">
        <f>Table1[[#This Row],[Profit]]/Table1[[#This Row],[Sales]]*100</f>
        <v>-8.9964908308806777</v>
      </c>
    </row>
    <row r="675" spans="1:22" x14ac:dyDescent="0.35">
      <c r="A675" s="4" t="s">
        <v>1074</v>
      </c>
      <c r="B675" s="5">
        <v>45901</v>
      </c>
      <c r="C675" s="4" t="s">
        <v>385</v>
      </c>
      <c r="D675" s="4" t="s">
        <v>47</v>
      </c>
      <c r="E675" s="4" t="s">
        <v>87</v>
      </c>
      <c r="F675" s="4" t="s">
        <v>88</v>
      </c>
      <c r="G675" s="4" t="s">
        <v>31</v>
      </c>
      <c r="H675" s="4" t="s">
        <v>147</v>
      </c>
      <c r="I675" s="4">
        <v>10</v>
      </c>
      <c r="J675" s="6">
        <v>91.61</v>
      </c>
      <c r="K675" s="7">
        <v>0.05</v>
      </c>
      <c r="L675" s="6">
        <f t="shared" si="20"/>
        <v>870.29499999999996</v>
      </c>
      <c r="M675" s="6">
        <v>59.5</v>
      </c>
      <c r="N675" s="8">
        <f t="shared" si="21"/>
        <v>275.29499999999996</v>
      </c>
      <c r="O675" s="4" t="s">
        <v>84</v>
      </c>
      <c r="P675" s="4" t="s">
        <v>56</v>
      </c>
      <c r="Q675" s="4">
        <v>3</v>
      </c>
      <c r="R675" s="4" t="str">
        <f>TEXT(Table1[[#This Row],[Order Date]],"mmm")</f>
        <v>Sep</v>
      </c>
      <c r="S675" s="4" t="str">
        <f>TEXT(Table1[[#This Row],[Order Date]],"mm")</f>
        <v>09</v>
      </c>
      <c r="T675" s="4" t="str">
        <f>IF(Table1[[#This Row],[Sales]]&lt;0,"loss","profit")</f>
        <v>profit</v>
      </c>
      <c r="U675" s="4" t="str" cm="1">
        <f t="array" ref="U675">_xlfn.IFS(Table1[[#This Row],[Sales]]&gt;2000,"large",Table1[[#This Row],[Sales]]&gt;=500,"medium",Table1[[#This Row],[Sales]]&lt;500,"small")</f>
        <v>medium</v>
      </c>
      <c r="V675" s="22">
        <f>Table1[[#This Row],[Profit]]/Table1[[#This Row],[Sales]]*100</f>
        <v>31.632377527160326</v>
      </c>
    </row>
    <row r="676" spans="1:22" x14ac:dyDescent="0.35">
      <c r="A676" s="4" t="s">
        <v>1075</v>
      </c>
      <c r="B676" s="5">
        <v>45902</v>
      </c>
      <c r="C676" s="4" t="s">
        <v>243</v>
      </c>
      <c r="D676" s="4" t="s">
        <v>43</v>
      </c>
      <c r="E676" s="4" t="s">
        <v>87</v>
      </c>
      <c r="F676" s="4" t="s">
        <v>88</v>
      </c>
      <c r="G676" s="4" t="s">
        <v>38</v>
      </c>
      <c r="H676" s="4" t="s">
        <v>109</v>
      </c>
      <c r="I676" s="4">
        <v>5</v>
      </c>
      <c r="J676" s="6">
        <v>1043.28</v>
      </c>
      <c r="K676" s="7">
        <v>0</v>
      </c>
      <c r="L676" s="6">
        <f t="shared" si="20"/>
        <v>5216.3999999999996</v>
      </c>
      <c r="M676" s="6">
        <v>872.24</v>
      </c>
      <c r="N676" s="8">
        <f t="shared" si="21"/>
        <v>855.19999999999982</v>
      </c>
      <c r="O676" s="4" t="s">
        <v>84</v>
      </c>
      <c r="P676" s="4" t="s">
        <v>72</v>
      </c>
      <c r="Q676" s="4">
        <v>4</v>
      </c>
      <c r="R676" s="4" t="str">
        <f>TEXT(Table1[[#This Row],[Order Date]],"mmm")</f>
        <v>Sep</v>
      </c>
      <c r="S676" s="4" t="str">
        <f>TEXT(Table1[[#This Row],[Order Date]],"mm")</f>
        <v>09</v>
      </c>
      <c r="T676" s="4" t="str">
        <f>IF(Table1[[#This Row],[Sales]]&lt;0,"loss","profit")</f>
        <v>profit</v>
      </c>
      <c r="U676" s="4" t="str" cm="1">
        <f t="array" ref="U676">_xlfn.IFS(Table1[[#This Row],[Sales]]&gt;2000,"large",Table1[[#This Row],[Sales]]&gt;=500,"medium",Table1[[#This Row],[Sales]]&lt;500,"small")</f>
        <v>large</v>
      </c>
      <c r="V676" s="22">
        <f>Table1[[#This Row],[Profit]]/Table1[[#This Row],[Sales]]*100</f>
        <v>16.394448278506246</v>
      </c>
    </row>
    <row r="677" spans="1:22" x14ac:dyDescent="0.35">
      <c r="A677" s="4" t="s">
        <v>1076</v>
      </c>
      <c r="B677" s="5">
        <v>45902</v>
      </c>
      <c r="C677" s="4" t="s">
        <v>149</v>
      </c>
      <c r="D677" s="4" t="s">
        <v>47</v>
      </c>
      <c r="E677" s="4" t="s">
        <v>36</v>
      </c>
      <c r="F677" s="4" t="s">
        <v>201</v>
      </c>
      <c r="G677" s="4" t="s">
        <v>23</v>
      </c>
      <c r="H677" s="4" t="s">
        <v>44</v>
      </c>
      <c r="I677" s="4">
        <v>1</v>
      </c>
      <c r="J677" s="6">
        <v>117.26</v>
      </c>
      <c r="K677" s="7">
        <v>0</v>
      </c>
      <c r="L677" s="6">
        <f t="shared" si="20"/>
        <v>117.26</v>
      </c>
      <c r="M677" s="6">
        <v>67.3</v>
      </c>
      <c r="N677" s="8">
        <f t="shared" si="21"/>
        <v>49.960000000000008</v>
      </c>
      <c r="O677" s="4" t="s">
        <v>25</v>
      </c>
      <c r="P677" s="4" t="s">
        <v>75</v>
      </c>
      <c r="Q677" s="4">
        <v>3</v>
      </c>
      <c r="R677" s="4" t="str">
        <f>TEXT(Table1[[#This Row],[Order Date]],"mmm")</f>
        <v>Sep</v>
      </c>
      <c r="S677" s="4" t="str">
        <f>TEXT(Table1[[#This Row],[Order Date]],"mm")</f>
        <v>09</v>
      </c>
      <c r="T677" s="4" t="str">
        <f>IF(Table1[[#This Row],[Sales]]&lt;0,"loss","profit")</f>
        <v>profit</v>
      </c>
      <c r="U677" s="4" t="str" cm="1">
        <f t="array" ref="U677">_xlfn.IFS(Table1[[#This Row],[Sales]]&gt;2000,"large",Table1[[#This Row],[Sales]]&gt;=500,"medium",Table1[[#This Row],[Sales]]&lt;500,"small")</f>
        <v>small</v>
      </c>
      <c r="V677" s="22">
        <f>Table1[[#This Row],[Profit]]/Table1[[#This Row],[Sales]]*100</f>
        <v>42.606174313491394</v>
      </c>
    </row>
    <row r="678" spans="1:22" x14ac:dyDescent="0.35">
      <c r="A678" s="4" t="s">
        <v>1077</v>
      </c>
      <c r="B678" s="5">
        <v>45902</v>
      </c>
      <c r="C678" s="4" t="s">
        <v>1078</v>
      </c>
      <c r="D678" s="4" t="s">
        <v>43</v>
      </c>
      <c r="E678" s="4" t="s">
        <v>21</v>
      </c>
      <c r="F678" s="4" t="s">
        <v>81</v>
      </c>
      <c r="G678" s="4" t="s">
        <v>38</v>
      </c>
      <c r="H678" s="4" t="s">
        <v>55</v>
      </c>
      <c r="I678" s="4">
        <v>1</v>
      </c>
      <c r="J678" s="6">
        <v>87.23</v>
      </c>
      <c r="K678" s="7">
        <v>0.2</v>
      </c>
      <c r="L678" s="6">
        <f t="shared" si="20"/>
        <v>69.784000000000006</v>
      </c>
      <c r="M678" s="6">
        <v>72.33</v>
      </c>
      <c r="N678" s="8">
        <f t="shared" si="21"/>
        <v>-2.5459999999999923</v>
      </c>
      <c r="O678" s="4" t="s">
        <v>25</v>
      </c>
      <c r="P678" s="4" t="s">
        <v>56</v>
      </c>
      <c r="Q678" s="4">
        <v>2</v>
      </c>
      <c r="R678" s="4" t="str">
        <f>TEXT(Table1[[#This Row],[Order Date]],"mmm")</f>
        <v>Sep</v>
      </c>
      <c r="S678" s="4" t="str">
        <f>TEXT(Table1[[#This Row],[Order Date]],"mm")</f>
        <v>09</v>
      </c>
      <c r="T678" s="4" t="str">
        <f>IF(Table1[[#This Row],[Sales]]&lt;0,"loss","profit")</f>
        <v>profit</v>
      </c>
      <c r="U678" s="4" t="str" cm="1">
        <f t="array" ref="U678">_xlfn.IFS(Table1[[#This Row],[Sales]]&gt;2000,"large",Table1[[#This Row],[Sales]]&gt;=500,"medium",Table1[[#This Row],[Sales]]&lt;500,"small")</f>
        <v>small</v>
      </c>
      <c r="V678" s="22">
        <f>Table1[[#This Row],[Profit]]/Table1[[#This Row],[Sales]]*100</f>
        <v>-3.6484007795483087</v>
      </c>
    </row>
    <row r="679" spans="1:22" x14ac:dyDescent="0.35">
      <c r="A679" s="4" t="s">
        <v>1079</v>
      </c>
      <c r="B679" s="5">
        <v>45903</v>
      </c>
      <c r="C679" s="4" t="s">
        <v>917</v>
      </c>
      <c r="D679" s="4" t="s">
        <v>20</v>
      </c>
      <c r="E679" s="4" t="s">
        <v>36</v>
      </c>
      <c r="F679" s="4" t="s">
        <v>37</v>
      </c>
      <c r="G679" s="4" t="s">
        <v>38</v>
      </c>
      <c r="H679" s="4" t="s">
        <v>39</v>
      </c>
      <c r="I679" s="4">
        <v>5</v>
      </c>
      <c r="J679" s="6">
        <v>365.07</v>
      </c>
      <c r="K679" s="7">
        <v>0.1</v>
      </c>
      <c r="L679" s="6">
        <f t="shared" si="20"/>
        <v>1642.8150000000001</v>
      </c>
      <c r="M679" s="6">
        <v>321.43</v>
      </c>
      <c r="N679" s="8">
        <f t="shared" si="21"/>
        <v>35.664999999999964</v>
      </c>
      <c r="O679" s="4" t="s">
        <v>51</v>
      </c>
      <c r="P679" s="4" t="s">
        <v>118</v>
      </c>
      <c r="Q679" s="4">
        <v>3</v>
      </c>
      <c r="R679" s="4" t="str">
        <f>TEXT(Table1[[#This Row],[Order Date]],"mmm")</f>
        <v>Sep</v>
      </c>
      <c r="S679" s="4" t="str">
        <f>TEXT(Table1[[#This Row],[Order Date]],"mm")</f>
        <v>09</v>
      </c>
      <c r="T679" s="4" t="str">
        <f>IF(Table1[[#This Row],[Sales]]&lt;0,"loss","profit")</f>
        <v>profit</v>
      </c>
      <c r="U679" s="4" t="str" cm="1">
        <f t="array" ref="U679">_xlfn.IFS(Table1[[#This Row],[Sales]]&gt;2000,"large",Table1[[#This Row],[Sales]]&gt;=500,"medium",Table1[[#This Row],[Sales]]&lt;500,"small")</f>
        <v>medium</v>
      </c>
      <c r="V679" s="22">
        <f>Table1[[#This Row],[Profit]]/Table1[[#This Row],[Sales]]*100</f>
        <v>2.170968733545771</v>
      </c>
    </row>
    <row r="680" spans="1:22" x14ac:dyDescent="0.35">
      <c r="A680" s="4" t="s">
        <v>1080</v>
      </c>
      <c r="B680" s="5">
        <v>45904</v>
      </c>
      <c r="C680" s="4" t="s">
        <v>200</v>
      </c>
      <c r="D680" s="4" t="s">
        <v>47</v>
      </c>
      <c r="E680" s="4" t="s">
        <v>21</v>
      </c>
      <c r="F680" s="4" t="s">
        <v>22</v>
      </c>
      <c r="G680" s="4" t="s">
        <v>67</v>
      </c>
      <c r="H680" s="4" t="s">
        <v>68</v>
      </c>
      <c r="I680" s="4">
        <v>3</v>
      </c>
      <c r="J680" s="6">
        <v>378.51</v>
      </c>
      <c r="K680" s="7">
        <v>0.15</v>
      </c>
      <c r="L680" s="6">
        <f t="shared" si="20"/>
        <v>965.20049999999992</v>
      </c>
      <c r="M680" s="6">
        <v>294.76</v>
      </c>
      <c r="N680" s="8">
        <f t="shared" si="21"/>
        <v>80.920499999999947</v>
      </c>
      <c r="O680" s="4" t="s">
        <v>84</v>
      </c>
      <c r="P680" s="4" t="s">
        <v>26</v>
      </c>
      <c r="Q680" s="4">
        <v>5</v>
      </c>
      <c r="R680" s="4" t="str">
        <f>TEXT(Table1[[#This Row],[Order Date]],"mmm")</f>
        <v>Sep</v>
      </c>
      <c r="S680" s="4" t="str">
        <f>TEXT(Table1[[#This Row],[Order Date]],"mm")</f>
        <v>09</v>
      </c>
      <c r="T680" s="4" t="str">
        <f>IF(Table1[[#This Row],[Sales]]&lt;0,"loss","profit")</f>
        <v>profit</v>
      </c>
      <c r="U680" s="4" t="str" cm="1">
        <f t="array" ref="U680">_xlfn.IFS(Table1[[#This Row],[Sales]]&gt;2000,"large",Table1[[#This Row],[Sales]]&gt;=500,"medium",Table1[[#This Row],[Sales]]&lt;500,"small")</f>
        <v>medium</v>
      </c>
      <c r="V680" s="22">
        <f>Table1[[#This Row],[Profit]]/Table1[[#This Row],[Sales]]*100</f>
        <v>8.3838021219425354</v>
      </c>
    </row>
    <row r="681" spans="1:22" x14ac:dyDescent="0.35">
      <c r="A681" s="4" t="s">
        <v>1081</v>
      </c>
      <c r="B681" s="5">
        <v>45905</v>
      </c>
      <c r="C681" s="4" t="s">
        <v>219</v>
      </c>
      <c r="D681" s="4" t="s">
        <v>47</v>
      </c>
      <c r="E681" s="4" t="s">
        <v>29</v>
      </c>
      <c r="F681" s="4" t="s">
        <v>54</v>
      </c>
      <c r="G681" s="4" t="s">
        <v>38</v>
      </c>
      <c r="H681" s="4" t="s">
        <v>39</v>
      </c>
      <c r="I681" s="4">
        <v>2</v>
      </c>
      <c r="J681" s="6">
        <v>309.02999999999997</v>
      </c>
      <c r="K681" s="7">
        <v>0</v>
      </c>
      <c r="L681" s="6">
        <f t="shared" si="20"/>
        <v>618.05999999999995</v>
      </c>
      <c r="M681" s="6">
        <v>264.14999999999998</v>
      </c>
      <c r="N681" s="8">
        <f t="shared" si="21"/>
        <v>89.759999999999991</v>
      </c>
      <c r="O681" s="4" t="s">
        <v>40</v>
      </c>
      <c r="P681" s="4" t="s">
        <v>33</v>
      </c>
      <c r="Q681" s="4">
        <v>5</v>
      </c>
      <c r="R681" s="4" t="str">
        <f>TEXT(Table1[[#This Row],[Order Date]],"mmm")</f>
        <v>Sep</v>
      </c>
      <c r="S681" s="4" t="str">
        <f>TEXT(Table1[[#This Row],[Order Date]],"mm")</f>
        <v>09</v>
      </c>
      <c r="T681" s="4" t="str">
        <f>IF(Table1[[#This Row],[Sales]]&lt;0,"loss","profit")</f>
        <v>profit</v>
      </c>
      <c r="U681" s="4" t="str" cm="1">
        <f t="array" ref="U681">_xlfn.IFS(Table1[[#This Row],[Sales]]&gt;2000,"large",Table1[[#This Row],[Sales]]&gt;=500,"medium",Table1[[#This Row],[Sales]]&lt;500,"small")</f>
        <v>medium</v>
      </c>
      <c r="V681" s="22">
        <f>Table1[[#This Row],[Profit]]/Table1[[#This Row],[Sales]]*100</f>
        <v>14.52286185807203</v>
      </c>
    </row>
    <row r="682" spans="1:22" x14ac:dyDescent="0.35">
      <c r="A682" s="4" t="s">
        <v>1082</v>
      </c>
      <c r="B682" s="5">
        <v>45905</v>
      </c>
      <c r="C682" s="4" t="s">
        <v>880</v>
      </c>
      <c r="D682" s="4" t="s">
        <v>47</v>
      </c>
      <c r="E682" s="4" t="s">
        <v>21</v>
      </c>
      <c r="F682" s="4" t="s">
        <v>81</v>
      </c>
      <c r="G682" s="4" t="s">
        <v>31</v>
      </c>
      <c r="H682" s="4" t="s">
        <v>64</v>
      </c>
      <c r="I682" s="4">
        <v>1</v>
      </c>
      <c r="J682" s="6">
        <v>227.93</v>
      </c>
      <c r="K682" s="7">
        <v>0.05</v>
      </c>
      <c r="L682" s="6">
        <f t="shared" si="20"/>
        <v>216.5335</v>
      </c>
      <c r="M682" s="6">
        <v>150.5</v>
      </c>
      <c r="N682" s="8">
        <f t="shared" si="21"/>
        <v>66.033500000000004</v>
      </c>
      <c r="O682" s="4" t="s">
        <v>84</v>
      </c>
      <c r="P682" s="4" t="s">
        <v>33</v>
      </c>
      <c r="Q682" s="4">
        <v>4</v>
      </c>
      <c r="R682" s="4" t="str">
        <f>TEXT(Table1[[#This Row],[Order Date]],"mmm")</f>
        <v>Sep</v>
      </c>
      <c r="S682" s="4" t="str">
        <f>TEXT(Table1[[#This Row],[Order Date]],"mm")</f>
        <v>09</v>
      </c>
      <c r="T682" s="4" t="str">
        <f>IF(Table1[[#This Row],[Sales]]&lt;0,"loss","profit")</f>
        <v>profit</v>
      </c>
      <c r="U682" s="4" t="str" cm="1">
        <f t="array" ref="U682">_xlfn.IFS(Table1[[#This Row],[Sales]]&gt;2000,"large",Table1[[#This Row],[Sales]]&gt;=500,"medium",Table1[[#This Row],[Sales]]&lt;500,"small")</f>
        <v>small</v>
      </c>
      <c r="V682" s="22">
        <f>Table1[[#This Row],[Profit]]/Table1[[#This Row],[Sales]]*100</f>
        <v>30.495743152907057</v>
      </c>
    </row>
    <row r="683" spans="1:22" x14ac:dyDescent="0.35">
      <c r="A683" s="4" t="s">
        <v>1083</v>
      </c>
      <c r="B683" s="5">
        <v>45906</v>
      </c>
      <c r="C683" s="4" t="s">
        <v>726</v>
      </c>
      <c r="D683" s="4" t="s">
        <v>20</v>
      </c>
      <c r="E683" s="4" t="s">
        <v>87</v>
      </c>
      <c r="F683" s="4" t="s">
        <v>124</v>
      </c>
      <c r="G683" s="4" t="s">
        <v>38</v>
      </c>
      <c r="H683" s="4" t="s">
        <v>89</v>
      </c>
      <c r="I683" s="4">
        <v>5</v>
      </c>
      <c r="J683" s="6">
        <v>1366.85</v>
      </c>
      <c r="K683" s="7">
        <v>0.05</v>
      </c>
      <c r="L683" s="6">
        <f t="shared" si="20"/>
        <v>6492.5374999999995</v>
      </c>
      <c r="M683" s="6">
        <v>1217.7</v>
      </c>
      <c r="N683" s="8">
        <f t="shared" si="21"/>
        <v>404.03749999999945</v>
      </c>
      <c r="O683" s="4" t="s">
        <v>60</v>
      </c>
      <c r="P683" s="4" t="s">
        <v>61</v>
      </c>
      <c r="Q683" s="4">
        <v>4</v>
      </c>
      <c r="R683" s="4" t="str">
        <f>TEXT(Table1[[#This Row],[Order Date]],"mmm")</f>
        <v>Sep</v>
      </c>
      <c r="S683" s="4" t="str">
        <f>TEXT(Table1[[#This Row],[Order Date]],"mm")</f>
        <v>09</v>
      </c>
      <c r="T683" s="4" t="str">
        <f>IF(Table1[[#This Row],[Sales]]&lt;0,"loss","profit")</f>
        <v>profit</v>
      </c>
      <c r="U683" s="4" t="str" cm="1">
        <f t="array" ref="U683">_xlfn.IFS(Table1[[#This Row],[Sales]]&gt;2000,"large",Table1[[#This Row],[Sales]]&gt;=500,"medium",Table1[[#This Row],[Sales]]&lt;500,"small")</f>
        <v>large</v>
      </c>
      <c r="V683" s="22">
        <f>Table1[[#This Row],[Profit]]/Table1[[#This Row],[Sales]]*100</f>
        <v>6.2231061430141832</v>
      </c>
    </row>
    <row r="684" spans="1:22" x14ac:dyDescent="0.35">
      <c r="A684" s="4" t="s">
        <v>1084</v>
      </c>
      <c r="B684" s="5">
        <v>45906</v>
      </c>
      <c r="C684" s="4" t="s">
        <v>450</v>
      </c>
      <c r="D684" s="4" t="s">
        <v>47</v>
      </c>
      <c r="E684" s="4" t="s">
        <v>87</v>
      </c>
      <c r="F684" s="4" t="s">
        <v>88</v>
      </c>
      <c r="G684" s="4" t="s">
        <v>23</v>
      </c>
      <c r="H684" s="4" t="s">
        <v>44</v>
      </c>
      <c r="I684" s="4">
        <v>1</v>
      </c>
      <c r="J684" s="6">
        <v>88.1</v>
      </c>
      <c r="K684" s="7">
        <v>0</v>
      </c>
      <c r="L684" s="6">
        <f t="shared" si="20"/>
        <v>88.1</v>
      </c>
      <c r="M684" s="6">
        <v>51.29</v>
      </c>
      <c r="N684" s="8">
        <f t="shared" si="21"/>
        <v>36.809999999999995</v>
      </c>
      <c r="O684" s="4" t="s">
        <v>51</v>
      </c>
      <c r="P684" s="4" t="s">
        <v>26</v>
      </c>
      <c r="Q684" s="4">
        <v>4</v>
      </c>
      <c r="R684" s="4" t="str">
        <f>TEXT(Table1[[#This Row],[Order Date]],"mmm")</f>
        <v>Sep</v>
      </c>
      <c r="S684" s="4" t="str">
        <f>TEXT(Table1[[#This Row],[Order Date]],"mm")</f>
        <v>09</v>
      </c>
      <c r="T684" s="4" t="str">
        <f>IF(Table1[[#This Row],[Sales]]&lt;0,"loss","profit")</f>
        <v>profit</v>
      </c>
      <c r="U684" s="4" t="str" cm="1">
        <f t="array" ref="U684">_xlfn.IFS(Table1[[#This Row],[Sales]]&gt;2000,"large",Table1[[#This Row],[Sales]]&gt;=500,"medium",Table1[[#This Row],[Sales]]&lt;500,"small")</f>
        <v>small</v>
      </c>
      <c r="V684" s="22">
        <f>Table1[[#This Row],[Profit]]/Table1[[#This Row],[Sales]]*100</f>
        <v>41.782065834279223</v>
      </c>
    </row>
    <row r="685" spans="1:22" x14ac:dyDescent="0.35">
      <c r="A685" s="4" t="s">
        <v>1085</v>
      </c>
      <c r="B685" s="5">
        <v>45906</v>
      </c>
      <c r="C685" s="4" t="s">
        <v>465</v>
      </c>
      <c r="D685" s="4" t="s">
        <v>47</v>
      </c>
      <c r="E685" s="4" t="s">
        <v>36</v>
      </c>
      <c r="F685" s="4" t="s">
        <v>37</v>
      </c>
      <c r="G685" s="4" t="s">
        <v>31</v>
      </c>
      <c r="H685" s="4" t="s">
        <v>64</v>
      </c>
      <c r="I685" s="4">
        <v>1</v>
      </c>
      <c r="J685" s="6">
        <v>103.72</v>
      </c>
      <c r="K685" s="7">
        <v>0</v>
      </c>
      <c r="L685" s="6">
        <f t="shared" si="20"/>
        <v>103.72</v>
      </c>
      <c r="M685" s="6">
        <v>73.22</v>
      </c>
      <c r="N685" s="8">
        <f t="shared" si="21"/>
        <v>30.5</v>
      </c>
      <c r="O685" s="4" t="s">
        <v>25</v>
      </c>
      <c r="P685" s="4" t="s">
        <v>75</v>
      </c>
      <c r="Q685" s="4">
        <v>4</v>
      </c>
      <c r="R685" s="4" t="str">
        <f>TEXT(Table1[[#This Row],[Order Date]],"mmm")</f>
        <v>Sep</v>
      </c>
      <c r="S685" s="4" t="str">
        <f>TEXT(Table1[[#This Row],[Order Date]],"mm")</f>
        <v>09</v>
      </c>
      <c r="T685" s="4" t="str">
        <f>IF(Table1[[#This Row],[Sales]]&lt;0,"loss","profit")</f>
        <v>profit</v>
      </c>
      <c r="U685" s="4" t="str" cm="1">
        <f t="array" ref="U685">_xlfn.IFS(Table1[[#This Row],[Sales]]&gt;2000,"large",Table1[[#This Row],[Sales]]&gt;=500,"medium",Table1[[#This Row],[Sales]]&lt;500,"small")</f>
        <v>small</v>
      </c>
      <c r="V685" s="22">
        <f>Table1[[#This Row],[Profit]]/Table1[[#This Row],[Sales]]*100</f>
        <v>29.406093328191286</v>
      </c>
    </row>
    <row r="686" spans="1:22" x14ac:dyDescent="0.35">
      <c r="A686" s="4" t="s">
        <v>1086</v>
      </c>
      <c r="B686" s="5">
        <v>45906</v>
      </c>
      <c r="C686" s="4" t="s">
        <v>694</v>
      </c>
      <c r="D686" s="4" t="s">
        <v>20</v>
      </c>
      <c r="E686" s="4" t="s">
        <v>21</v>
      </c>
      <c r="F686" s="4" t="s">
        <v>59</v>
      </c>
      <c r="G686" s="4" t="s">
        <v>49</v>
      </c>
      <c r="H686" s="4" t="s">
        <v>78</v>
      </c>
      <c r="I686" s="4">
        <v>10</v>
      </c>
      <c r="J686" s="6">
        <v>752.71</v>
      </c>
      <c r="K686" s="7">
        <v>0.2</v>
      </c>
      <c r="L686" s="6">
        <f t="shared" si="20"/>
        <v>6021.68</v>
      </c>
      <c r="M686" s="6">
        <v>523.82000000000005</v>
      </c>
      <c r="N686" s="8">
        <f t="shared" si="21"/>
        <v>783.47999999999956</v>
      </c>
      <c r="O686" s="4" t="s">
        <v>60</v>
      </c>
      <c r="P686" s="4" t="s">
        <v>75</v>
      </c>
      <c r="Q686" s="4">
        <v>4</v>
      </c>
      <c r="R686" s="4" t="str">
        <f>TEXT(Table1[[#This Row],[Order Date]],"mmm")</f>
        <v>Sep</v>
      </c>
      <c r="S686" s="4" t="str">
        <f>TEXT(Table1[[#This Row],[Order Date]],"mm")</f>
        <v>09</v>
      </c>
      <c r="T686" s="4" t="str">
        <f>IF(Table1[[#This Row],[Sales]]&lt;0,"loss","profit")</f>
        <v>profit</v>
      </c>
      <c r="U686" s="4" t="str" cm="1">
        <f t="array" ref="U686">_xlfn.IFS(Table1[[#This Row],[Sales]]&gt;2000,"large",Table1[[#This Row],[Sales]]&gt;=500,"medium",Table1[[#This Row],[Sales]]&lt;500,"small")</f>
        <v>large</v>
      </c>
      <c r="V686" s="22">
        <f>Table1[[#This Row],[Profit]]/Table1[[#This Row],[Sales]]*100</f>
        <v>13.010986967092233</v>
      </c>
    </row>
    <row r="687" spans="1:22" x14ac:dyDescent="0.35">
      <c r="A687" s="4" t="s">
        <v>1087</v>
      </c>
      <c r="B687" s="5">
        <v>45906</v>
      </c>
      <c r="C687" s="4" t="s">
        <v>719</v>
      </c>
      <c r="D687" s="4" t="s">
        <v>43</v>
      </c>
      <c r="E687" s="4" t="s">
        <v>36</v>
      </c>
      <c r="F687" s="4" t="s">
        <v>37</v>
      </c>
      <c r="G687" s="4" t="s">
        <v>23</v>
      </c>
      <c r="H687" s="4" t="s">
        <v>71</v>
      </c>
      <c r="I687" s="4">
        <v>1</v>
      </c>
      <c r="J687" s="6">
        <v>101.8</v>
      </c>
      <c r="K687" s="7">
        <v>0.15</v>
      </c>
      <c r="L687" s="6">
        <f t="shared" si="20"/>
        <v>86.53</v>
      </c>
      <c r="M687" s="6">
        <v>42.08</v>
      </c>
      <c r="N687" s="8">
        <f t="shared" si="21"/>
        <v>44.45</v>
      </c>
      <c r="O687" s="4" t="s">
        <v>60</v>
      </c>
      <c r="P687" s="4" t="s">
        <v>75</v>
      </c>
      <c r="Q687" s="4">
        <v>5</v>
      </c>
      <c r="R687" s="4" t="str">
        <f>TEXT(Table1[[#This Row],[Order Date]],"mmm")</f>
        <v>Sep</v>
      </c>
      <c r="S687" s="4" t="str">
        <f>TEXT(Table1[[#This Row],[Order Date]],"mm")</f>
        <v>09</v>
      </c>
      <c r="T687" s="4" t="str">
        <f>IF(Table1[[#This Row],[Sales]]&lt;0,"loss","profit")</f>
        <v>profit</v>
      </c>
      <c r="U687" s="4" t="str" cm="1">
        <f t="array" ref="U687">_xlfn.IFS(Table1[[#This Row],[Sales]]&gt;2000,"large",Table1[[#This Row],[Sales]]&gt;=500,"medium",Table1[[#This Row],[Sales]]&lt;500,"small")</f>
        <v>small</v>
      </c>
      <c r="V687" s="22">
        <f>Table1[[#This Row],[Profit]]/Table1[[#This Row],[Sales]]*100</f>
        <v>51.369467236796481</v>
      </c>
    </row>
    <row r="688" spans="1:22" x14ac:dyDescent="0.35">
      <c r="A688" s="4" t="s">
        <v>1088</v>
      </c>
      <c r="B688" s="5">
        <v>45907</v>
      </c>
      <c r="C688" s="4" t="s">
        <v>235</v>
      </c>
      <c r="D688" s="4" t="s">
        <v>43</v>
      </c>
      <c r="E688" s="4" t="s">
        <v>21</v>
      </c>
      <c r="F688" s="4" t="s">
        <v>59</v>
      </c>
      <c r="G688" s="4" t="s">
        <v>38</v>
      </c>
      <c r="H688" s="4" t="s">
        <v>55</v>
      </c>
      <c r="I688" s="4">
        <v>4</v>
      </c>
      <c r="J688" s="6">
        <v>77.72</v>
      </c>
      <c r="K688" s="7">
        <v>0</v>
      </c>
      <c r="L688" s="6">
        <f t="shared" si="20"/>
        <v>310.88</v>
      </c>
      <c r="M688" s="6">
        <v>58.62</v>
      </c>
      <c r="N688" s="8">
        <f t="shared" si="21"/>
        <v>76.400000000000006</v>
      </c>
      <c r="O688" s="4" t="s">
        <v>51</v>
      </c>
      <c r="P688" s="4" t="s">
        <v>72</v>
      </c>
      <c r="Q688" s="4">
        <v>5</v>
      </c>
      <c r="R688" s="4" t="str">
        <f>TEXT(Table1[[#This Row],[Order Date]],"mmm")</f>
        <v>Sep</v>
      </c>
      <c r="S688" s="4" t="str">
        <f>TEXT(Table1[[#This Row],[Order Date]],"mm")</f>
        <v>09</v>
      </c>
      <c r="T688" s="4" t="str">
        <f>IF(Table1[[#This Row],[Sales]]&lt;0,"loss","profit")</f>
        <v>profit</v>
      </c>
      <c r="U688" s="4" t="str" cm="1">
        <f t="array" ref="U688">_xlfn.IFS(Table1[[#This Row],[Sales]]&gt;2000,"large",Table1[[#This Row],[Sales]]&gt;=500,"medium",Table1[[#This Row],[Sales]]&lt;500,"small")</f>
        <v>small</v>
      </c>
      <c r="V688" s="22">
        <f>Table1[[#This Row],[Profit]]/Table1[[#This Row],[Sales]]*100</f>
        <v>24.575398867730318</v>
      </c>
    </row>
    <row r="689" spans="1:22" x14ac:dyDescent="0.35">
      <c r="A689" s="4" t="s">
        <v>1089</v>
      </c>
      <c r="B689" s="5">
        <v>45907</v>
      </c>
      <c r="C689" s="4" t="s">
        <v>205</v>
      </c>
      <c r="D689" s="4" t="s">
        <v>43</v>
      </c>
      <c r="E689" s="4" t="s">
        <v>29</v>
      </c>
      <c r="F689" s="4" t="s">
        <v>54</v>
      </c>
      <c r="G689" s="4" t="s">
        <v>38</v>
      </c>
      <c r="H689" s="4" t="s">
        <v>55</v>
      </c>
      <c r="I689" s="4">
        <v>2</v>
      </c>
      <c r="J689" s="6">
        <v>85.06</v>
      </c>
      <c r="K689" s="7">
        <v>0.1</v>
      </c>
      <c r="L689" s="6">
        <f t="shared" si="20"/>
        <v>153.108</v>
      </c>
      <c r="M689" s="6">
        <v>68.52</v>
      </c>
      <c r="N689" s="8">
        <f t="shared" si="21"/>
        <v>16.068000000000012</v>
      </c>
      <c r="O689" s="4" t="s">
        <v>84</v>
      </c>
      <c r="P689" s="4" t="s">
        <v>26</v>
      </c>
      <c r="Q689" s="4">
        <v>2</v>
      </c>
      <c r="R689" s="4" t="str">
        <f>TEXT(Table1[[#This Row],[Order Date]],"mmm")</f>
        <v>Sep</v>
      </c>
      <c r="S689" s="4" t="str">
        <f>TEXT(Table1[[#This Row],[Order Date]],"mm")</f>
        <v>09</v>
      </c>
      <c r="T689" s="4" t="str">
        <f>IF(Table1[[#This Row],[Sales]]&lt;0,"loss","profit")</f>
        <v>profit</v>
      </c>
      <c r="U689" s="4" t="str" cm="1">
        <f t="array" ref="U689">_xlfn.IFS(Table1[[#This Row],[Sales]]&gt;2000,"large",Table1[[#This Row],[Sales]]&gt;=500,"medium",Table1[[#This Row],[Sales]]&lt;500,"small")</f>
        <v>small</v>
      </c>
      <c r="V689" s="22">
        <f>Table1[[#This Row],[Profit]]/Table1[[#This Row],[Sales]]*100</f>
        <v>10.494552864644573</v>
      </c>
    </row>
    <row r="690" spans="1:22" x14ac:dyDescent="0.35">
      <c r="A690" s="4" t="s">
        <v>1090</v>
      </c>
      <c r="B690" s="5">
        <v>45907</v>
      </c>
      <c r="C690" s="4" t="s">
        <v>146</v>
      </c>
      <c r="D690" s="4" t="s">
        <v>47</v>
      </c>
      <c r="E690" s="4" t="s">
        <v>29</v>
      </c>
      <c r="F690" s="4" t="s">
        <v>108</v>
      </c>
      <c r="G690" s="4" t="s">
        <v>38</v>
      </c>
      <c r="H690" s="4" t="s">
        <v>109</v>
      </c>
      <c r="I690" s="4">
        <v>1</v>
      </c>
      <c r="J690" s="6">
        <v>952.48</v>
      </c>
      <c r="K690" s="7">
        <v>0</v>
      </c>
      <c r="L690" s="6">
        <f t="shared" si="20"/>
        <v>952.48</v>
      </c>
      <c r="M690" s="6">
        <v>832.07</v>
      </c>
      <c r="N690" s="8">
        <f t="shared" si="21"/>
        <v>120.40999999999997</v>
      </c>
      <c r="O690" s="4" t="s">
        <v>84</v>
      </c>
      <c r="P690" s="4" t="s">
        <v>97</v>
      </c>
      <c r="Q690" s="4">
        <v>4</v>
      </c>
      <c r="R690" s="4" t="str">
        <f>TEXT(Table1[[#This Row],[Order Date]],"mmm")</f>
        <v>Sep</v>
      </c>
      <c r="S690" s="4" t="str">
        <f>TEXT(Table1[[#This Row],[Order Date]],"mm")</f>
        <v>09</v>
      </c>
      <c r="T690" s="4" t="str">
        <f>IF(Table1[[#This Row],[Sales]]&lt;0,"loss","profit")</f>
        <v>profit</v>
      </c>
      <c r="U690" s="4" t="str" cm="1">
        <f t="array" ref="U690">_xlfn.IFS(Table1[[#This Row],[Sales]]&gt;2000,"large",Table1[[#This Row],[Sales]]&gt;=500,"medium",Table1[[#This Row],[Sales]]&lt;500,"small")</f>
        <v>medium</v>
      </c>
      <c r="V690" s="22">
        <f>Table1[[#This Row],[Profit]]/Table1[[#This Row],[Sales]]*100</f>
        <v>12.641735259533004</v>
      </c>
    </row>
    <row r="691" spans="1:22" x14ac:dyDescent="0.35">
      <c r="A691" s="4" t="s">
        <v>1091</v>
      </c>
      <c r="B691" s="5">
        <v>45908</v>
      </c>
      <c r="C691" s="4" t="s">
        <v>515</v>
      </c>
      <c r="D691" s="4" t="s">
        <v>47</v>
      </c>
      <c r="E691" s="4" t="s">
        <v>29</v>
      </c>
      <c r="F691" s="4" t="s">
        <v>54</v>
      </c>
      <c r="G691" s="4" t="s">
        <v>38</v>
      </c>
      <c r="H691" s="4" t="s">
        <v>109</v>
      </c>
      <c r="I691" s="4">
        <v>4</v>
      </c>
      <c r="J691" s="6">
        <v>357.64</v>
      </c>
      <c r="K691" s="7">
        <v>0</v>
      </c>
      <c r="L691" s="6">
        <f t="shared" si="20"/>
        <v>1430.56</v>
      </c>
      <c r="M691" s="6">
        <v>308.72000000000003</v>
      </c>
      <c r="N691" s="8">
        <f t="shared" si="21"/>
        <v>195.67999999999984</v>
      </c>
      <c r="O691" s="4" t="s">
        <v>51</v>
      </c>
      <c r="P691" s="4" t="s">
        <v>56</v>
      </c>
      <c r="Q691" s="4">
        <v>4</v>
      </c>
      <c r="R691" s="4" t="str">
        <f>TEXT(Table1[[#This Row],[Order Date]],"mmm")</f>
        <v>Sep</v>
      </c>
      <c r="S691" s="4" t="str">
        <f>TEXT(Table1[[#This Row],[Order Date]],"mm")</f>
        <v>09</v>
      </c>
      <c r="T691" s="4" t="str">
        <f>IF(Table1[[#This Row],[Sales]]&lt;0,"loss","profit")</f>
        <v>profit</v>
      </c>
      <c r="U691" s="4" t="str" cm="1">
        <f t="array" ref="U691">_xlfn.IFS(Table1[[#This Row],[Sales]]&gt;2000,"large",Table1[[#This Row],[Sales]]&gt;=500,"medium",Table1[[#This Row],[Sales]]&lt;500,"small")</f>
        <v>medium</v>
      </c>
      <c r="V691" s="22">
        <f>Table1[[#This Row],[Profit]]/Table1[[#This Row],[Sales]]*100</f>
        <v>13.678559445252198</v>
      </c>
    </row>
    <row r="692" spans="1:22" x14ac:dyDescent="0.35">
      <c r="A692" s="4" t="s">
        <v>1092</v>
      </c>
      <c r="B692" s="5">
        <v>45908</v>
      </c>
      <c r="C692" s="4" t="s">
        <v>1093</v>
      </c>
      <c r="D692" s="4" t="s">
        <v>20</v>
      </c>
      <c r="E692" s="4" t="s">
        <v>21</v>
      </c>
      <c r="F692" s="4" t="s">
        <v>22</v>
      </c>
      <c r="G692" s="4" t="s">
        <v>38</v>
      </c>
      <c r="H692" s="4" t="s">
        <v>89</v>
      </c>
      <c r="I692" s="4">
        <v>1</v>
      </c>
      <c r="J692" s="6">
        <v>1222.58</v>
      </c>
      <c r="K692" s="7">
        <v>0</v>
      </c>
      <c r="L692" s="6">
        <f t="shared" si="20"/>
        <v>1222.58</v>
      </c>
      <c r="M692" s="6">
        <v>982.13</v>
      </c>
      <c r="N692" s="8">
        <f t="shared" si="21"/>
        <v>240.44999999999993</v>
      </c>
      <c r="O692" s="4" t="s">
        <v>51</v>
      </c>
      <c r="P692" s="4" t="s">
        <v>75</v>
      </c>
      <c r="Q692" s="4">
        <v>5</v>
      </c>
      <c r="R692" s="4" t="str">
        <f>TEXT(Table1[[#This Row],[Order Date]],"mmm")</f>
        <v>Sep</v>
      </c>
      <c r="S692" s="4" t="str">
        <f>TEXT(Table1[[#This Row],[Order Date]],"mm")</f>
        <v>09</v>
      </c>
      <c r="T692" s="4" t="str">
        <f>IF(Table1[[#This Row],[Sales]]&lt;0,"loss","profit")</f>
        <v>profit</v>
      </c>
      <c r="U692" s="4" t="str" cm="1">
        <f t="array" ref="U692">_xlfn.IFS(Table1[[#This Row],[Sales]]&gt;2000,"large",Table1[[#This Row],[Sales]]&gt;=500,"medium",Table1[[#This Row],[Sales]]&lt;500,"small")</f>
        <v>medium</v>
      </c>
      <c r="V692" s="22">
        <f>Table1[[#This Row],[Profit]]/Table1[[#This Row],[Sales]]*100</f>
        <v>19.667424626609296</v>
      </c>
    </row>
    <row r="693" spans="1:22" x14ac:dyDescent="0.35">
      <c r="A693" s="4" t="s">
        <v>1094</v>
      </c>
      <c r="B693" s="5">
        <v>45908</v>
      </c>
      <c r="C693" s="4" t="s">
        <v>1095</v>
      </c>
      <c r="D693" s="4" t="s">
        <v>47</v>
      </c>
      <c r="E693" s="4" t="s">
        <v>21</v>
      </c>
      <c r="F693" s="4" t="s">
        <v>22</v>
      </c>
      <c r="G693" s="4" t="s">
        <v>38</v>
      </c>
      <c r="H693" s="4" t="s">
        <v>89</v>
      </c>
      <c r="I693" s="4">
        <v>1</v>
      </c>
      <c r="J693" s="6">
        <v>1056.78</v>
      </c>
      <c r="K693" s="7">
        <v>0.1</v>
      </c>
      <c r="L693" s="6">
        <f t="shared" si="20"/>
        <v>951.10199999999998</v>
      </c>
      <c r="M693" s="6">
        <v>821.39</v>
      </c>
      <c r="N693" s="8">
        <f t="shared" si="21"/>
        <v>129.71199999999999</v>
      </c>
      <c r="O693" s="4" t="s">
        <v>25</v>
      </c>
      <c r="P693" s="4" t="s">
        <v>118</v>
      </c>
      <c r="Q693" s="4">
        <v>4</v>
      </c>
      <c r="R693" s="4" t="str">
        <f>TEXT(Table1[[#This Row],[Order Date]],"mmm")</f>
        <v>Sep</v>
      </c>
      <c r="S693" s="4" t="str">
        <f>TEXT(Table1[[#This Row],[Order Date]],"mm")</f>
        <v>09</v>
      </c>
      <c r="T693" s="4" t="str">
        <f>IF(Table1[[#This Row],[Sales]]&lt;0,"loss","profit")</f>
        <v>profit</v>
      </c>
      <c r="U693" s="4" t="str" cm="1">
        <f t="array" ref="U693">_xlfn.IFS(Table1[[#This Row],[Sales]]&gt;2000,"large",Table1[[#This Row],[Sales]]&gt;=500,"medium",Table1[[#This Row],[Sales]]&lt;500,"small")</f>
        <v>medium</v>
      </c>
      <c r="V693" s="22">
        <f>Table1[[#This Row],[Profit]]/Table1[[#This Row],[Sales]]*100</f>
        <v>13.638074570340509</v>
      </c>
    </row>
    <row r="694" spans="1:22" x14ac:dyDescent="0.35">
      <c r="A694" s="4" t="s">
        <v>1096</v>
      </c>
      <c r="B694" s="5">
        <v>45908</v>
      </c>
      <c r="C694" s="4" t="s">
        <v>105</v>
      </c>
      <c r="D694" s="4" t="s">
        <v>47</v>
      </c>
      <c r="E694" s="4" t="s">
        <v>21</v>
      </c>
      <c r="F694" s="4" t="s">
        <v>22</v>
      </c>
      <c r="G694" s="4" t="s">
        <v>38</v>
      </c>
      <c r="H694" s="4" t="s">
        <v>39</v>
      </c>
      <c r="I694" s="4">
        <v>5</v>
      </c>
      <c r="J694" s="6">
        <v>336.06</v>
      </c>
      <c r="K694" s="7">
        <v>0</v>
      </c>
      <c r="L694" s="6">
        <f t="shared" si="20"/>
        <v>1680.3</v>
      </c>
      <c r="M694" s="6">
        <v>270.82</v>
      </c>
      <c r="N694" s="8">
        <f t="shared" si="21"/>
        <v>326.20000000000005</v>
      </c>
      <c r="O694" s="4" t="s">
        <v>51</v>
      </c>
      <c r="P694" s="4" t="s">
        <v>97</v>
      </c>
      <c r="Q694" s="4">
        <v>3</v>
      </c>
      <c r="R694" s="4" t="str">
        <f>TEXT(Table1[[#This Row],[Order Date]],"mmm")</f>
        <v>Sep</v>
      </c>
      <c r="S694" s="4" t="str">
        <f>TEXT(Table1[[#This Row],[Order Date]],"mm")</f>
        <v>09</v>
      </c>
      <c r="T694" s="4" t="str">
        <f>IF(Table1[[#This Row],[Sales]]&lt;0,"loss","profit")</f>
        <v>profit</v>
      </c>
      <c r="U694" s="4" t="str" cm="1">
        <f t="array" ref="U694">_xlfn.IFS(Table1[[#This Row],[Sales]]&gt;2000,"large",Table1[[#This Row],[Sales]]&gt;=500,"medium",Table1[[#This Row],[Sales]]&lt;500,"small")</f>
        <v>medium</v>
      </c>
      <c r="V694" s="22">
        <f>Table1[[#This Row],[Profit]]/Table1[[#This Row],[Sales]]*100</f>
        <v>19.413200023805278</v>
      </c>
    </row>
    <row r="695" spans="1:22" x14ac:dyDescent="0.35">
      <c r="A695" s="4" t="s">
        <v>1097</v>
      </c>
      <c r="B695" s="5">
        <v>45909</v>
      </c>
      <c r="C695" s="4" t="s">
        <v>518</v>
      </c>
      <c r="D695" s="4" t="s">
        <v>43</v>
      </c>
      <c r="E695" s="4" t="s">
        <v>36</v>
      </c>
      <c r="F695" s="4" t="s">
        <v>37</v>
      </c>
      <c r="G695" s="4" t="s">
        <v>49</v>
      </c>
      <c r="H695" s="4" t="s">
        <v>50</v>
      </c>
      <c r="I695" s="4">
        <v>1</v>
      </c>
      <c r="J695" s="6">
        <v>20.61</v>
      </c>
      <c r="K695" s="7">
        <v>0.2</v>
      </c>
      <c r="L695" s="6">
        <f t="shared" si="20"/>
        <v>16.488</v>
      </c>
      <c r="M695" s="6">
        <v>13.87</v>
      </c>
      <c r="N695" s="8">
        <f t="shared" si="21"/>
        <v>2.6180000000000003</v>
      </c>
      <c r="O695" s="4" t="s">
        <v>60</v>
      </c>
      <c r="P695" s="4" t="s">
        <v>26</v>
      </c>
      <c r="Q695" s="4">
        <v>3</v>
      </c>
      <c r="R695" s="4" t="str">
        <f>TEXT(Table1[[#This Row],[Order Date]],"mmm")</f>
        <v>Sep</v>
      </c>
      <c r="S695" s="4" t="str">
        <f>TEXT(Table1[[#This Row],[Order Date]],"mm")</f>
        <v>09</v>
      </c>
      <c r="T695" s="4" t="str">
        <f>IF(Table1[[#This Row],[Sales]]&lt;0,"loss","profit")</f>
        <v>profit</v>
      </c>
      <c r="U695" s="4" t="str" cm="1">
        <f t="array" ref="U695">_xlfn.IFS(Table1[[#This Row],[Sales]]&gt;2000,"large",Table1[[#This Row],[Sales]]&gt;=500,"medium",Table1[[#This Row],[Sales]]&lt;500,"small")</f>
        <v>small</v>
      </c>
      <c r="V695" s="22">
        <f>Table1[[#This Row],[Profit]]/Table1[[#This Row],[Sales]]*100</f>
        <v>15.878214459000487</v>
      </c>
    </row>
    <row r="696" spans="1:22" x14ac:dyDescent="0.35">
      <c r="A696" s="4" t="s">
        <v>1098</v>
      </c>
      <c r="B696" s="5">
        <v>45909</v>
      </c>
      <c r="C696" s="4" t="s">
        <v>139</v>
      </c>
      <c r="D696" s="4" t="s">
        <v>47</v>
      </c>
      <c r="E696" s="4" t="s">
        <v>21</v>
      </c>
      <c r="F696" s="4" t="s">
        <v>59</v>
      </c>
      <c r="G696" s="4" t="s">
        <v>38</v>
      </c>
      <c r="H696" s="4" t="s">
        <v>89</v>
      </c>
      <c r="I696" s="4">
        <v>2</v>
      </c>
      <c r="J696" s="6">
        <v>1367.35</v>
      </c>
      <c r="K696" s="7">
        <v>0</v>
      </c>
      <c r="L696" s="6">
        <f t="shared" si="20"/>
        <v>2734.7</v>
      </c>
      <c r="M696" s="6">
        <v>1172.81</v>
      </c>
      <c r="N696" s="8">
        <f t="shared" si="21"/>
        <v>389.07999999999993</v>
      </c>
      <c r="O696" s="4" t="s">
        <v>51</v>
      </c>
      <c r="P696" s="4" t="s">
        <v>61</v>
      </c>
      <c r="Q696" s="4">
        <v>3</v>
      </c>
      <c r="R696" s="4" t="str">
        <f>TEXT(Table1[[#This Row],[Order Date]],"mmm")</f>
        <v>Sep</v>
      </c>
      <c r="S696" s="4" t="str">
        <f>TEXT(Table1[[#This Row],[Order Date]],"mm")</f>
        <v>09</v>
      </c>
      <c r="T696" s="4" t="str">
        <f>IF(Table1[[#This Row],[Sales]]&lt;0,"loss","profit")</f>
        <v>profit</v>
      </c>
      <c r="U696" s="4" t="str" cm="1">
        <f t="array" ref="U696">_xlfn.IFS(Table1[[#This Row],[Sales]]&gt;2000,"large",Table1[[#This Row],[Sales]]&gt;=500,"medium",Table1[[#This Row],[Sales]]&lt;500,"small")</f>
        <v>large</v>
      </c>
      <c r="V696" s="22">
        <f>Table1[[#This Row],[Profit]]/Table1[[#This Row],[Sales]]*100</f>
        <v>14.227520386148388</v>
      </c>
    </row>
    <row r="697" spans="1:22" x14ac:dyDescent="0.35">
      <c r="A697" s="4" t="s">
        <v>1099</v>
      </c>
      <c r="B697" s="5">
        <v>45909</v>
      </c>
      <c r="C697" s="4" t="s">
        <v>631</v>
      </c>
      <c r="D697" s="4" t="s">
        <v>43</v>
      </c>
      <c r="E697" s="4" t="s">
        <v>36</v>
      </c>
      <c r="F697" s="4" t="s">
        <v>37</v>
      </c>
      <c r="G697" s="4" t="s">
        <v>23</v>
      </c>
      <c r="H697" s="4" t="s">
        <v>24</v>
      </c>
      <c r="I697" s="4">
        <v>5</v>
      </c>
      <c r="J697" s="6">
        <v>69.16</v>
      </c>
      <c r="K697" s="7">
        <v>0</v>
      </c>
      <c r="L697" s="6">
        <f t="shared" si="20"/>
        <v>345.79999999999995</v>
      </c>
      <c r="M697" s="6">
        <v>42.36</v>
      </c>
      <c r="N697" s="8">
        <f t="shared" si="21"/>
        <v>133.99999999999994</v>
      </c>
      <c r="O697" s="4" t="s">
        <v>40</v>
      </c>
      <c r="P697" s="4" t="s">
        <v>118</v>
      </c>
      <c r="Q697" s="4">
        <v>5</v>
      </c>
      <c r="R697" s="4" t="str">
        <f>TEXT(Table1[[#This Row],[Order Date]],"mmm")</f>
        <v>Sep</v>
      </c>
      <c r="S697" s="4" t="str">
        <f>TEXT(Table1[[#This Row],[Order Date]],"mm")</f>
        <v>09</v>
      </c>
      <c r="T697" s="4" t="str">
        <f>IF(Table1[[#This Row],[Sales]]&lt;0,"loss","profit")</f>
        <v>profit</v>
      </c>
      <c r="U697" s="4" t="str" cm="1">
        <f t="array" ref="U697">_xlfn.IFS(Table1[[#This Row],[Sales]]&gt;2000,"large",Table1[[#This Row],[Sales]]&gt;=500,"medium",Table1[[#This Row],[Sales]]&lt;500,"small")</f>
        <v>small</v>
      </c>
      <c r="V697" s="22">
        <f>Table1[[#This Row],[Profit]]/Table1[[#This Row],[Sales]]*100</f>
        <v>38.750722961249267</v>
      </c>
    </row>
    <row r="698" spans="1:22" x14ac:dyDescent="0.35">
      <c r="A698" s="4" t="s">
        <v>1100</v>
      </c>
      <c r="B698" s="5">
        <v>45910</v>
      </c>
      <c r="C698" s="4" t="s">
        <v>264</v>
      </c>
      <c r="D698" s="4" t="s">
        <v>20</v>
      </c>
      <c r="E698" s="4" t="s">
        <v>87</v>
      </c>
      <c r="F698" s="4" t="s">
        <v>124</v>
      </c>
      <c r="G698" s="4" t="s">
        <v>31</v>
      </c>
      <c r="H698" s="4" t="s">
        <v>147</v>
      </c>
      <c r="I698" s="4">
        <v>1</v>
      </c>
      <c r="J698" s="6">
        <v>99.94</v>
      </c>
      <c r="K698" s="7">
        <v>0</v>
      </c>
      <c r="L698" s="6">
        <f t="shared" si="20"/>
        <v>99.94</v>
      </c>
      <c r="M698" s="6">
        <v>57.73</v>
      </c>
      <c r="N698" s="8">
        <f t="shared" si="21"/>
        <v>42.21</v>
      </c>
      <c r="O698" s="4" t="s">
        <v>40</v>
      </c>
      <c r="P698" s="4" t="s">
        <v>56</v>
      </c>
      <c r="Q698" s="4">
        <v>2</v>
      </c>
      <c r="R698" s="4" t="str">
        <f>TEXT(Table1[[#This Row],[Order Date]],"mmm")</f>
        <v>Sep</v>
      </c>
      <c r="S698" s="4" t="str">
        <f>TEXT(Table1[[#This Row],[Order Date]],"mm")</f>
        <v>09</v>
      </c>
      <c r="T698" s="4" t="str">
        <f>IF(Table1[[#This Row],[Sales]]&lt;0,"loss","profit")</f>
        <v>profit</v>
      </c>
      <c r="U698" s="4" t="str" cm="1">
        <f t="array" ref="U698">_xlfn.IFS(Table1[[#This Row],[Sales]]&gt;2000,"large",Table1[[#This Row],[Sales]]&gt;=500,"medium",Table1[[#This Row],[Sales]]&lt;500,"small")</f>
        <v>small</v>
      </c>
      <c r="V698" s="22">
        <f>Table1[[#This Row],[Profit]]/Table1[[#This Row],[Sales]]*100</f>
        <v>42.235341204722836</v>
      </c>
    </row>
    <row r="699" spans="1:22" x14ac:dyDescent="0.35">
      <c r="A699" s="4" t="s">
        <v>1101</v>
      </c>
      <c r="B699" s="5">
        <v>45911</v>
      </c>
      <c r="C699" s="4" t="s">
        <v>869</v>
      </c>
      <c r="D699" s="4" t="s">
        <v>43</v>
      </c>
      <c r="E699" s="4" t="s">
        <v>87</v>
      </c>
      <c r="F699" s="4" t="s">
        <v>88</v>
      </c>
      <c r="G699" s="4" t="s">
        <v>23</v>
      </c>
      <c r="H699" s="4" t="s">
        <v>71</v>
      </c>
      <c r="I699" s="4">
        <v>4</v>
      </c>
      <c r="J699" s="6">
        <v>70.319999999999993</v>
      </c>
      <c r="K699" s="7">
        <v>0</v>
      </c>
      <c r="L699" s="6">
        <f t="shared" si="20"/>
        <v>281.27999999999997</v>
      </c>
      <c r="M699" s="6">
        <v>40.03</v>
      </c>
      <c r="N699" s="8">
        <f t="shared" si="21"/>
        <v>121.15999999999997</v>
      </c>
      <c r="O699" s="4" t="s">
        <v>40</v>
      </c>
      <c r="P699" s="4" t="s">
        <v>97</v>
      </c>
      <c r="Q699" s="4">
        <v>4</v>
      </c>
      <c r="R699" s="4" t="str">
        <f>TEXT(Table1[[#This Row],[Order Date]],"mmm")</f>
        <v>Sep</v>
      </c>
      <c r="S699" s="4" t="str">
        <f>TEXT(Table1[[#This Row],[Order Date]],"mm")</f>
        <v>09</v>
      </c>
      <c r="T699" s="4" t="str">
        <f>IF(Table1[[#This Row],[Sales]]&lt;0,"loss","profit")</f>
        <v>profit</v>
      </c>
      <c r="U699" s="4" t="str" cm="1">
        <f t="array" ref="U699">_xlfn.IFS(Table1[[#This Row],[Sales]]&gt;2000,"large",Table1[[#This Row],[Sales]]&gt;=500,"medium",Table1[[#This Row],[Sales]]&lt;500,"small")</f>
        <v>small</v>
      </c>
      <c r="V699" s="22">
        <f>Table1[[#This Row],[Profit]]/Table1[[#This Row],[Sales]]*100</f>
        <v>43.074516496018198</v>
      </c>
    </row>
    <row r="700" spans="1:22" x14ac:dyDescent="0.35">
      <c r="A700" s="4" t="s">
        <v>1102</v>
      </c>
      <c r="B700" s="5">
        <v>45911</v>
      </c>
      <c r="C700" s="4" t="s">
        <v>465</v>
      </c>
      <c r="D700" s="4" t="s">
        <v>43</v>
      </c>
      <c r="E700" s="4" t="s">
        <v>87</v>
      </c>
      <c r="F700" s="4" t="s">
        <v>92</v>
      </c>
      <c r="G700" s="4" t="s">
        <v>23</v>
      </c>
      <c r="H700" s="4" t="s">
        <v>24</v>
      </c>
      <c r="I700" s="4">
        <v>2</v>
      </c>
      <c r="J700" s="6">
        <v>77.14</v>
      </c>
      <c r="K700" s="7">
        <v>0.05</v>
      </c>
      <c r="L700" s="6">
        <f t="shared" si="20"/>
        <v>146.566</v>
      </c>
      <c r="M700" s="6">
        <v>37.53</v>
      </c>
      <c r="N700" s="8">
        <f t="shared" si="21"/>
        <v>71.506</v>
      </c>
      <c r="O700" s="4" t="s">
        <v>51</v>
      </c>
      <c r="P700" s="4" t="s">
        <v>72</v>
      </c>
      <c r="Q700" s="4">
        <v>4</v>
      </c>
      <c r="R700" s="4" t="str">
        <f>TEXT(Table1[[#This Row],[Order Date]],"mmm")</f>
        <v>Sep</v>
      </c>
      <c r="S700" s="4" t="str">
        <f>TEXT(Table1[[#This Row],[Order Date]],"mm")</f>
        <v>09</v>
      </c>
      <c r="T700" s="4" t="str">
        <f>IF(Table1[[#This Row],[Sales]]&lt;0,"loss","profit")</f>
        <v>profit</v>
      </c>
      <c r="U700" s="4" t="str" cm="1">
        <f t="array" ref="U700">_xlfn.IFS(Table1[[#This Row],[Sales]]&gt;2000,"large",Table1[[#This Row],[Sales]]&gt;=500,"medium",Table1[[#This Row],[Sales]]&lt;500,"small")</f>
        <v>small</v>
      </c>
      <c r="V700" s="22">
        <f>Table1[[#This Row],[Profit]]/Table1[[#This Row],[Sales]]*100</f>
        <v>48.787576927800444</v>
      </c>
    </row>
    <row r="701" spans="1:22" x14ac:dyDescent="0.35">
      <c r="A701" s="4" t="s">
        <v>1103</v>
      </c>
      <c r="B701" s="5">
        <v>45913</v>
      </c>
      <c r="C701" s="4" t="s">
        <v>995</v>
      </c>
      <c r="D701" s="4" t="s">
        <v>47</v>
      </c>
      <c r="E701" s="4" t="s">
        <v>87</v>
      </c>
      <c r="F701" s="4" t="s">
        <v>124</v>
      </c>
      <c r="G701" s="4" t="s">
        <v>23</v>
      </c>
      <c r="H701" s="4" t="s">
        <v>44</v>
      </c>
      <c r="I701" s="4">
        <v>1</v>
      </c>
      <c r="J701" s="6">
        <v>103.23</v>
      </c>
      <c r="K701" s="7">
        <v>0</v>
      </c>
      <c r="L701" s="6">
        <f t="shared" si="20"/>
        <v>103.23</v>
      </c>
      <c r="M701" s="6">
        <v>47.06</v>
      </c>
      <c r="N701" s="8">
        <f t="shared" si="21"/>
        <v>56.17</v>
      </c>
      <c r="O701" s="4" t="s">
        <v>25</v>
      </c>
      <c r="P701" s="4" t="s">
        <v>26</v>
      </c>
      <c r="Q701" s="4">
        <v>5</v>
      </c>
      <c r="R701" s="4" t="str">
        <f>TEXT(Table1[[#This Row],[Order Date]],"mmm")</f>
        <v>Sep</v>
      </c>
      <c r="S701" s="4" t="str">
        <f>TEXT(Table1[[#This Row],[Order Date]],"mm")</f>
        <v>09</v>
      </c>
      <c r="T701" s="4" t="str">
        <f>IF(Table1[[#This Row],[Sales]]&lt;0,"loss","profit")</f>
        <v>profit</v>
      </c>
      <c r="U701" s="4" t="str" cm="1">
        <f t="array" ref="U701">_xlfn.IFS(Table1[[#This Row],[Sales]]&gt;2000,"large",Table1[[#This Row],[Sales]]&gt;=500,"medium",Table1[[#This Row],[Sales]]&lt;500,"small")</f>
        <v>small</v>
      </c>
      <c r="V701" s="22">
        <f>Table1[[#This Row],[Profit]]/Table1[[#This Row],[Sales]]*100</f>
        <v>54.412476993122148</v>
      </c>
    </row>
    <row r="702" spans="1:22" x14ac:dyDescent="0.35">
      <c r="A702" s="4" t="s">
        <v>1104</v>
      </c>
      <c r="B702" s="5">
        <v>45914</v>
      </c>
      <c r="C702" s="4" t="s">
        <v>303</v>
      </c>
      <c r="D702" s="4" t="s">
        <v>43</v>
      </c>
      <c r="E702" s="4" t="s">
        <v>87</v>
      </c>
      <c r="F702" s="4" t="s">
        <v>92</v>
      </c>
      <c r="G702" s="4" t="s">
        <v>49</v>
      </c>
      <c r="H702" s="4" t="s">
        <v>50</v>
      </c>
      <c r="I702" s="4">
        <v>2</v>
      </c>
      <c r="J702" s="6">
        <v>46.63</v>
      </c>
      <c r="K702" s="7">
        <v>0.15</v>
      </c>
      <c r="L702" s="6">
        <f t="shared" si="20"/>
        <v>79.271000000000001</v>
      </c>
      <c r="M702" s="6">
        <v>31.61</v>
      </c>
      <c r="N702" s="8">
        <f t="shared" si="21"/>
        <v>16.051000000000002</v>
      </c>
      <c r="O702" s="4" t="s">
        <v>84</v>
      </c>
      <c r="P702" s="4" t="s">
        <v>72</v>
      </c>
      <c r="Q702" s="4">
        <v>5</v>
      </c>
      <c r="R702" s="4" t="str">
        <f>TEXT(Table1[[#This Row],[Order Date]],"mmm")</f>
        <v>Sep</v>
      </c>
      <c r="S702" s="4" t="str">
        <f>TEXT(Table1[[#This Row],[Order Date]],"mm")</f>
        <v>09</v>
      </c>
      <c r="T702" s="4" t="str">
        <f>IF(Table1[[#This Row],[Sales]]&lt;0,"loss","profit")</f>
        <v>profit</v>
      </c>
      <c r="U702" s="4" t="str" cm="1">
        <f t="array" ref="U702">_xlfn.IFS(Table1[[#This Row],[Sales]]&gt;2000,"large",Table1[[#This Row],[Sales]]&gt;=500,"medium",Table1[[#This Row],[Sales]]&lt;500,"small")</f>
        <v>small</v>
      </c>
      <c r="V702" s="22">
        <f>Table1[[#This Row],[Profit]]/Table1[[#This Row],[Sales]]*100</f>
        <v>20.24826229011871</v>
      </c>
    </row>
    <row r="703" spans="1:22" x14ac:dyDescent="0.35">
      <c r="A703" s="4" t="s">
        <v>1105</v>
      </c>
      <c r="B703" s="5">
        <v>45915</v>
      </c>
      <c r="C703" s="4" t="s">
        <v>151</v>
      </c>
      <c r="D703" s="4" t="s">
        <v>43</v>
      </c>
      <c r="E703" s="4" t="s">
        <v>87</v>
      </c>
      <c r="F703" s="4" t="s">
        <v>92</v>
      </c>
      <c r="G703" s="4" t="s">
        <v>38</v>
      </c>
      <c r="H703" s="4" t="s">
        <v>109</v>
      </c>
      <c r="I703" s="4">
        <v>4</v>
      </c>
      <c r="J703" s="6">
        <v>393.79</v>
      </c>
      <c r="K703" s="7">
        <v>0.1</v>
      </c>
      <c r="L703" s="6">
        <f t="shared" si="20"/>
        <v>1417.644</v>
      </c>
      <c r="M703" s="6">
        <v>313.31</v>
      </c>
      <c r="N703" s="8">
        <f t="shared" si="21"/>
        <v>164.404</v>
      </c>
      <c r="O703" s="4" t="s">
        <v>60</v>
      </c>
      <c r="P703" s="4" t="s">
        <v>56</v>
      </c>
      <c r="Q703" s="4">
        <v>4</v>
      </c>
      <c r="R703" s="4" t="str">
        <f>TEXT(Table1[[#This Row],[Order Date]],"mmm")</f>
        <v>Sep</v>
      </c>
      <c r="S703" s="4" t="str">
        <f>TEXT(Table1[[#This Row],[Order Date]],"mm")</f>
        <v>09</v>
      </c>
      <c r="T703" s="4" t="str">
        <f>IF(Table1[[#This Row],[Sales]]&lt;0,"loss","profit")</f>
        <v>profit</v>
      </c>
      <c r="U703" s="4" t="str" cm="1">
        <f t="array" ref="U703">_xlfn.IFS(Table1[[#This Row],[Sales]]&gt;2000,"large",Table1[[#This Row],[Sales]]&gt;=500,"medium",Table1[[#This Row],[Sales]]&lt;500,"small")</f>
        <v>medium</v>
      </c>
      <c r="V703" s="22">
        <f>Table1[[#This Row],[Profit]]/Table1[[#This Row],[Sales]]*100</f>
        <v>11.596987678147688</v>
      </c>
    </row>
    <row r="704" spans="1:22" x14ac:dyDescent="0.35">
      <c r="A704" s="4" t="s">
        <v>1106</v>
      </c>
      <c r="B704" s="5">
        <v>45916</v>
      </c>
      <c r="C704" s="4" t="s">
        <v>237</v>
      </c>
      <c r="D704" s="4" t="s">
        <v>43</v>
      </c>
      <c r="E704" s="4" t="s">
        <v>36</v>
      </c>
      <c r="F704" s="4" t="s">
        <v>48</v>
      </c>
      <c r="G704" s="4" t="s">
        <v>38</v>
      </c>
      <c r="H704" s="4" t="s">
        <v>39</v>
      </c>
      <c r="I704" s="4">
        <v>1</v>
      </c>
      <c r="J704" s="6">
        <v>402.08</v>
      </c>
      <c r="K704" s="7">
        <v>0</v>
      </c>
      <c r="L704" s="6">
        <f t="shared" si="20"/>
        <v>402.08</v>
      </c>
      <c r="M704" s="6">
        <v>360.05</v>
      </c>
      <c r="N704" s="8">
        <f t="shared" si="21"/>
        <v>42.029999999999973</v>
      </c>
      <c r="O704" s="4" t="s">
        <v>84</v>
      </c>
      <c r="P704" s="4" t="s">
        <v>61</v>
      </c>
      <c r="Q704" s="4">
        <v>4</v>
      </c>
      <c r="R704" s="4" t="str">
        <f>TEXT(Table1[[#This Row],[Order Date]],"mmm")</f>
        <v>Sep</v>
      </c>
      <c r="S704" s="4" t="str">
        <f>TEXT(Table1[[#This Row],[Order Date]],"mm")</f>
        <v>09</v>
      </c>
      <c r="T704" s="4" t="str">
        <f>IF(Table1[[#This Row],[Sales]]&lt;0,"loss","profit")</f>
        <v>profit</v>
      </c>
      <c r="U704" s="4" t="str" cm="1">
        <f t="array" ref="U704">_xlfn.IFS(Table1[[#This Row],[Sales]]&gt;2000,"large",Table1[[#This Row],[Sales]]&gt;=500,"medium",Table1[[#This Row],[Sales]]&lt;500,"small")</f>
        <v>small</v>
      </c>
      <c r="V704" s="22">
        <f>Table1[[#This Row],[Profit]]/Table1[[#This Row],[Sales]]*100</f>
        <v>10.453143653004371</v>
      </c>
    </row>
    <row r="705" spans="1:22" x14ac:dyDescent="0.35">
      <c r="A705" s="4" t="s">
        <v>1107</v>
      </c>
      <c r="B705" s="5">
        <v>45916</v>
      </c>
      <c r="C705" s="4" t="s">
        <v>703</v>
      </c>
      <c r="D705" s="4" t="s">
        <v>47</v>
      </c>
      <c r="E705" s="4" t="s">
        <v>29</v>
      </c>
      <c r="F705" s="4" t="s">
        <v>108</v>
      </c>
      <c r="G705" s="4" t="s">
        <v>38</v>
      </c>
      <c r="H705" s="4" t="s">
        <v>39</v>
      </c>
      <c r="I705" s="4">
        <v>2</v>
      </c>
      <c r="J705" s="6">
        <v>338.47</v>
      </c>
      <c r="K705" s="7">
        <v>0.1</v>
      </c>
      <c r="L705" s="6">
        <f t="shared" si="20"/>
        <v>609.24600000000009</v>
      </c>
      <c r="M705" s="6">
        <v>289.42</v>
      </c>
      <c r="N705" s="8">
        <f t="shared" si="21"/>
        <v>30.406000000000063</v>
      </c>
      <c r="O705" s="4" t="s">
        <v>25</v>
      </c>
      <c r="P705" s="4" t="s">
        <v>56</v>
      </c>
      <c r="Q705" s="4">
        <v>3</v>
      </c>
      <c r="R705" s="4" t="str">
        <f>TEXT(Table1[[#This Row],[Order Date]],"mmm")</f>
        <v>Sep</v>
      </c>
      <c r="S705" s="4" t="str">
        <f>TEXT(Table1[[#This Row],[Order Date]],"mm")</f>
        <v>09</v>
      </c>
      <c r="T705" s="4" t="str">
        <f>IF(Table1[[#This Row],[Sales]]&lt;0,"loss","profit")</f>
        <v>profit</v>
      </c>
      <c r="U705" s="4" t="str" cm="1">
        <f t="array" ref="U705">_xlfn.IFS(Table1[[#This Row],[Sales]]&gt;2000,"large",Table1[[#This Row],[Sales]]&gt;=500,"medium",Table1[[#This Row],[Sales]]&lt;500,"small")</f>
        <v>medium</v>
      </c>
      <c r="V705" s="22">
        <f>Table1[[#This Row],[Profit]]/Table1[[#This Row],[Sales]]*100</f>
        <v>4.9907590694071127</v>
      </c>
    </row>
    <row r="706" spans="1:22" x14ac:dyDescent="0.35">
      <c r="A706" s="4" t="s">
        <v>1108</v>
      </c>
      <c r="B706" s="5">
        <v>45916</v>
      </c>
      <c r="C706" s="4" t="s">
        <v>676</v>
      </c>
      <c r="D706" s="4" t="s">
        <v>20</v>
      </c>
      <c r="E706" s="4" t="s">
        <v>87</v>
      </c>
      <c r="F706" s="4" t="s">
        <v>88</v>
      </c>
      <c r="G706" s="4" t="s">
        <v>49</v>
      </c>
      <c r="H706" s="4" t="s">
        <v>50</v>
      </c>
      <c r="I706" s="4">
        <v>2</v>
      </c>
      <c r="J706" s="6">
        <v>34.96</v>
      </c>
      <c r="K706" s="7">
        <v>0.05</v>
      </c>
      <c r="L706" s="6">
        <f t="shared" ref="L706:L769" si="22">I706*J706*(1-K706)</f>
        <v>66.423999999999992</v>
      </c>
      <c r="M706" s="6">
        <v>25.01</v>
      </c>
      <c r="N706" s="8">
        <f t="shared" ref="N706:N769" si="23">L706-I706*M706</f>
        <v>16.403999999999989</v>
      </c>
      <c r="O706" s="4" t="s">
        <v>25</v>
      </c>
      <c r="P706" s="4" t="s">
        <v>33</v>
      </c>
      <c r="Q706" s="4">
        <v>5</v>
      </c>
      <c r="R706" s="4" t="str">
        <f>TEXT(Table1[[#This Row],[Order Date]],"mmm")</f>
        <v>Sep</v>
      </c>
      <c r="S706" s="4" t="str">
        <f>TEXT(Table1[[#This Row],[Order Date]],"mm")</f>
        <v>09</v>
      </c>
      <c r="T706" s="4" t="str">
        <f>IF(Table1[[#This Row],[Sales]]&lt;0,"loss","profit")</f>
        <v>profit</v>
      </c>
      <c r="U706" s="4" t="str" cm="1">
        <f t="array" ref="U706">_xlfn.IFS(Table1[[#This Row],[Sales]]&gt;2000,"large",Table1[[#This Row],[Sales]]&gt;=500,"medium",Table1[[#This Row],[Sales]]&lt;500,"small")</f>
        <v>small</v>
      </c>
      <c r="V706" s="22">
        <f>Table1[[#This Row],[Profit]]/Table1[[#This Row],[Sales]]*100</f>
        <v>24.695893050704552</v>
      </c>
    </row>
    <row r="707" spans="1:22" x14ac:dyDescent="0.35">
      <c r="A707" s="4" t="s">
        <v>1109</v>
      </c>
      <c r="B707" s="5">
        <v>45917</v>
      </c>
      <c r="C707" s="4" t="s">
        <v>826</v>
      </c>
      <c r="D707" s="4" t="s">
        <v>47</v>
      </c>
      <c r="E707" s="4" t="s">
        <v>29</v>
      </c>
      <c r="F707" s="4" t="s">
        <v>54</v>
      </c>
      <c r="G707" s="4" t="s">
        <v>23</v>
      </c>
      <c r="H707" s="4" t="s">
        <v>24</v>
      </c>
      <c r="I707" s="4">
        <v>4</v>
      </c>
      <c r="J707" s="6">
        <v>42.67</v>
      </c>
      <c r="K707" s="7">
        <v>0.05</v>
      </c>
      <c r="L707" s="6">
        <f t="shared" si="22"/>
        <v>162.14599999999999</v>
      </c>
      <c r="M707" s="6">
        <v>26.75</v>
      </c>
      <c r="N707" s="8">
        <f t="shared" si="23"/>
        <v>55.145999999999987</v>
      </c>
      <c r="O707" s="4" t="s">
        <v>40</v>
      </c>
      <c r="P707" s="4" t="s">
        <v>61</v>
      </c>
      <c r="Q707" s="4">
        <v>5</v>
      </c>
      <c r="R707" s="4" t="str">
        <f>TEXT(Table1[[#This Row],[Order Date]],"mmm")</f>
        <v>Sep</v>
      </c>
      <c r="S707" s="4" t="str">
        <f>TEXT(Table1[[#This Row],[Order Date]],"mm")</f>
        <v>09</v>
      </c>
      <c r="T707" s="4" t="str">
        <f>IF(Table1[[#This Row],[Sales]]&lt;0,"loss","profit")</f>
        <v>profit</v>
      </c>
      <c r="U707" s="4" t="str" cm="1">
        <f t="array" ref="U707">_xlfn.IFS(Table1[[#This Row],[Sales]]&gt;2000,"large",Table1[[#This Row],[Sales]]&gt;=500,"medium",Table1[[#This Row],[Sales]]&lt;500,"small")</f>
        <v>small</v>
      </c>
      <c r="V707" s="22">
        <f>Table1[[#This Row],[Profit]]/Table1[[#This Row],[Sales]]*100</f>
        <v>34.010089672270666</v>
      </c>
    </row>
    <row r="708" spans="1:22" x14ac:dyDescent="0.35">
      <c r="A708" s="4" t="s">
        <v>1110</v>
      </c>
      <c r="B708" s="5">
        <v>45917</v>
      </c>
      <c r="C708" s="4" t="s">
        <v>375</v>
      </c>
      <c r="D708" s="4" t="s">
        <v>47</v>
      </c>
      <c r="E708" s="4" t="s">
        <v>36</v>
      </c>
      <c r="F708" s="4" t="s">
        <v>37</v>
      </c>
      <c r="G708" s="4" t="s">
        <v>49</v>
      </c>
      <c r="H708" s="4" t="s">
        <v>50</v>
      </c>
      <c r="I708" s="4">
        <v>3</v>
      </c>
      <c r="J708" s="6">
        <v>43.03</v>
      </c>
      <c r="K708" s="7">
        <v>0.15</v>
      </c>
      <c r="L708" s="6">
        <f t="shared" si="22"/>
        <v>109.7265</v>
      </c>
      <c r="M708" s="6">
        <v>28.24</v>
      </c>
      <c r="N708" s="8">
        <f t="shared" si="23"/>
        <v>25.006500000000003</v>
      </c>
      <c r="O708" s="4" t="s">
        <v>25</v>
      </c>
      <c r="P708" s="4" t="s">
        <v>97</v>
      </c>
      <c r="Q708" s="4">
        <v>3</v>
      </c>
      <c r="R708" s="4" t="str">
        <f>TEXT(Table1[[#This Row],[Order Date]],"mmm")</f>
        <v>Sep</v>
      </c>
      <c r="S708" s="4" t="str">
        <f>TEXT(Table1[[#This Row],[Order Date]],"mm")</f>
        <v>09</v>
      </c>
      <c r="T708" s="4" t="str">
        <f>IF(Table1[[#This Row],[Sales]]&lt;0,"loss","profit")</f>
        <v>profit</v>
      </c>
      <c r="U708" s="4" t="str" cm="1">
        <f t="array" ref="U708">_xlfn.IFS(Table1[[#This Row],[Sales]]&gt;2000,"large",Table1[[#This Row],[Sales]]&gt;=500,"medium",Table1[[#This Row],[Sales]]&lt;500,"small")</f>
        <v>small</v>
      </c>
      <c r="V708" s="22">
        <f>Table1[[#This Row],[Profit]]/Table1[[#This Row],[Sales]]*100</f>
        <v>22.789845661713446</v>
      </c>
    </row>
    <row r="709" spans="1:22" x14ac:dyDescent="0.35">
      <c r="A709" s="4" t="s">
        <v>1111</v>
      </c>
      <c r="B709" s="5">
        <v>45917</v>
      </c>
      <c r="C709" s="4" t="s">
        <v>1031</v>
      </c>
      <c r="D709" s="4" t="s">
        <v>47</v>
      </c>
      <c r="E709" s="4" t="s">
        <v>36</v>
      </c>
      <c r="F709" s="4" t="s">
        <v>48</v>
      </c>
      <c r="G709" s="4" t="s">
        <v>38</v>
      </c>
      <c r="H709" s="4" t="s">
        <v>89</v>
      </c>
      <c r="I709" s="4">
        <v>1</v>
      </c>
      <c r="J709" s="6">
        <v>922.03</v>
      </c>
      <c r="K709" s="7">
        <v>0</v>
      </c>
      <c r="L709" s="6">
        <f t="shared" si="22"/>
        <v>922.03</v>
      </c>
      <c r="M709" s="6">
        <v>722.12</v>
      </c>
      <c r="N709" s="8">
        <f t="shared" si="23"/>
        <v>199.90999999999997</v>
      </c>
      <c r="O709" s="4" t="s">
        <v>84</v>
      </c>
      <c r="P709" s="4" t="s">
        <v>75</v>
      </c>
      <c r="Q709" s="4">
        <v>5</v>
      </c>
      <c r="R709" s="4" t="str">
        <f>TEXT(Table1[[#This Row],[Order Date]],"mmm")</f>
        <v>Sep</v>
      </c>
      <c r="S709" s="4" t="str">
        <f>TEXT(Table1[[#This Row],[Order Date]],"mm")</f>
        <v>09</v>
      </c>
      <c r="T709" s="4" t="str">
        <f>IF(Table1[[#This Row],[Sales]]&lt;0,"loss","profit")</f>
        <v>profit</v>
      </c>
      <c r="U709" s="4" t="str" cm="1">
        <f t="array" ref="U709">_xlfn.IFS(Table1[[#This Row],[Sales]]&gt;2000,"large",Table1[[#This Row],[Sales]]&gt;=500,"medium",Table1[[#This Row],[Sales]]&lt;500,"small")</f>
        <v>medium</v>
      </c>
      <c r="V709" s="22">
        <f>Table1[[#This Row],[Profit]]/Table1[[#This Row],[Sales]]*100</f>
        <v>21.681507109313145</v>
      </c>
    </row>
    <row r="710" spans="1:22" x14ac:dyDescent="0.35">
      <c r="A710" s="4" t="s">
        <v>1112</v>
      </c>
      <c r="B710" s="5">
        <v>45917</v>
      </c>
      <c r="C710" s="4" t="s">
        <v>1113</v>
      </c>
      <c r="D710" s="4" t="s">
        <v>43</v>
      </c>
      <c r="E710" s="4" t="s">
        <v>36</v>
      </c>
      <c r="F710" s="4" t="s">
        <v>48</v>
      </c>
      <c r="G710" s="4" t="s">
        <v>67</v>
      </c>
      <c r="H710" s="4" t="s">
        <v>93</v>
      </c>
      <c r="I710" s="4">
        <v>10</v>
      </c>
      <c r="J710" s="6">
        <v>426.43</v>
      </c>
      <c r="K710" s="7">
        <v>0.05</v>
      </c>
      <c r="L710" s="6">
        <f t="shared" si="22"/>
        <v>4051.085</v>
      </c>
      <c r="M710" s="6">
        <v>338.38</v>
      </c>
      <c r="N710" s="8">
        <f t="shared" si="23"/>
        <v>667.28499999999985</v>
      </c>
      <c r="O710" s="4" t="s">
        <v>60</v>
      </c>
      <c r="P710" s="4" t="s">
        <v>75</v>
      </c>
      <c r="Q710" s="4">
        <v>3</v>
      </c>
      <c r="R710" s="4" t="str">
        <f>TEXT(Table1[[#This Row],[Order Date]],"mmm")</f>
        <v>Sep</v>
      </c>
      <c r="S710" s="4" t="str">
        <f>TEXT(Table1[[#This Row],[Order Date]],"mm")</f>
        <v>09</v>
      </c>
      <c r="T710" s="4" t="str">
        <f>IF(Table1[[#This Row],[Sales]]&lt;0,"loss","profit")</f>
        <v>profit</v>
      </c>
      <c r="U710" s="4" t="str" cm="1">
        <f t="array" ref="U710">_xlfn.IFS(Table1[[#This Row],[Sales]]&gt;2000,"large",Table1[[#This Row],[Sales]]&gt;=500,"medium",Table1[[#This Row],[Sales]]&lt;500,"small")</f>
        <v>large</v>
      </c>
      <c r="V710" s="22">
        <f>Table1[[#This Row],[Profit]]/Table1[[#This Row],[Sales]]*100</f>
        <v>16.471760034657379</v>
      </c>
    </row>
    <row r="711" spans="1:22" x14ac:dyDescent="0.35">
      <c r="A711" s="4" t="s">
        <v>1114</v>
      </c>
      <c r="B711" s="5">
        <v>45917</v>
      </c>
      <c r="C711" s="4" t="s">
        <v>633</v>
      </c>
      <c r="D711" s="4" t="s">
        <v>43</v>
      </c>
      <c r="E711" s="4" t="s">
        <v>29</v>
      </c>
      <c r="F711" s="4" t="s">
        <v>108</v>
      </c>
      <c r="G711" s="4" t="s">
        <v>49</v>
      </c>
      <c r="H711" s="4" t="s">
        <v>50</v>
      </c>
      <c r="I711" s="4">
        <v>1</v>
      </c>
      <c r="J711" s="6">
        <v>49.26</v>
      </c>
      <c r="K711" s="7">
        <v>0.1</v>
      </c>
      <c r="L711" s="6">
        <f t="shared" si="22"/>
        <v>44.333999999999996</v>
      </c>
      <c r="M711" s="6">
        <v>29.54</v>
      </c>
      <c r="N711" s="8">
        <f t="shared" si="23"/>
        <v>14.793999999999997</v>
      </c>
      <c r="O711" s="4" t="s">
        <v>84</v>
      </c>
      <c r="P711" s="4" t="s">
        <v>56</v>
      </c>
      <c r="Q711" s="4">
        <v>4</v>
      </c>
      <c r="R711" s="4" t="str">
        <f>TEXT(Table1[[#This Row],[Order Date]],"mmm")</f>
        <v>Sep</v>
      </c>
      <c r="S711" s="4" t="str">
        <f>TEXT(Table1[[#This Row],[Order Date]],"mm")</f>
        <v>09</v>
      </c>
      <c r="T711" s="4" t="str">
        <f>IF(Table1[[#This Row],[Sales]]&lt;0,"loss","profit")</f>
        <v>profit</v>
      </c>
      <c r="U711" s="4" t="str" cm="1">
        <f t="array" ref="U711">_xlfn.IFS(Table1[[#This Row],[Sales]]&gt;2000,"large",Table1[[#This Row],[Sales]]&gt;=500,"medium",Table1[[#This Row],[Sales]]&lt;500,"small")</f>
        <v>small</v>
      </c>
      <c r="V711" s="22">
        <f>Table1[[#This Row],[Profit]]/Table1[[#This Row],[Sales]]*100</f>
        <v>33.369423016195242</v>
      </c>
    </row>
    <row r="712" spans="1:22" x14ac:dyDescent="0.35">
      <c r="A712" s="4" t="s">
        <v>1115</v>
      </c>
      <c r="B712" s="5">
        <v>45918</v>
      </c>
      <c r="C712" s="4" t="s">
        <v>448</v>
      </c>
      <c r="D712" s="4" t="s">
        <v>43</v>
      </c>
      <c r="E712" s="4" t="s">
        <v>21</v>
      </c>
      <c r="F712" s="4" t="s">
        <v>59</v>
      </c>
      <c r="G712" s="4" t="s">
        <v>49</v>
      </c>
      <c r="H712" s="4" t="s">
        <v>50</v>
      </c>
      <c r="I712" s="4">
        <v>4</v>
      </c>
      <c r="J712" s="6">
        <v>31.08</v>
      </c>
      <c r="K712" s="7">
        <v>0.05</v>
      </c>
      <c r="L712" s="6">
        <f t="shared" si="22"/>
        <v>118.10399999999998</v>
      </c>
      <c r="M712" s="6">
        <v>18.489999999999998</v>
      </c>
      <c r="N712" s="8">
        <f t="shared" si="23"/>
        <v>44.143999999999991</v>
      </c>
      <c r="O712" s="4" t="s">
        <v>84</v>
      </c>
      <c r="P712" s="4" t="s">
        <v>61</v>
      </c>
      <c r="Q712" s="4">
        <v>4</v>
      </c>
      <c r="R712" s="4" t="str">
        <f>TEXT(Table1[[#This Row],[Order Date]],"mmm")</f>
        <v>Sep</v>
      </c>
      <c r="S712" s="4" t="str">
        <f>TEXT(Table1[[#This Row],[Order Date]],"mm")</f>
        <v>09</v>
      </c>
      <c r="T712" s="4" t="str">
        <f>IF(Table1[[#This Row],[Sales]]&lt;0,"loss","profit")</f>
        <v>profit</v>
      </c>
      <c r="U712" s="4" t="str" cm="1">
        <f t="array" ref="U712">_xlfn.IFS(Table1[[#This Row],[Sales]]&gt;2000,"large",Table1[[#This Row],[Sales]]&gt;=500,"medium",Table1[[#This Row],[Sales]]&lt;500,"small")</f>
        <v>small</v>
      </c>
      <c r="V712" s="22">
        <f>Table1[[#This Row],[Profit]]/Table1[[#This Row],[Sales]]*100</f>
        <v>37.377226850911057</v>
      </c>
    </row>
    <row r="713" spans="1:22" x14ac:dyDescent="0.35">
      <c r="A713" s="4" t="s">
        <v>1116</v>
      </c>
      <c r="B713" s="5">
        <v>45918</v>
      </c>
      <c r="C713" s="4" t="s">
        <v>42</v>
      </c>
      <c r="D713" s="4" t="s">
        <v>20</v>
      </c>
      <c r="E713" s="4" t="s">
        <v>87</v>
      </c>
      <c r="F713" s="4" t="s">
        <v>124</v>
      </c>
      <c r="G713" s="4" t="s">
        <v>38</v>
      </c>
      <c r="H713" s="4" t="s">
        <v>89</v>
      </c>
      <c r="I713" s="4">
        <v>3</v>
      </c>
      <c r="J713" s="6">
        <v>1364.61</v>
      </c>
      <c r="K713" s="7">
        <v>0.1</v>
      </c>
      <c r="L713" s="6">
        <f t="shared" si="22"/>
        <v>3684.4470000000001</v>
      </c>
      <c r="M713" s="6">
        <v>1180.75</v>
      </c>
      <c r="N713" s="8">
        <f t="shared" si="23"/>
        <v>142.19700000000012</v>
      </c>
      <c r="O713" s="4" t="s">
        <v>51</v>
      </c>
      <c r="P713" s="4" t="s">
        <v>118</v>
      </c>
      <c r="Q713" s="4">
        <v>4</v>
      </c>
      <c r="R713" s="4" t="str">
        <f>TEXT(Table1[[#This Row],[Order Date]],"mmm")</f>
        <v>Sep</v>
      </c>
      <c r="S713" s="4" t="str">
        <f>TEXT(Table1[[#This Row],[Order Date]],"mm")</f>
        <v>09</v>
      </c>
      <c r="T713" s="4" t="str">
        <f>IF(Table1[[#This Row],[Sales]]&lt;0,"loss","profit")</f>
        <v>profit</v>
      </c>
      <c r="U713" s="4" t="str" cm="1">
        <f t="array" ref="U713">_xlfn.IFS(Table1[[#This Row],[Sales]]&gt;2000,"large",Table1[[#This Row],[Sales]]&gt;=500,"medium",Table1[[#This Row],[Sales]]&lt;500,"small")</f>
        <v>large</v>
      </c>
      <c r="V713" s="22">
        <f>Table1[[#This Row],[Profit]]/Table1[[#This Row],[Sales]]*100</f>
        <v>3.8593851397509615</v>
      </c>
    </row>
    <row r="714" spans="1:22" x14ac:dyDescent="0.35">
      <c r="A714" s="4" t="s">
        <v>1117</v>
      </c>
      <c r="B714" s="5">
        <v>45918</v>
      </c>
      <c r="C714" s="4" t="s">
        <v>195</v>
      </c>
      <c r="D714" s="4" t="s">
        <v>47</v>
      </c>
      <c r="E714" s="4" t="s">
        <v>29</v>
      </c>
      <c r="F714" s="4" t="s">
        <v>54</v>
      </c>
      <c r="G714" s="4" t="s">
        <v>38</v>
      </c>
      <c r="H714" s="4" t="s">
        <v>55</v>
      </c>
      <c r="I714" s="4">
        <v>6</v>
      </c>
      <c r="J714" s="6">
        <v>127.29</v>
      </c>
      <c r="K714" s="7">
        <v>0.1</v>
      </c>
      <c r="L714" s="6">
        <f t="shared" si="22"/>
        <v>687.36599999999999</v>
      </c>
      <c r="M714" s="6">
        <v>98.22</v>
      </c>
      <c r="N714" s="8">
        <f t="shared" si="23"/>
        <v>98.046000000000049</v>
      </c>
      <c r="O714" s="4" t="s">
        <v>84</v>
      </c>
      <c r="P714" s="4" t="s">
        <v>56</v>
      </c>
      <c r="Q714" s="4">
        <v>5</v>
      </c>
      <c r="R714" s="4" t="str">
        <f>TEXT(Table1[[#This Row],[Order Date]],"mmm")</f>
        <v>Sep</v>
      </c>
      <c r="S714" s="4" t="str">
        <f>TEXT(Table1[[#This Row],[Order Date]],"mm")</f>
        <v>09</v>
      </c>
      <c r="T714" s="4" t="str">
        <f>IF(Table1[[#This Row],[Sales]]&lt;0,"loss","profit")</f>
        <v>profit</v>
      </c>
      <c r="U714" s="4" t="str" cm="1">
        <f t="array" ref="U714">_xlfn.IFS(Table1[[#This Row],[Sales]]&gt;2000,"large",Table1[[#This Row],[Sales]]&gt;=500,"medium",Table1[[#This Row],[Sales]]&lt;500,"small")</f>
        <v>medium</v>
      </c>
      <c r="V714" s="22">
        <f>Table1[[#This Row],[Profit]]/Table1[[#This Row],[Sales]]*100</f>
        <v>14.264016550134869</v>
      </c>
    </row>
    <row r="715" spans="1:22" x14ac:dyDescent="0.35">
      <c r="A715" s="4" t="s">
        <v>1118</v>
      </c>
      <c r="B715" s="5">
        <v>45919</v>
      </c>
      <c r="C715" s="4" t="s">
        <v>213</v>
      </c>
      <c r="D715" s="4" t="s">
        <v>43</v>
      </c>
      <c r="E715" s="4" t="s">
        <v>36</v>
      </c>
      <c r="F715" s="4" t="s">
        <v>37</v>
      </c>
      <c r="G715" s="4" t="s">
        <v>23</v>
      </c>
      <c r="H715" s="4" t="s">
        <v>44</v>
      </c>
      <c r="I715" s="4">
        <v>5</v>
      </c>
      <c r="J715" s="6">
        <v>51.69</v>
      </c>
      <c r="K715" s="7">
        <v>0.1</v>
      </c>
      <c r="L715" s="6">
        <f t="shared" si="22"/>
        <v>232.60499999999999</v>
      </c>
      <c r="M715" s="6">
        <v>33.409999999999997</v>
      </c>
      <c r="N715" s="8">
        <f t="shared" si="23"/>
        <v>65.555000000000007</v>
      </c>
      <c r="O715" s="4" t="s">
        <v>60</v>
      </c>
      <c r="P715" s="4" t="s">
        <v>26</v>
      </c>
      <c r="Q715" s="4">
        <v>3</v>
      </c>
      <c r="R715" s="4" t="str">
        <f>TEXT(Table1[[#This Row],[Order Date]],"mmm")</f>
        <v>Sep</v>
      </c>
      <c r="S715" s="4" t="str">
        <f>TEXT(Table1[[#This Row],[Order Date]],"mm")</f>
        <v>09</v>
      </c>
      <c r="T715" s="4" t="str">
        <f>IF(Table1[[#This Row],[Sales]]&lt;0,"loss","profit")</f>
        <v>profit</v>
      </c>
      <c r="U715" s="4" t="str" cm="1">
        <f t="array" ref="U715">_xlfn.IFS(Table1[[#This Row],[Sales]]&gt;2000,"large",Table1[[#This Row],[Sales]]&gt;=500,"medium",Table1[[#This Row],[Sales]]&lt;500,"small")</f>
        <v>small</v>
      </c>
      <c r="V715" s="22">
        <f>Table1[[#This Row],[Profit]]/Table1[[#This Row],[Sales]]*100</f>
        <v>28.182971131317043</v>
      </c>
    </row>
    <row r="716" spans="1:22" x14ac:dyDescent="0.35">
      <c r="A716" s="4" t="s">
        <v>1119</v>
      </c>
      <c r="B716" s="5">
        <v>45919</v>
      </c>
      <c r="C716" s="4" t="s">
        <v>1120</v>
      </c>
      <c r="D716" s="4" t="s">
        <v>43</v>
      </c>
      <c r="E716" s="4" t="s">
        <v>36</v>
      </c>
      <c r="F716" s="4" t="s">
        <v>48</v>
      </c>
      <c r="G716" s="4" t="s">
        <v>49</v>
      </c>
      <c r="H716" s="4" t="s">
        <v>128</v>
      </c>
      <c r="I716" s="4">
        <v>1</v>
      </c>
      <c r="J716" s="6">
        <v>33.520000000000003</v>
      </c>
      <c r="K716" s="7">
        <v>0.1</v>
      </c>
      <c r="L716" s="6">
        <f t="shared" si="22"/>
        <v>30.168000000000003</v>
      </c>
      <c r="M716" s="6">
        <v>21.28</v>
      </c>
      <c r="N716" s="8">
        <f t="shared" si="23"/>
        <v>8.8880000000000017</v>
      </c>
      <c r="O716" s="4" t="s">
        <v>40</v>
      </c>
      <c r="P716" s="4" t="s">
        <v>33</v>
      </c>
      <c r="Q716" s="4">
        <v>5</v>
      </c>
      <c r="R716" s="4" t="str">
        <f>TEXT(Table1[[#This Row],[Order Date]],"mmm")</f>
        <v>Sep</v>
      </c>
      <c r="S716" s="4" t="str">
        <f>TEXT(Table1[[#This Row],[Order Date]],"mm")</f>
        <v>09</v>
      </c>
      <c r="T716" s="4" t="str">
        <f>IF(Table1[[#This Row],[Sales]]&lt;0,"loss","profit")</f>
        <v>profit</v>
      </c>
      <c r="U716" s="4" t="str" cm="1">
        <f t="array" ref="U716">_xlfn.IFS(Table1[[#This Row],[Sales]]&gt;2000,"large",Table1[[#This Row],[Sales]]&gt;=500,"medium",Table1[[#This Row],[Sales]]&lt;500,"small")</f>
        <v>small</v>
      </c>
      <c r="V716" s="22">
        <f>Table1[[#This Row],[Profit]]/Table1[[#This Row],[Sales]]*100</f>
        <v>29.461681251657389</v>
      </c>
    </row>
    <row r="717" spans="1:22" x14ac:dyDescent="0.35">
      <c r="A717" s="4" t="s">
        <v>1121</v>
      </c>
      <c r="B717" s="5">
        <v>45921</v>
      </c>
      <c r="C717" s="4" t="s">
        <v>1004</v>
      </c>
      <c r="D717" s="4" t="s">
        <v>20</v>
      </c>
      <c r="E717" s="4" t="s">
        <v>29</v>
      </c>
      <c r="F717" s="4" t="s">
        <v>54</v>
      </c>
      <c r="G717" s="4" t="s">
        <v>23</v>
      </c>
      <c r="H717" s="4" t="s">
        <v>24</v>
      </c>
      <c r="I717" s="4">
        <v>2</v>
      </c>
      <c r="J717" s="6">
        <v>86.09</v>
      </c>
      <c r="K717" s="7">
        <v>0</v>
      </c>
      <c r="L717" s="6">
        <f t="shared" si="22"/>
        <v>172.18</v>
      </c>
      <c r="M717" s="6">
        <v>35.049999999999997</v>
      </c>
      <c r="N717" s="8">
        <f t="shared" si="23"/>
        <v>102.08000000000001</v>
      </c>
      <c r="O717" s="4" t="s">
        <v>84</v>
      </c>
      <c r="P717" s="4" t="s">
        <v>26</v>
      </c>
      <c r="Q717" s="4">
        <v>4</v>
      </c>
      <c r="R717" s="4" t="str">
        <f>TEXT(Table1[[#This Row],[Order Date]],"mmm")</f>
        <v>Sep</v>
      </c>
      <c r="S717" s="4" t="str">
        <f>TEXT(Table1[[#This Row],[Order Date]],"mm")</f>
        <v>09</v>
      </c>
      <c r="T717" s="4" t="str">
        <f>IF(Table1[[#This Row],[Sales]]&lt;0,"loss","profit")</f>
        <v>profit</v>
      </c>
      <c r="U717" s="4" t="str" cm="1">
        <f t="array" ref="U717">_xlfn.IFS(Table1[[#This Row],[Sales]]&gt;2000,"large",Table1[[#This Row],[Sales]]&gt;=500,"medium",Table1[[#This Row],[Sales]]&lt;500,"small")</f>
        <v>small</v>
      </c>
      <c r="V717" s="22">
        <f>Table1[[#This Row],[Profit]]/Table1[[#This Row],[Sales]]*100</f>
        <v>59.286792891160424</v>
      </c>
    </row>
    <row r="718" spans="1:22" x14ac:dyDescent="0.35">
      <c r="A718" s="4" t="s">
        <v>1122</v>
      </c>
      <c r="B718" s="5">
        <v>45921</v>
      </c>
      <c r="C718" s="4" t="s">
        <v>168</v>
      </c>
      <c r="D718" s="4" t="s">
        <v>20</v>
      </c>
      <c r="E718" s="4" t="s">
        <v>29</v>
      </c>
      <c r="F718" s="4" t="s">
        <v>30</v>
      </c>
      <c r="G718" s="4" t="s">
        <v>31</v>
      </c>
      <c r="H718" s="4" t="s">
        <v>64</v>
      </c>
      <c r="I718" s="4">
        <v>5</v>
      </c>
      <c r="J718" s="6">
        <v>118.47</v>
      </c>
      <c r="K718" s="7">
        <v>0.2</v>
      </c>
      <c r="L718" s="6">
        <f t="shared" si="22"/>
        <v>473.88000000000005</v>
      </c>
      <c r="M718" s="6">
        <v>72.69</v>
      </c>
      <c r="N718" s="8">
        <f t="shared" si="23"/>
        <v>110.43000000000006</v>
      </c>
      <c r="O718" s="4" t="s">
        <v>60</v>
      </c>
      <c r="P718" s="4" t="s">
        <v>72</v>
      </c>
      <c r="Q718" s="4">
        <v>4</v>
      </c>
      <c r="R718" s="4" t="str">
        <f>TEXT(Table1[[#This Row],[Order Date]],"mmm")</f>
        <v>Sep</v>
      </c>
      <c r="S718" s="4" t="str">
        <f>TEXT(Table1[[#This Row],[Order Date]],"mm")</f>
        <v>09</v>
      </c>
      <c r="T718" s="4" t="str">
        <f>IF(Table1[[#This Row],[Sales]]&lt;0,"loss","profit")</f>
        <v>profit</v>
      </c>
      <c r="U718" s="4" t="str" cm="1">
        <f t="array" ref="U718">_xlfn.IFS(Table1[[#This Row],[Sales]]&gt;2000,"large",Table1[[#This Row],[Sales]]&gt;=500,"medium",Table1[[#This Row],[Sales]]&lt;500,"small")</f>
        <v>small</v>
      </c>
      <c r="V718" s="22">
        <f>Table1[[#This Row],[Profit]]/Table1[[#This Row],[Sales]]*100</f>
        <v>23.303367941250961</v>
      </c>
    </row>
    <row r="719" spans="1:22" x14ac:dyDescent="0.35">
      <c r="A719" s="4" t="s">
        <v>1123</v>
      </c>
      <c r="B719" s="5">
        <v>45922</v>
      </c>
      <c r="C719" s="4" t="s">
        <v>195</v>
      </c>
      <c r="D719" s="4" t="s">
        <v>43</v>
      </c>
      <c r="E719" s="4" t="s">
        <v>87</v>
      </c>
      <c r="F719" s="4" t="s">
        <v>124</v>
      </c>
      <c r="G719" s="4" t="s">
        <v>23</v>
      </c>
      <c r="H719" s="4" t="s">
        <v>24</v>
      </c>
      <c r="I719" s="4">
        <v>2</v>
      </c>
      <c r="J719" s="6">
        <v>80.45</v>
      </c>
      <c r="K719" s="7">
        <v>0</v>
      </c>
      <c r="L719" s="6">
        <f t="shared" si="22"/>
        <v>160.9</v>
      </c>
      <c r="M719" s="6">
        <v>46.45</v>
      </c>
      <c r="N719" s="8">
        <f t="shared" si="23"/>
        <v>68</v>
      </c>
      <c r="O719" s="4" t="s">
        <v>60</v>
      </c>
      <c r="P719" s="4" t="s">
        <v>118</v>
      </c>
      <c r="Q719" s="4">
        <v>4</v>
      </c>
      <c r="R719" s="4" t="str">
        <f>TEXT(Table1[[#This Row],[Order Date]],"mmm")</f>
        <v>Sep</v>
      </c>
      <c r="S719" s="4" t="str">
        <f>TEXT(Table1[[#This Row],[Order Date]],"mm")</f>
        <v>09</v>
      </c>
      <c r="T719" s="4" t="str">
        <f>IF(Table1[[#This Row],[Sales]]&lt;0,"loss","profit")</f>
        <v>profit</v>
      </c>
      <c r="U719" s="4" t="str" cm="1">
        <f t="array" ref="U719">_xlfn.IFS(Table1[[#This Row],[Sales]]&gt;2000,"large",Table1[[#This Row],[Sales]]&gt;=500,"medium",Table1[[#This Row],[Sales]]&lt;500,"small")</f>
        <v>small</v>
      </c>
      <c r="V719" s="22">
        <f>Table1[[#This Row],[Profit]]/Table1[[#This Row],[Sales]]*100</f>
        <v>42.262274704785582</v>
      </c>
    </row>
    <row r="720" spans="1:22" x14ac:dyDescent="0.35">
      <c r="A720" s="4" t="s">
        <v>1124</v>
      </c>
      <c r="B720" s="5">
        <v>45922</v>
      </c>
      <c r="C720" s="4" t="s">
        <v>123</v>
      </c>
      <c r="D720" s="4" t="s">
        <v>47</v>
      </c>
      <c r="E720" s="4" t="s">
        <v>21</v>
      </c>
      <c r="F720" s="4" t="s">
        <v>81</v>
      </c>
      <c r="G720" s="4" t="s">
        <v>23</v>
      </c>
      <c r="H720" s="4" t="s">
        <v>44</v>
      </c>
      <c r="I720" s="4">
        <v>4</v>
      </c>
      <c r="J720" s="6">
        <v>53.09</v>
      </c>
      <c r="K720" s="7">
        <v>0</v>
      </c>
      <c r="L720" s="6">
        <f t="shared" si="22"/>
        <v>212.36</v>
      </c>
      <c r="M720" s="6">
        <v>32.119999999999997</v>
      </c>
      <c r="N720" s="8">
        <f t="shared" si="23"/>
        <v>83.880000000000024</v>
      </c>
      <c r="O720" s="4" t="s">
        <v>25</v>
      </c>
      <c r="P720" s="4" t="s">
        <v>118</v>
      </c>
      <c r="Q720" s="4">
        <v>5</v>
      </c>
      <c r="R720" s="4" t="str">
        <f>TEXT(Table1[[#This Row],[Order Date]],"mmm")</f>
        <v>Sep</v>
      </c>
      <c r="S720" s="4" t="str">
        <f>TEXT(Table1[[#This Row],[Order Date]],"mm")</f>
        <v>09</v>
      </c>
      <c r="T720" s="4" t="str">
        <f>IF(Table1[[#This Row],[Sales]]&lt;0,"loss","profit")</f>
        <v>profit</v>
      </c>
      <c r="U720" s="4" t="str" cm="1">
        <f t="array" ref="U720">_xlfn.IFS(Table1[[#This Row],[Sales]]&gt;2000,"large",Table1[[#This Row],[Sales]]&gt;=500,"medium",Table1[[#This Row],[Sales]]&lt;500,"small")</f>
        <v>small</v>
      </c>
      <c r="V720" s="22">
        <f>Table1[[#This Row],[Profit]]/Table1[[#This Row],[Sales]]*100</f>
        <v>39.498964023356578</v>
      </c>
    </row>
    <row r="721" spans="1:22" x14ac:dyDescent="0.35">
      <c r="A721" s="4" t="s">
        <v>1125</v>
      </c>
      <c r="B721" s="5">
        <v>45923</v>
      </c>
      <c r="C721" s="4" t="s">
        <v>589</v>
      </c>
      <c r="D721" s="4" t="s">
        <v>47</v>
      </c>
      <c r="E721" s="4" t="s">
        <v>87</v>
      </c>
      <c r="F721" s="4" t="s">
        <v>92</v>
      </c>
      <c r="G721" s="4" t="s">
        <v>23</v>
      </c>
      <c r="H721" s="4" t="s">
        <v>44</v>
      </c>
      <c r="I721" s="4">
        <v>1</v>
      </c>
      <c r="J721" s="6">
        <v>53.72</v>
      </c>
      <c r="K721" s="7">
        <v>0</v>
      </c>
      <c r="L721" s="6">
        <f t="shared" si="22"/>
        <v>53.72</v>
      </c>
      <c r="M721" s="6">
        <v>28.81</v>
      </c>
      <c r="N721" s="8">
        <f t="shared" si="23"/>
        <v>24.91</v>
      </c>
      <c r="O721" s="4" t="s">
        <v>51</v>
      </c>
      <c r="P721" s="4" t="s">
        <v>97</v>
      </c>
      <c r="Q721" s="4">
        <v>2</v>
      </c>
      <c r="R721" s="4" t="str">
        <f>TEXT(Table1[[#This Row],[Order Date]],"mmm")</f>
        <v>Sep</v>
      </c>
      <c r="S721" s="4" t="str">
        <f>TEXT(Table1[[#This Row],[Order Date]],"mm")</f>
        <v>09</v>
      </c>
      <c r="T721" s="4" t="str">
        <f>IF(Table1[[#This Row],[Sales]]&lt;0,"loss","profit")</f>
        <v>profit</v>
      </c>
      <c r="U721" s="4" t="str" cm="1">
        <f t="array" ref="U721">_xlfn.IFS(Table1[[#This Row],[Sales]]&gt;2000,"large",Table1[[#This Row],[Sales]]&gt;=500,"medium",Table1[[#This Row],[Sales]]&lt;500,"small")</f>
        <v>small</v>
      </c>
      <c r="V721" s="22">
        <f>Table1[[#This Row],[Profit]]/Table1[[#This Row],[Sales]]*100</f>
        <v>46.37006701414743</v>
      </c>
    </row>
    <row r="722" spans="1:22" x14ac:dyDescent="0.35">
      <c r="A722" s="4" t="s">
        <v>1126</v>
      </c>
      <c r="B722" s="5">
        <v>45924</v>
      </c>
      <c r="C722" s="4" t="s">
        <v>1127</v>
      </c>
      <c r="D722" s="4" t="s">
        <v>43</v>
      </c>
      <c r="E722" s="4" t="s">
        <v>87</v>
      </c>
      <c r="F722" s="4" t="s">
        <v>88</v>
      </c>
      <c r="G722" s="4" t="s">
        <v>31</v>
      </c>
      <c r="H722" s="4" t="s">
        <v>32</v>
      </c>
      <c r="I722" s="4">
        <v>8</v>
      </c>
      <c r="J722" s="6">
        <v>392.93</v>
      </c>
      <c r="K722" s="7">
        <v>0.1</v>
      </c>
      <c r="L722" s="6">
        <f t="shared" si="22"/>
        <v>2829.096</v>
      </c>
      <c r="M722" s="6">
        <v>277.93</v>
      </c>
      <c r="N722" s="8">
        <f t="shared" si="23"/>
        <v>605.65599999999995</v>
      </c>
      <c r="O722" s="4" t="s">
        <v>84</v>
      </c>
      <c r="P722" s="4" t="s">
        <v>56</v>
      </c>
      <c r="Q722" s="4">
        <v>3</v>
      </c>
      <c r="R722" s="4" t="str">
        <f>TEXT(Table1[[#This Row],[Order Date]],"mmm")</f>
        <v>Sep</v>
      </c>
      <c r="S722" s="4" t="str">
        <f>TEXT(Table1[[#This Row],[Order Date]],"mm")</f>
        <v>09</v>
      </c>
      <c r="T722" s="4" t="str">
        <f>IF(Table1[[#This Row],[Sales]]&lt;0,"loss","profit")</f>
        <v>profit</v>
      </c>
      <c r="U722" s="4" t="str" cm="1">
        <f t="array" ref="U722">_xlfn.IFS(Table1[[#This Row],[Sales]]&gt;2000,"large",Table1[[#This Row],[Sales]]&gt;=500,"medium",Table1[[#This Row],[Sales]]&lt;500,"small")</f>
        <v>large</v>
      </c>
      <c r="V722" s="22">
        <f>Table1[[#This Row],[Profit]]/Table1[[#This Row],[Sales]]*100</f>
        <v>21.408110576664772</v>
      </c>
    </row>
    <row r="723" spans="1:22" x14ac:dyDescent="0.35">
      <c r="A723" s="4" t="s">
        <v>1128</v>
      </c>
      <c r="B723" s="5">
        <v>45924</v>
      </c>
      <c r="C723" s="4" t="s">
        <v>1129</v>
      </c>
      <c r="D723" s="4" t="s">
        <v>47</v>
      </c>
      <c r="E723" s="4" t="s">
        <v>29</v>
      </c>
      <c r="F723" s="4" t="s">
        <v>108</v>
      </c>
      <c r="G723" s="4" t="s">
        <v>67</v>
      </c>
      <c r="H723" s="4" t="s">
        <v>121</v>
      </c>
      <c r="I723" s="4">
        <v>1</v>
      </c>
      <c r="J723" s="6">
        <v>190.38</v>
      </c>
      <c r="K723" s="7">
        <v>0.15</v>
      </c>
      <c r="L723" s="6">
        <f t="shared" si="22"/>
        <v>161.82299999999998</v>
      </c>
      <c r="M723" s="6">
        <v>125.19</v>
      </c>
      <c r="N723" s="8">
        <f t="shared" si="23"/>
        <v>36.632999999999981</v>
      </c>
      <c r="O723" s="4" t="s">
        <v>60</v>
      </c>
      <c r="P723" s="4" t="s">
        <v>97</v>
      </c>
      <c r="Q723" s="4">
        <v>4</v>
      </c>
      <c r="R723" s="4" t="str">
        <f>TEXT(Table1[[#This Row],[Order Date]],"mmm")</f>
        <v>Sep</v>
      </c>
      <c r="S723" s="4" t="str">
        <f>TEXT(Table1[[#This Row],[Order Date]],"mm")</f>
        <v>09</v>
      </c>
      <c r="T723" s="4" t="str">
        <f>IF(Table1[[#This Row],[Sales]]&lt;0,"loss","profit")</f>
        <v>profit</v>
      </c>
      <c r="U723" s="4" t="str" cm="1">
        <f t="array" ref="U723">_xlfn.IFS(Table1[[#This Row],[Sales]]&gt;2000,"large",Table1[[#This Row],[Sales]]&gt;=500,"medium",Table1[[#This Row],[Sales]]&lt;500,"small")</f>
        <v>small</v>
      </c>
      <c r="V723" s="22">
        <f>Table1[[#This Row],[Profit]]/Table1[[#This Row],[Sales]]*100</f>
        <v>22.637696742737425</v>
      </c>
    </row>
    <row r="724" spans="1:22" x14ac:dyDescent="0.35">
      <c r="A724" s="4" t="s">
        <v>1130</v>
      </c>
      <c r="B724" s="5">
        <v>45925</v>
      </c>
      <c r="C724" s="4" t="s">
        <v>450</v>
      </c>
      <c r="D724" s="4" t="s">
        <v>43</v>
      </c>
      <c r="E724" s="4" t="s">
        <v>29</v>
      </c>
      <c r="F724" s="4" t="s">
        <v>30</v>
      </c>
      <c r="G724" s="4" t="s">
        <v>31</v>
      </c>
      <c r="H724" s="4" t="s">
        <v>125</v>
      </c>
      <c r="I724" s="4">
        <v>2</v>
      </c>
      <c r="J724" s="6">
        <v>63.76</v>
      </c>
      <c r="K724" s="7">
        <v>0.1</v>
      </c>
      <c r="L724" s="6">
        <f t="shared" si="22"/>
        <v>114.768</v>
      </c>
      <c r="M724" s="6">
        <v>35.81</v>
      </c>
      <c r="N724" s="8">
        <f t="shared" si="23"/>
        <v>43.147999999999996</v>
      </c>
      <c r="O724" s="4" t="s">
        <v>25</v>
      </c>
      <c r="P724" s="4" t="s">
        <v>97</v>
      </c>
      <c r="Q724" s="4">
        <v>5</v>
      </c>
      <c r="R724" s="4" t="str">
        <f>TEXT(Table1[[#This Row],[Order Date]],"mmm")</f>
        <v>Sep</v>
      </c>
      <c r="S724" s="4" t="str">
        <f>TEXT(Table1[[#This Row],[Order Date]],"mm")</f>
        <v>09</v>
      </c>
      <c r="T724" s="4" t="str">
        <f>IF(Table1[[#This Row],[Sales]]&lt;0,"loss","profit")</f>
        <v>profit</v>
      </c>
      <c r="U724" s="4" t="str" cm="1">
        <f t="array" ref="U724">_xlfn.IFS(Table1[[#This Row],[Sales]]&gt;2000,"large",Table1[[#This Row],[Sales]]&gt;=500,"medium",Table1[[#This Row],[Sales]]&lt;500,"small")</f>
        <v>small</v>
      </c>
      <c r="V724" s="22">
        <f>Table1[[#This Row],[Profit]]/Table1[[#This Row],[Sales]]*100</f>
        <v>37.595845531855566</v>
      </c>
    </row>
    <row r="725" spans="1:22" x14ac:dyDescent="0.35">
      <c r="A725" s="4" t="s">
        <v>1131</v>
      </c>
      <c r="B725" s="5">
        <v>45925</v>
      </c>
      <c r="C725" s="4" t="s">
        <v>899</v>
      </c>
      <c r="D725" s="4" t="s">
        <v>20</v>
      </c>
      <c r="E725" s="4" t="s">
        <v>87</v>
      </c>
      <c r="F725" s="4" t="s">
        <v>92</v>
      </c>
      <c r="G725" s="4" t="s">
        <v>23</v>
      </c>
      <c r="H725" s="4" t="s">
        <v>24</v>
      </c>
      <c r="I725" s="4">
        <v>3</v>
      </c>
      <c r="J725" s="6">
        <v>30.06</v>
      </c>
      <c r="K725" s="7">
        <v>0.15</v>
      </c>
      <c r="L725" s="6">
        <f t="shared" si="22"/>
        <v>76.652999999999992</v>
      </c>
      <c r="M725" s="6">
        <v>14.52</v>
      </c>
      <c r="N725" s="8">
        <f t="shared" si="23"/>
        <v>33.092999999999989</v>
      </c>
      <c r="O725" s="4" t="s">
        <v>25</v>
      </c>
      <c r="P725" s="4" t="s">
        <v>75</v>
      </c>
      <c r="Q725" s="4">
        <v>3</v>
      </c>
      <c r="R725" s="4" t="str">
        <f>TEXT(Table1[[#This Row],[Order Date]],"mmm")</f>
        <v>Sep</v>
      </c>
      <c r="S725" s="4" t="str">
        <f>TEXT(Table1[[#This Row],[Order Date]],"mm")</f>
        <v>09</v>
      </c>
      <c r="T725" s="4" t="str">
        <f>IF(Table1[[#This Row],[Sales]]&lt;0,"loss","profit")</f>
        <v>profit</v>
      </c>
      <c r="U725" s="4" t="str" cm="1">
        <f t="array" ref="U725">_xlfn.IFS(Table1[[#This Row],[Sales]]&gt;2000,"large",Table1[[#This Row],[Sales]]&gt;=500,"medium",Table1[[#This Row],[Sales]]&lt;500,"small")</f>
        <v>small</v>
      </c>
      <c r="V725" s="22">
        <f>Table1[[#This Row],[Profit]]/Table1[[#This Row],[Sales]]*100</f>
        <v>43.172478572267217</v>
      </c>
    </row>
    <row r="726" spans="1:22" x14ac:dyDescent="0.35">
      <c r="A726" s="4" t="s">
        <v>1132</v>
      </c>
      <c r="B726" s="5">
        <v>45925</v>
      </c>
      <c r="C726" s="4" t="s">
        <v>744</v>
      </c>
      <c r="D726" s="4" t="s">
        <v>47</v>
      </c>
      <c r="E726" s="4" t="s">
        <v>29</v>
      </c>
      <c r="F726" s="4" t="s">
        <v>30</v>
      </c>
      <c r="G726" s="4" t="s">
        <v>23</v>
      </c>
      <c r="H726" s="4" t="s">
        <v>24</v>
      </c>
      <c r="I726" s="4">
        <v>2</v>
      </c>
      <c r="J726" s="6">
        <v>57.46</v>
      </c>
      <c r="K726" s="7">
        <v>0</v>
      </c>
      <c r="L726" s="6">
        <f t="shared" si="22"/>
        <v>114.92</v>
      </c>
      <c r="M726" s="6">
        <v>32.799999999999997</v>
      </c>
      <c r="N726" s="8">
        <f t="shared" si="23"/>
        <v>49.320000000000007</v>
      </c>
      <c r="O726" s="4" t="s">
        <v>40</v>
      </c>
      <c r="P726" s="4" t="s">
        <v>56</v>
      </c>
      <c r="Q726" s="4">
        <v>1</v>
      </c>
      <c r="R726" s="4" t="str">
        <f>TEXT(Table1[[#This Row],[Order Date]],"mmm")</f>
        <v>Sep</v>
      </c>
      <c r="S726" s="4" t="str">
        <f>TEXT(Table1[[#This Row],[Order Date]],"mm")</f>
        <v>09</v>
      </c>
      <c r="T726" s="4" t="str">
        <f>IF(Table1[[#This Row],[Sales]]&lt;0,"loss","profit")</f>
        <v>profit</v>
      </c>
      <c r="U726" s="4" t="str" cm="1">
        <f t="array" ref="U726">_xlfn.IFS(Table1[[#This Row],[Sales]]&gt;2000,"large",Table1[[#This Row],[Sales]]&gt;=500,"medium",Table1[[#This Row],[Sales]]&lt;500,"small")</f>
        <v>small</v>
      </c>
      <c r="V726" s="22">
        <f>Table1[[#This Row],[Profit]]/Table1[[#This Row],[Sales]]*100</f>
        <v>42.916811695092242</v>
      </c>
    </row>
    <row r="727" spans="1:22" x14ac:dyDescent="0.35">
      <c r="A727" s="4" t="s">
        <v>1133</v>
      </c>
      <c r="B727" s="5">
        <v>45926</v>
      </c>
      <c r="C727" s="4" t="s">
        <v>63</v>
      </c>
      <c r="D727" s="4" t="s">
        <v>20</v>
      </c>
      <c r="E727" s="4" t="s">
        <v>87</v>
      </c>
      <c r="F727" s="4" t="s">
        <v>124</v>
      </c>
      <c r="G727" s="4" t="s">
        <v>31</v>
      </c>
      <c r="H727" s="4" t="s">
        <v>125</v>
      </c>
      <c r="I727" s="4">
        <v>2</v>
      </c>
      <c r="J727" s="6">
        <v>101.43</v>
      </c>
      <c r="K727" s="7">
        <v>0</v>
      </c>
      <c r="L727" s="6">
        <f t="shared" si="22"/>
        <v>202.86</v>
      </c>
      <c r="M727" s="6">
        <v>64.989999999999995</v>
      </c>
      <c r="N727" s="8">
        <f t="shared" si="23"/>
        <v>72.880000000000024</v>
      </c>
      <c r="O727" s="4" t="s">
        <v>51</v>
      </c>
      <c r="P727" s="4" t="s">
        <v>75</v>
      </c>
      <c r="Q727" s="4">
        <v>4</v>
      </c>
      <c r="R727" s="4" t="str">
        <f>TEXT(Table1[[#This Row],[Order Date]],"mmm")</f>
        <v>Sep</v>
      </c>
      <c r="S727" s="4" t="str">
        <f>TEXT(Table1[[#This Row],[Order Date]],"mm")</f>
        <v>09</v>
      </c>
      <c r="T727" s="4" t="str">
        <f>IF(Table1[[#This Row],[Sales]]&lt;0,"loss","profit")</f>
        <v>profit</v>
      </c>
      <c r="U727" s="4" t="str" cm="1">
        <f t="array" ref="U727">_xlfn.IFS(Table1[[#This Row],[Sales]]&gt;2000,"large",Table1[[#This Row],[Sales]]&gt;=500,"medium",Table1[[#This Row],[Sales]]&lt;500,"small")</f>
        <v>small</v>
      </c>
      <c r="V727" s="22">
        <f>Table1[[#This Row],[Profit]]/Table1[[#This Row],[Sales]]*100</f>
        <v>35.926254559794941</v>
      </c>
    </row>
    <row r="728" spans="1:22" x14ac:dyDescent="0.35">
      <c r="A728" s="4" t="s">
        <v>1134</v>
      </c>
      <c r="B728" s="5">
        <v>45928</v>
      </c>
      <c r="C728" s="4" t="s">
        <v>245</v>
      </c>
      <c r="D728" s="4" t="s">
        <v>43</v>
      </c>
      <c r="E728" s="4" t="s">
        <v>21</v>
      </c>
      <c r="F728" s="4" t="s">
        <v>59</v>
      </c>
      <c r="G728" s="4" t="s">
        <v>67</v>
      </c>
      <c r="H728" s="4" t="s">
        <v>140</v>
      </c>
      <c r="I728" s="4">
        <v>2</v>
      </c>
      <c r="J728" s="6">
        <v>230.36</v>
      </c>
      <c r="K728" s="7">
        <v>0.2</v>
      </c>
      <c r="L728" s="6">
        <f t="shared" si="22"/>
        <v>368.57600000000002</v>
      </c>
      <c r="M728" s="6">
        <v>161.16</v>
      </c>
      <c r="N728" s="8">
        <f t="shared" si="23"/>
        <v>46.256000000000029</v>
      </c>
      <c r="O728" s="4" t="s">
        <v>25</v>
      </c>
      <c r="P728" s="4" t="s">
        <v>118</v>
      </c>
      <c r="Q728" s="4">
        <v>5</v>
      </c>
      <c r="R728" s="4" t="str">
        <f>TEXT(Table1[[#This Row],[Order Date]],"mmm")</f>
        <v>Sep</v>
      </c>
      <c r="S728" s="4" t="str">
        <f>TEXT(Table1[[#This Row],[Order Date]],"mm")</f>
        <v>09</v>
      </c>
      <c r="T728" s="4" t="str">
        <f>IF(Table1[[#This Row],[Sales]]&lt;0,"loss","profit")</f>
        <v>profit</v>
      </c>
      <c r="U728" s="4" t="str" cm="1">
        <f t="array" ref="U728">_xlfn.IFS(Table1[[#This Row],[Sales]]&gt;2000,"large",Table1[[#This Row],[Sales]]&gt;=500,"medium",Table1[[#This Row],[Sales]]&lt;500,"small")</f>
        <v>small</v>
      </c>
      <c r="V728" s="22">
        <f>Table1[[#This Row],[Profit]]/Table1[[#This Row],[Sales]]*100</f>
        <v>12.549921861434285</v>
      </c>
    </row>
    <row r="729" spans="1:22" x14ac:dyDescent="0.35">
      <c r="A729" s="4" t="s">
        <v>1135</v>
      </c>
      <c r="B729" s="5">
        <v>45928</v>
      </c>
      <c r="C729" s="4" t="s">
        <v>1136</v>
      </c>
      <c r="D729" s="4" t="s">
        <v>43</v>
      </c>
      <c r="E729" s="4" t="s">
        <v>29</v>
      </c>
      <c r="F729" s="4" t="s">
        <v>30</v>
      </c>
      <c r="G729" s="4" t="s">
        <v>23</v>
      </c>
      <c r="H729" s="4" t="s">
        <v>71</v>
      </c>
      <c r="I729" s="4">
        <v>1</v>
      </c>
      <c r="J729" s="6">
        <v>64.84</v>
      </c>
      <c r="K729" s="7">
        <v>0.05</v>
      </c>
      <c r="L729" s="6">
        <f t="shared" si="22"/>
        <v>61.597999999999999</v>
      </c>
      <c r="M729" s="6">
        <v>39.299999999999997</v>
      </c>
      <c r="N729" s="8">
        <f t="shared" si="23"/>
        <v>22.298000000000002</v>
      </c>
      <c r="O729" s="4" t="s">
        <v>40</v>
      </c>
      <c r="P729" s="4" t="s">
        <v>33</v>
      </c>
      <c r="Q729" s="4">
        <v>5</v>
      </c>
      <c r="R729" s="4" t="str">
        <f>TEXT(Table1[[#This Row],[Order Date]],"mmm")</f>
        <v>Sep</v>
      </c>
      <c r="S729" s="4" t="str">
        <f>TEXT(Table1[[#This Row],[Order Date]],"mm")</f>
        <v>09</v>
      </c>
      <c r="T729" s="4" t="str">
        <f>IF(Table1[[#This Row],[Sales]]&lt;0,"loss","profit")</f>
        <v>profit</v>
      </c>
      <c r="U729" s="4" t="str" cm="1">
        <f t="array" ref="U729">_xlfn.IFS(Table1[[#This Row],[Sales]]&gt;2000,"large",Table1[[#This Row],[Sales]]&gt;=500,"medium",Table1[[#This Row],[Sales]]&lt;500,"small")</f>
        <v>small</v>
      </c>
      <c r="V729" s="22">
        <f>Table1[[#This Row],[Profit]]/Table1[[#This Row],[Sales]]*100</f>
        <v>36.199227247637914</v>
      </c>
    </row>
    <row r="730" spans="1:22" x14ac:dyDescent="0.35">
      <c r="A730" s="4" t="s">
        <v>1137</v>
      </c>
      <c r="B730" s="5">
        <v>45928</v>
      </c>
      <c r="C730" s="4" t="s">
        <v>886</v>
      </c>
      <c r="D730" s="4" t="s">
        <v>47</v>
      </c>
      <c r="E730" s="4" t="s">
        <v>21</v>
      </c>
      <c r="F730" s="4" t="s">
        <v>22</v>
      </c>
      <c r="G730" s="4" t="s">
        <v>31</v>
      </c>
      <c r="H730" s="4" t="s">
        <v>32</v>
      </c>
      <c r="I730" s="4">
        <v>5</v>
      </c>
      <c r="J730" s="6">
        <v>279.26</v>
      </c>
      <c r="K730" s="7">
        <v>0</v>
      </c>
      <c r="L730" s="6">
        <f t="shared" si="22"/>
        <v>1396.3</v>
      </c>
      <c r="M730" s="6">
        <v>170.23</v>
      </c>
      <c r="N730" s="8">
        <f t="shared" si="23"/>
        <v>545.15</v>
      </c>
      <c r="O730" s="4" t="s">
        <v>51</v>
      </c>
      <c r="P730" s="4" t="s">
        <v>97</v>
      </c>
      <c r="Q730" s="4">
        <v>2</v>
      </c>
      <c r="R730" s="4" t="str">
        <f>TEXT(Table1[[#This Row],[Order Date]],"mmm")</f>
        <v>Sep</v>
      </c>
      <c r="S730" s="4" t="str">
        <f>TEXT(Table1[[#This Row],[Order Date]],"mm")</f>
        <v>09</v>
      </c>
      <c r="T730" s="4" t="str">
        <f>IF(Table1[[#This Row],[Sales]]&lt;0,"loss","profit")</f>
        <v>profit</v>
      </c>
      <c r="U730" s="4" t="str" cm="1">
        <f t="array" ref="U730">_xlfn.IFS(Table1[[#This Row],[Sales]]&gt;2000,"large",Table1[[#This Row],[Sales]]&gt;=500,"medium",Table1[[#This Row],[Sales]]&lt;500,"small")</f>
        <v>medium</v>
      </c>
      <c r="V730" s="22">
        <f>Table1[[#This Row],[Profit]]/Table1[[#This Row],[Sales]]*100</f>
        <v>39.042469383370339</v>
      </c>
    </row>
    <row r="731" spans="1:22" x14ac:dyDescent="0.35">
      <c r="A731" s="4" t="s">
        <v>1138</v>
      </c>
      <c r="B731" s="5">
        <v>45929</v>
      </c>
      <c r="C731" s="4" t="s">
        <v>547</v>
      </c>
      <c r="D731" s="4" t="s">
        <v>43</v>
      </c>
      <c r="E731" s="4" t="s">
        <v>21</v>
      </c>
      <c r="F731" s="4" t="s">
        <v>59</v>
      </c>
      <c r="G731" s="4" t="s">
        <v>31</v>
      </c>
      <c r="H731" s="4" t="s">
        <v>147</v>
      </c>
      <c r="I731" s="4">
        <v>1</v>
      </c>
      <c r="J731" s="6">
        <v>85.18</v>
      </c>
      <c r="K731" s="7">
        <v>0.05</v>
      </c>
      <c r="L731" s="6">
        <f t="shared" si="22"/>
        <v>80.921000000000006</v>
      </c>
      <c r="M731" s="6">
        <v>55.31</v>
      </c>
      <c r="N731" s="8">
        <f t="shared" si="23"/>
        <v>25.611000000000004</v>
      </c>
      <c r="O731" s="4" t="s">
        <v>51</v>
      </c>
      <c r="P731" s="4" t="s">
        <v>97</v>
      </c>
      <c r="Q731" s="4">
        <v>2</v>
      </c>
      <c r="R731" s="4" t="str">
        <f>TEXT(Table1[[#This Row],[Order Date]],"mmm")</f>
        <v>Sep</v>
      </c>
      <c r="S731" s="4" t="str">
        <f>TEXT(Table1[[#This Row],[Order Date]],"mm")</f>
        <v>09</v>
      </c>
      <c r="T731" s="4" t="str">
        <f>IF(Table1[[#This Row],[Sales]]&lt;0,"loss","profit")</f>
        <v>profit</v>
      </c>
      <c r="U731" s="4" t="str" cm="1">
        <f t="array" ref="U731">_xlfn.IFS(Table1[[#This Row],[Sales]]&gt;2000,"large",Table1[[#This Row],[Sales]]&gt;=500,"medium",Table1[[#This Row],[Sales]]&lt;500,"small")</f>
        <v>small</v>
      </c>
      <c r="V731" s="22">
        <f>Table1[[#This Row],[Profit]]/Table1[[#This Row],[Sales]]*100</f>
        <v>31.649386438625328</v>
      </c>
    </row>
    <row r="732" spans="1:22" x14ac:dyDescent="0.35">
      <c r="A732" s="4" t="s">
        <v>1139</v>
      </c>
      <c r="B732" s="5">
        <v>45929</v>
      </c>
      <c r="C732" s="4" t="s">
        <v>746</v>
      </c>
      <c r="D732" s="4" t="s">
        <v>43</v>
      </c>
      <c r="E732" s="4" t="s">
        <v>29</v>
      </c>
      <c r="F732" s="4" t="s">
        <v>30</v>
      </c>
      <c r="G732" s="4" t="s">
        <v>49</v>
      </c>
      <c r="H732" s="4" t="s">
        <v>50</v>
      </c>
      <c r="I732" s="4">
        <v>6</v>
      </c>
      <c r="J732" s="6">
        <v>25.32</v>
      </c>
      <c r="K732" s="7">
        <v>0.1</v>
      </c>
      <c r="L732" s="6">
        <f t="shared" si="22"/>
        <v>136.72800000000001</v>
      </c>
      <c r="M732" s="6">
        <v>14.97</v>
      </c>
      <c r="N732" s="8">
        <f t="shared" si="23"/>
        <v>46.908000000000001</v>
      </c>
      <c r="O732" s="4" t="s">
        <v>60</v>
      </c>
      <c r="P732" s="4" t="s">
        <v>118</v>
      </c>
      <c r="Q732" s="4">
        <v>5</v>
      </c>
      <c r="R732" s="4" t="str">
        <f>TEXT(Table1[[#This Row],[Order Date]],"mmm")</f>
        <v>Sep</v>
      </c>
      <c r="S732" s="4" t="str">
        <f>TEXT(Table1[[#This Row],[Order Date]],"mm")</f>
        <v>09</v>
      </c>
      <c r="T732" s="4" t="str">
        <f>IF(Table1[[#This Row],[Sales]]&lt;0,"loss","profit")</f>
        <v>profit</v>
      </c>
      <c r="U732" s="4" t="str" cm="1">
        <f t="array" ref="U732">_xlfn.IFS(Table1[[#This Row],[Sales]]&gt;2000,"large",Table1[[#This Row],[Sales]]&gt;=500,"medium",Table1[[#This Row],[Sales]]&lt;500,"small")</f>
        <v>small</v>
      </c>
      <c r="V732" s="22">
        <f>Table1[[#This Row],[Profit]]/Table1[[#This Row],[Sales]]*100</f>
        <v>34.307530279094259</v>
      </c>
    </row>
    <row r="733" spans="1:22" x14ac:dyDescent="0.35">
      <c r="A733" s="4" t="s">
        <v>1140</v>
      </c>
      <c r="B733" s="5">
        <v>45929</v>
      </c>
      <c r="C733" s="4" t="s">
        <v>115</v>
      </c>
      <c r="D733" s="4" t="s">
        <v>47</v>
      </c>
      <c r="E733" s="4" t="s">
        <v>29</v>
      </c>
      <c r="F733" s="4" t="s">
        <v>108</v>
      </c>
      <c r="G733" s="4" t="s">
        <v>23</v>
      </c>
      <c r="H733" s="4" t="s">
        <v>71</v>
      </c>
      <c r="I733" s="4">
        <v>1</v>
      </c>
      <c r="J733" s="6">
        <v>198.93</v>
      </c>
      <c r="K733" s="7">
        <v>0.15</v>
      </c>
      <c r="L733" s="6">
        <f t="shared" si="22"/>
        <v>169.09049999999999</v>
      </c>
      <c r="M733" s="6">
        <v>116.15</v>
      </c>
      <c r="N733" s="8">
        <f t="shared" si="23"/>
        <v>52.940499999999986</v>
      </c>
      <c r="O733" s="4" t="s">
        <v>60</v>
      </c>
      <c r="P733" s="4" t="s">
        <v>75</v>
      </c>
      <c r="Q733" s="4">
        <v>3</v>
      </c>
      <c r="R733" s="4" t="str">
        <f>TEXT(Table1[[#This Row],[Order Date]],"mmm")</f>
        <v>Sep</v>
      </c>
      <c r="S733" s="4" t="str">
        <f>TEXT(Table1[[#This Row],[Order Date]],"mm")</f>
        <v>09</v>
      </c>
      <c r="T733" s="4" t="str">
        <f>IF(Table1[[#This Row],[Sales]]&lt;0,"loss","profit")</f>
        <v>profit</v>
      </c>
      <c r="U733" s="4" t="str" cm="1">
        <f t="array" ref="U733">_xlfn.IFS(Table1[[#This Row],[Sales]]&gt;2000,"large",Table1[[#This Row],[Sales]]&gt;=500,"medium",Table1[[#This Row],[Sales]]&lt;500,"small")</f>
        <v>small</v>
      </c>
      <c r="V733" s="22">
        <f>Table1[[#This Row],[Profit]]/Table1[[#This Row],[Sales]]*100</f>
        <v>31.308973596979129</v>
      </c>
    </row>
    <row r="734" spans="1:22" x14ac:dyDescent="0.35">
      <c r="A734" s="4" t="s">
        <v>1141</v>
      </c>
      <c r="B734" s="5">
        <v>45929</v>
      </c>
      <c r="C734" s="4" t="s">
        <v>357</v>
      </c>
      <c r="D734" s="4" t="s">
        <v>20</v>
      </c>
      <c r="E734" s="4" t="s">
        <v>29</v>
      </c>
      <c r="F734" s="4" t="s">
        <v>54</v>
      </c>
      <c r="G734" s="4" t="s">
        <v>67</v>
      </c>
      <c r="H734" s="4" t="s">
        <v>140</v>
      </c>
      <c r="I734" s="4">
        <v>3</v>
      </c>
      <c r="J734" s="6">
        <v>123.67</v>
      </c>
      <c r="K734" s="7">
        <v>0</v>
      </c>
      <c r="L734" s="6">
        <f t="shared" si="22"/>
        <v>371.01</v>
      </c>
      <c r="M734" s="6">
        <v>75.209999999999994</v>
      </c>
      <c r="N734" s="8">
        <f t="shared" si="23"/>
        <v>145.38</v>
      </c>
      <c r="O734" s="4" t="s">
        <v>40</v>
      </c>
      <c r="P734" s="4" t="s">
        <v>75</v>
      </c>
      <c r="Q734" s="4">
        <v>5</v>
      </c>
      <c r="R734" s="4" t="str">
        <f>TEXT(Table1[[#This Row],[Order Date]],"mmm")</f>
        <v>Sep</v>
      </c>
      <c r="S734" s="4" t="str">
        <f>TEXT(Table1[[#This Row],[Order Date]],"mm")</f>
        <v>09</v>
      </c>
      <c r="T734" s="4" t="str">
        <f>IF(Table1[[#This Row],[Sales]]&lt;0,"loss","profit")</f>
        <v>profit</v>
      </c>
      <c r="U734" s="4" t="str" cm="1">
        <f t="array" ref="U734">_xlfn.IFS(Table1[[#This Row],[Sales]]&gt;2000,"large",Table1[[#This Row],[Sales]]&gt;=500,"medium",Table1[[#This Row],[Sales]]&lt;500,"small")</f>
        <v>small</v>
      </c>
      <c r="V734" s="22">
        <f>Table1[[#This Row],[Profit]]/Table1[[#This Row],[Sales]]*100</f>
        <v>39.184927629983015</v>
      </c>
    </row>
    <row r="735" spans="1:22" x14ac:dyDescent="0.35">
      <c r="A735" s="4" t="s">
        <v>1142</v>
      </c>
      <c r="B735" s="5">
        <v>45930</v>
      </c>
      <c r="C735" s="4" t="s">
        <v>156</v>
      </c>
      <c r="D735" s="4" t="s">
        <v>47</v>
      </c>
      <c r="E735" s="4" t="s">
        <v>87</v>
      </c>
      <c r="F735" s="4" t="s">
        <v>92</v>
      </c>
      <c r="G735" s="4" t="s">
        <v>23</v>
      </c>
      <c r="H735" s="4" t="s">
        <v>24</v>
      </c>
      <c r="I735" s="4">
        <v>6</v>
      </c>
      <c r="J735" s="6">
        <v>86.06</v>
      </c>
      <c r="K735" s="7">
        <v>0.05</v>
      </c>
      <c r="L735" s="6">
        <f t="shared" si="22"/>
        <v>490.54199999999997</v>
      </c>
      <c r="M735" s="6">
        <v>47.54</v>
      </c>
      <c r="N735" s="8">
        <f t="shared" si="23"/>
        <v>205.30199999999996</v>
      </c>
      <c r="O735" s="4" t="s">
        <v>60</v>
      </c>
      <c r="P735" s="4" t="s">
        <v>61</v>
      </c>
      <c r="Q735" s="4">
        <v>4</v>
      </c>
      <c r="R735" s="4" t="str">
        <f>TEXT(Table1[[#This Row],[Order Date]],"mmm")</f>
        <v>Sep</v>
      </c>
      <c r="S735" s="4" t="str">
        <f>TEXT(Table1[[#This Row],[Order Date]],"mm")</f>
        <v>09</v>
      </c>
      <c r="T735" s="4" t="str">
        <f>IF(Table1[[#This Row],[Sales]]&lt;0,"loss","profit")</f>
        <v>profit</v>
      </c>
      <c r="U735" s="4" t="str" cm="1">
        <f t="array" ref="U735">_xlfn.IFS(Table1[[#This Row],[Sales]]&gt;2000,"large",Table1[[#This Row],[Sales]]&gt;=500,"medium",Table1[[#This Row],[Sales]]&lt;500,"small")</f>
        <v>small</v>
      </c>
      <c r="V735" s="22">
        <f>Table1[[#This Row],[Profit]]/Table1[[#This Row],[Sales]]*100</f>
        <v>41.852073828540668</v>
      </c>
    </row>
    <row r="736" spans="1:22" x14ac:dyDescent="0.35">
      <c r="A736" s="4" t="s">
        <v>1143</v>
      </c>
      <c r="B736" s="5">
        <v>45930</v>
      </c>
      <c r="C736" s="4" t="s">
        <v>223</v>
      </c>
      <c r="D736" s="4" t="s">
        <v>47</v>
      </c>
      <c r="E736" s="4" t="s">
        <v>36</v>
      </c>
      <c r="F736" s="4" t="s">
        <v>37</v>
      </c>
      <c r="G736" s="4" t="s">
        <v>23</v>
      </c>
      <c r="H736" s="4" t="s">
        <v>44</v>
      </c>
      <c r="I736" s="4">
        <v>1</v>
      </c>
      <c r="J736" s="6">
        <v>141.16</v>
      </c>
      <c r="K736" s="7">
        <v>0</v>
      </c>
      <c r="L736" s="6">
        <f t="shared" si="22"/>
        <v>141.16</v>
      </c>
      <c r="M736" s="6">
        <v>69.62</v>
      </c>
      <c r="N736" s="8">
        <f t="shared" si="23"/>
        <v>71.539999999999992</v>
      </c>
      <c r="O736" s="4" t="s">
        <v>60</v>
      </c>
      <c r="P736" s="4" t="s">
        <v>97</v>
      </c>
      <c r="Q736" s="4">
        <v>1</v>
      </c>
      <c r="R736" s="4" t="str">
        <f>TEXT(Table1[[#This Row],[Order Date]],"mmm")</f>
        <v>Sep</v>
      </c>
      <c r="S736" s="4" t="str">
        <f>TEXT(Table1[[#This Row],[Order Date]],"mm")</f>
        <v>09</v>
      </c>
      <c r="T736" s="4" t="str">
        <f>IF(Table1[[#This Row],[Sales]]&lt;0,"loss","profit")</f>
        <v>profit</v>
      </c>
      <c r="U736" s="4" t="str" cm="1">
        <f t="array" ref="U736">_xlfn.IFS(Table1[[#This Row],[Sales]]&gt;2000,"large",Table1[[#This Row],[Sales]]&gt;=500,"medium",Table1[[#This Row],[Sales]]&lt;500,"small")</f>
        <v>small</v>
      </c>
      <c r="V736" s="22">
        <f>Table1[[#This Row],[Profit]]/Table1[[#This Row],[Sales]]*100</f>
        <v>50.68007934258997</v>
      </c>
    </row>
    <row r="737" spans="1:22" x14ac:dyDescent="0.35">
      <c r="A737" s="4" t="s">
        <v>1144</v>
      </c>
      <c r="B737" s="5">
        <v>45931</v>
      </c>
      <c r="C737" s="4" t="s">
        <v>420</v>
      </c>
      <c r="D737" s="4" t="s">
        <v>43</v>
      </c>
      <c r="E737" s="4" t="s">
        <v>21</v>
      </c>
      <c r="F737" s="4" t="s">
        <v>59</v>
      </c>
      <c r="G737" s="4" t="s">
        <v>31</v>
      </c>
      <c r="H737" s="4" t="s">
        <v>125</v>
      </c>
      <c r="I737" s="4">
        <v>2</v>
      </c>
      <c r="J737" s="6">
        <v>34.729999999999997</v>
      </c>
      <c r="K737" s="7">
        <v>0.1</v>
      </c>
      <c r="L737" s="6">
        <f t="shared" si="22"/>
        <v>62.513999999999996</v>
      </c>
      <c r="M737" s="6">
        <v>21.13</v>
      </c>
      <c r="N737" s="8">
        <f t="shared" si="23"/>
        <v>20.253999999999998</v>
      </c>
      <c r="O737" s="4" t="s">
        <v>25</v>
      </c>
      <c r="P737" s="4" t="s">
        <v>61</v>
      </c>
      <c r="Q737" s="4">
        <v>3</v>
      </c>
      <c r="R737" s="4" t="str">
        <f>TEXT(Table1[[#This Row],[Order Date]],"mmm")</f>
        <v>Oct</v>
      </c>
      <c r="S737" s="4" t="str">
        <f>TEXT(Table1[[#This Row],[Order Date]],"mm")</f>
        <v>10</v>
      </c>
      <c r="T737" s="4" t="str">
        <f>IF(Table1[[#This Row],[Sales]]&lt;0,"loss","profit")</f>
        <v>profit</v>
      </c>
      <c r="U737" s="4" t="str" cm="1">
        <f t="array" ref="U737">_xlfn.IFS(Table1[[#This Row],[Sales]]&gt;2000,"large",Table1[[#This Row],[Sales]]&gt;=500,"medium",Table1[[#This Row],[Sales]]&lt;500,"small")</f>
        <v>small</v>
      </c>
      <c r="V737" s="22">
        <f>Table1[[#This Row],[Profit]]/Table1[[#This Row],[Sales]]*100</f>
        <v>32.399142592059377</v>
      </c>
    </row>
    <row r="738" spans="1:22" x14ac:dyDescent="0.35">
      <c r="A738" s="4" t="s">
        <v>1145</v>
      </c>
      <c r="B738" s="5">
        <v>45931</v>
      </c>
      <c r="C738" s="4" t="s">
        <v>1093</v>
      </c>
      <c r="D738" s="4" t="s">
        <v>20</v>
      </c>
      <c r="E738" s="4" t="s">
        <v>29</v>
      </c>
      <c r="F738" s="4" t="s">
        <v>30</v>
      </c>
      <c r="G738" s="4" t="s">
        <v>49</v>
      </c>
      <c r="H738" s="4" t="s">
        <v>78</v>
      </c>
      <c r="I738" s="4">
        <v>3</v>
      </c>
      <c r="J738" s="6">
        <v>275.99</v>
      </c>
      <c r="K738" s="7">
        <v>0</v>
      </c>
      <c r="L738" s="6">
        <f t="shared" si="22"/>
        <v>827.97</v>
      </c>
      <c r="M738" s="6">
        <v>160.6</v>
      </c>
      <c r="N738" s="8">
        <f t="shared" si="23"/>
        <v>346.17000000000007</v>
      </c>
      <c r="O738" s="4" t="s">
        <v>60</v>
      </c>
      <c r="P738" s="4" t="s">
        <v>56</v>
      </c>
      <c r="Q738" s="4">
        <v>2</v>
      </c>
      <c r="R738" s="4" t="str">
        <f>TEXT(Table1[[#This Row],[Order Date]],"mmm")</f>
        <v>Oct</v>
      </c>
      <c r="S738" s="4" t="str">
        <f>TEXT(Table1[[#This Row],[Order Date]],"mm")</f>
        <v>10</v>
      </c>
      <c r="T738" s="4" t="str">
        <f>IF(Table1[[#This Row],[Sales]]&lt;0,"loss","profit")</f>
        <v>profit</v>
      </c>
      <c r="U738" s="4" t="str" cm="1">
        <f t="array" ref="U738">_xlfn.IFS(Table1[[#This Row],[Sales]]&gt;2000,"large",Table1[[#This Row],[Sales]]&gt;=500,"medium",Table1[[#This Row],[Sales]]&lt;500,"small")</f>
        <v>medium</v>
      </c>
      <c r="V738" s="22">
        <f>Table1[[#This Row],[Profit]]/Table1[[#This Row],[Sales]]*100</f>
        <v>41.809485850936632</v>
      </c>
    </row>
    <row r="739" spans="1:22" x14ac:dyDescent="0.35">
      <c r="A739" s="4" t="s">
        <v>1146</v>
      </c>
      <c r="B739" s="5">
        <v>45931</v>
      </c>
      <c r="C739" s="4" t="s">
        <v>1147</v>
      </c>
      <c r="D739" s="4" t="s">
        <v>43</v>
      </c>
      <c r="E739" s="4" t="s">
        <v>87</v>
      </c>
      <c r="F739" s="4" t="s">
        <v>88</v>
      </c>
      <c r="G739" s="4" t="s">
        <v>49</v>
      </c>
      <c r="H739" s="4" t="s">
        <v>50</v>
      </c>
      <c r="I739" s="4">
        <v>1</v>
      </c>
      <c r="J739" s="6">
        <v>16.07</v>
      </c>
      <c r="K739" s="7">
        <v>0.15</v>
      </c>
      <c r="L739" s="6">
        <f t="shared" si="22"/>
        <v>13.6595</v>
      </c>
      <c r="M739" s="6">
        <v>11.14</v>
      </c>
      <c r="N739" s="8">
        <f t="shared" si="23"/>
        <v>2.519499999999999</v>
      </c>
      <c r="O739" s="4" t="s">
        <v>60</v>
      </c>
      <c r="P739" s="4" t="s">
        <v>26</v>
      </c>
      <c r="Q739" s="4">
        <v>5</v>
      </c>
      <c r="R739" s="4" t="str">
        <f>TEXT(Table1[[#This Row],[Order Date]],"mmm")</f>
        <v>Oct</v>
      </c>
      <c r="S739" s="4" t="str">
        <f>TEXT(Table1[[#This Row],[Order Date]],"mm")</f>
        <v>10</v>
      </c>
      <c r="T739" s="4" t="str">
        <f>IF(Table1[[#This Row],[Sales]]&lt;0,"loss","profit")</f>
        <v>profit</v>
      </c>
      <c r="U739" s="4" t="str" cm="1">
        <f t="array" ref="U739">_xlfn.IFS(Table1[[#This Row],[Sales]]&gt;2000,"large",Table1[[#This Row],[Sales]]&gt;=500,"medium",Table1[[#This Row],[Sales]]&lt;500,"small")</f>
        <v>small</v>
      </c>
      <c r="V739" s="22">
        <f>Table1[[#This Row],[Profit]]/Table1[[#This Row],[Sales]]*100</f>
        <v>18.445038251766164</v>
      </c>
    </row>
    <row r="740" spans="1:22" x14ac:dyDescent="0.35">
      <c r="A740" s="4" t="s">
        <v>1148</v>
      </c>
      <c r="B740" s="5">
        <v>45932</v>
      </c>
      <c r="C740" s="4" t="s">
        <v>744</v>
      </c>
      <c r="D740" s="4" t="s">
        <v>47</v>
      </c>
      <c r="E740" s="4" t="s">
        <v>29</v>
      </c>
      <c r="F740" s="4" t="s">
        <v>30</v>
      </c>
      <c r="G740" s="4" t="s">
        <v>23</v>
      </c>
      <c r="H740" s="4" t="s">
        <v>44</v>
      </c>
      <c r="I740" s="4">
        <v>6</v>
      </c>
      <c r="J740" s="6">
        <v>155.11000000000001</v>
      </c>
      <c r="K740" s="7">
        <v>0.1</v>
      </c>
      <c r="L740" s="6">
        <f t="shared" si="22"/>
        <v>837.59400000000005</v>
      </c>
      <c r="M740" s="6">
        <v>97.86</v>
      </c>
      <c r="N740" s="8">
        <f t="shared" si="23"/>
        <v>250.43400000000008</v>
      </c>
      <c r="O740" s="4" t="s">
        <v>84</v>
      </c>
      <c r="P740" s="4" t="s">
        <v>33</v>
      </c>
      <c r="Q740" s="4">
        <v>1</v>
      </c>
      <c r="R740" s="4" t="str">
        <f>TEXT(Table1[[#This Row],[Order Date]],"mmm")</f>
        <v>Oct</v>
      </c>
      <c r="S740" s="4" t="str">
        <f>TEXT(Table1[[#This Row],[Order Date]],"mm")</f>
        <v>10</v>
      </c>
      <c r="T740" s="4" t="str">
        <f>IF(Table1[[#This Row],[Sales]]&lt;0,"loss","profit")</f>
        <v>profit</v>
      </c>
      <c r="U740" s="4" t="str" cm="1">
        <f t="array" ref="U740">_xlfn.IFS(Table1[[#This Row],[Sales]]&gt;2000,"large",Table1[[#This Row],[Sales]]&gt;=500,"medium",Table1[[#This Row],[Sales]]&lt;500,"small")</f>
        <v>medium</v>
      </c>
      <c r="V740" s="22">
        <f>Table1[[#This Row],[Profit]]/Table1[[#This Row],[Sales]]*100</f>
        <v>29.899211312401956</v>
      </c>
    </row>
    <row r="741" spans="1:22" x14ac:dyDescent="0.35">
      <c r="A741" s="4" t="s">
        <v>1149</v>
      </c>
      <c r="B741" s="5">
        <v>45932</v>
      </c>
      <c r="C741" s="4" t="s">
        <v>346</v>
      </c>
      <c r="D741" s="4" t="s">
        <v>20</v>
      </c>
      <c r="E741" s="4" t="s">
        <v>21</v>
      </c>
      <c r="F741" s="4" t="s">
        <v>81</v>
      </c>
      <c r="G741" s="4" t="s">
        <v>38</v>
      </c>
      <c r="H741" s="4" t="s">
        <v>39</v>
      </c>
      <c r="I741" s="4">
        <v>10</v>
      </c>
      <c r="J741" s="6">
        <v>313.55</v>
      </c>
      <c r="K741" s="7">
        <v>0.05</v>
      </c>
      <c r="L741" s="6">
        <f t="shared" si="22"/>
        <v>2978.7249999999999</v>
      </c>
      <c r="M741" s="6">
        <v>241.99</v>
      </c>
      <c r="N741" s="8">
        <f t="shared" si="23"/>
        <v>558.82499999999982</v>
      </c>
      <c r="O741" s="4" t="s">
        <v>51</v>
      </c>
      <c r="P741" s="4" t="s">
        <v>75</v>
      </c>
      <c r="Q741" s="4">
        <v>3</v>
      </c>
      <c r="R741" s="4" t="str">
        <f>TEXT(Table1[[#This Row],[Order Date]],"mmm")</f>
        <v>Oct</v>
      </c>
      <c r="S741" s="4" t="str">
        <f>TEXT(Table1[[#This Row],[Order Date]],"mm")</f>
        <v>10</v>
      </c>
      <c r="T741" s="4" t="str">
        <f>IF(Table1[[#This Row],[Sales]]&lt;0,"loss","profit")</f>
        <v>profit</v>
      </c>
      <c r="U741" s="4" t="str" cm="1">
        <f t="array" ref="U741">_xlfn.IFS(Table1[[#This Row],[Sales]]&gt;2000,"large",Table1[[#This Row],[Sales]]&gt;=500,"medium",Table1[[#This Row],[Sales]]&lt;500,"small")</f>
        <v>large</v>
      </c>
      <c r="V741" s="22">
        <f>Table1[[#This Row],[Profit]]/Table1[[#This Row],[Sales]]*100</f>
        <v>18.760543521137393</v>
      </c>
    </row>
    <row r="742" spans="1:22" x14ac:dyDescent="0.35">
      <c r="A742" s="4" t="s">
        <v>1150</v>
      </c>
      <c r="B742" s="5">
        <v>45932</v>
      </c>
      <c r="C742" s="4" t="s">
        <v>1078</v>
      </c>
      <c r="D742" s="4" t="s">
        <v>47</v>
      </c>
      <c r="E742" s="4" t="s">
        <v>21</v>
      </c>
      <c r="F742" s="4" t="s">
        <v>59</v>
      </c>
      <c r="G742" s="4" t="s">
        <v>31</v>
      </c>
      <c r="H742" s="4" t="s">
        <v>147</v>
      </c>
      <c r="I742" s="4">
        <v>2</v>
      </c>
      <c r="J742" s="6">
        <v>43.32</v>
      </c>
      <c r="K742" s="7">
        <v>0</v>
      </c>
      <c r="L742" s="6">
        <f t="shared" si="22"/>
        <v>86.64</v>
      </c>
      <c r="M742" s="6">
        <v>32.229999999999997</v>
      </c>
      <c r="N742" s="8">
        <f t="shared" si="23"/>
        <v>22.180000000000007</v>
      </c>
      <c r="O742" s="4" t="s">
        <v>84</v>
      </c>
      <c r="P742" s="4" t="s">
        <v>75</v>
      </c>
      <c r="Q742" s="4">
        <v>4</v>
      </c>
      <c r="R742" s="4" t="str">
        <f>TEXT(Table1[[#This Row],[Order Date]],"mmm")</f>
        <v>Oct</v>
      </c>
      <c r="S742" s="4" t="str">
        <f>TEXT(Table1[[#This Row],[Order Date]],"mm")</f>
        <v>10</v>
      </c>
      <c r="T742" s="4" t="str">
        <f>IF(Table1[[#This Row],[Sales]]&lt;0,"loss","profit")</f>
        <v>profit</v>
      </c>
      <c r="U742" s="4" t="str" cm="1">
        <f t="array" ref="U742">_xlfn.IFS(Table1[[#This Row],[Sales]]&gt;2000,"large",Table1[[#This Row],[Sales]]&gt;=500,"medium",Table1[[#This Row],[Sales]]&lt;500,"small")</f>
        <v>small</v>
      </c>
      <c r="V742" s="22">
        <f>Table1[[#This Row],[Profit]]/Table1[[#This Row],[Sales]]*100</f>
        <v>25.600184672206836</v>
      </c>
    </row>
    <row r="743" spans="1:22" x14ac:dyDescent="0.35">
      <c r="A743" s="4" t="s">
        <v>1151</v>
      </c>
      <c r="B743" s="5">
        <v>45932</v>
      </c>
      <c r="C743" s="4" t="s">
        <v>734</v>
      </c>
      <c r="D743" s="4" t="s">
        <v>20</v>
      </c>
      <c r="E743" s="4" t="s">
        <v>21</v>
      </c>
      <c r="F743" s="4" t="s">
        <v>81</v>
      </c>
      <c r="G743" s="4" t="s">
        <v>38</v>
      </c>
      <c r="H743" s="4" t="s">
        <v>109</v>
      </c>
      <c r="I743" s="4">
        <v>4</v>
      </c>
      <c r="J743" s="6">
        <v>514.07000000000005</v>
      </c>
      <c r="K743" s="7">
        <v>0.1</v>
      </c>
      <c r="L743" s="6">
        <f t="shared" si="22"/>
        <v>1850.6520000000003</v>
      </c>
      <c r="M743" s="6">
        <v>425.53</v>
      </c>
      <c r="N743" s="8">
        <f t="shared" si="23"/>
        <v>148.53200000000038</v>
      </c>
      <c r="O743" s="4" t="s">
        <v>40</v>
      </c>
      <c r="P743" s="4" t="s">
        <v>97</v>
      </c>
      <c r="Q743" s="4">
        <v>4</v>
      </c>
      <c r="R743" s="4" t="str">
        <f>TEXT(Table1[[#This Row],[Order Date]],"mmm")</f>
        <v>Oct</v>
      </c>
      <c r="S743" s="4" t="str">
        <f>TEXT(Table1[[#This Row],[Order Date]],"mm")</f>
        <v>10</v>
      </c>
      <c r="T743" s="4" t="str">
        <f>IF(Table1[[#This Row],[Sales]]&lt;0,"loss","profit")</f>
        <v>profit</v>
      </c>
      <c r="U743" s="4" t="str" cm="1">
        <f t="array" ref="U743">_xlfn.IFS(Table1[[#This Row],[Sales]]&gt;2000,"large",Table1[[#This Row],[Sales]]&gt;=500,"medium",Table1[[#This Row],[Sales]]&lt;500,"small")</f>
        <v>medium</v>
      </c>
      <c r="V743" s="22">
        <f>Table1[[#This Row],[Profit]]/Table1[[#This Row],[Sales]]*100</f>
        <v>8.0259281593730396</v>
      </c>
    </row>
    <row r="744" spans="1:22" x14ac:dyDescent="0.35">
      <c r="A744" s="4" t="s">
        <v>1152</v>
      </c>
      <c r="B744" s="5">
        <v>45932</v>
      </c>
      <c r="C744" s="4" t="s">
        <v>66</v>
      </c>
      <c r="D744" s="4" t="s">
        <v>43</v>
      </c>
      <c r="E744" s="4" t="s">
        <v>36</v>
      </c>
      <c r="F744" s="4" t="s">
        <v>201</v>
      </c>
      <c r="G744" s="4" t="s">
        <v>67</v>
      </c>
      <c r="H744" s="4" t="s">
        <v>93</v>
      </c>
      <c r="I744" s="4">
        <v>1</v>
      </c>
      <c r="J744" s="6">
        <v>240.04</v>
      </c>
      <c r="K744" s="7">
        <v>0.1</v>
      </c>
      <c r="L744" s="6">
        <f t="shared" si="22"/>
        <v>216.036</v>
      </c>
      <c r="M744" s="6">
        <v>182.53</v>
      </c>
      <c r="N744" s="8">
        <f t="shared" si="23"/>
        <v>33.506</v>
      </c>
      <c r="O744" s="4" t="s">
        <v>84</v>
      </c>
      <c r="P744" s="4" t="s">
        <v>72</v>
      </c>
      <c r="Q744" s="4">
        <v>5</v>
      </c>
      <c r="R744" s="4" t="str">
        <f>TEXT(Table1[[#This Row],[Order Date]],"mmm")</f>
        <v>Oct</v>
      </c>
      <c r="S744" s="4" t="str">
        <f>TEXT(Table1[[#This Row],[Order Date]],"mm")</f>
        <v>10</v>
      </c>
      <c r="T744" s="4" t="str">
        <f>IF(Table1[[#This Row],[Sales]]&lt;0,"loss","profit")</f>
        <v>profit</v>
      </c>
      <c r="U744" s="4" t="str" cm="1">
        <f t="array" ref="U744">_xlfn.IFS(Table1[[#This Row],[Sales]]&gt;2000,"large",Table1[[#This Row],[Sales]]&gt;=500,"medium",Table1[[#This Row],[Sales]]&lt;500,"small")</f>
        <v>small</v>
      </c>
      <c r="V744" s="22">
        <f>Table1[[#This Row],[Profit]]/Table1[[#This Row],[Sales]]*100</f>
        <v>15.509452128348981</v>
      </c>
    </row>
    <row r="745" spans="1:22" x14ac:dyDescent="0.35">
      <c r="A745" s="4" t="s">
        <v>1153</v>
      </c>
      <c r="B745" s="5">
        <v>45933</v>
      </c>
      <c r="C745" s="4" t="s">
        <v>215</v>
      </c>
      <c r="D745" s="4" t="s">
        <v>20</v>
      </c>
      <c r="E745" s="4" t="s">
        <v>36</v>
      </c>
      <c r="F745" s="4" t="s">
        <v>37</v>
      </c>
      <c r="G745" s="4" t="s">
        <v>23</v>
      </c>
      <c r="H745" s="4" t="s">
        <v>44</v>
      </c>
      <c r="I745" s="4">
        <v>1</v>
      </c>
      <c r="J745" s="6">
        <v>90.85</v>
      </c>
      <c r="K745" s="7">
        <v>0</v>
      </c>
      <c r="L745" s="6">
        <f t="shared" si="22"/>
        <v>90.85</v>
      </c>
      <c r="M745" s="6">
        <v>42.08</v>
      </c>
      <c r="N745" s="8">
        <f t="shared" si="23"/>
        <v>48.769999999999996</v>
      </c>
      <c r="O745" s="4" t="s">
        <v>25</v>
      </c>
      <c r="P745" s="4" t="s">
        <v>118</v>
      </c>
      <c r="Q745" s="4">
        <v>5</v>
      </c>
      <c r="R745" s="4" t="str">
        <f>TEXT(Table1[[#This Row],[Order Date]],"mmm")</f>
        <v>Oct</v>
      </c>
      <c r="S745" s="4" t="str">
        <f>TEXT(Table1[[#This Row],[Order Date]],"mm")</f>
        <v>10</v>
      </c>
      <c r="T745" s="4" t="str">
        <f>IF(Table1[[#This Row],[Sales]]&lt;0,"loss","profit")</f>
        <v>profit</v>
      </c>
      <c r="U745" s="4" t="str" cm="1">
        <f t="array" ref="U745">_xlfn.IFS(Table1[[#This Row],[Sales]]&gt;2000,"large",Table1[[#This Row],[Sales]]&gt;=500,"medium",Table1[[#This Row],[Sales]]&lt;500,"small")</f>
        <v>small</v>
      </c>
      <c r="V745" s="22">
        <f>Table1[[#This Row],[Profit]]/Table1[[#This Row],[Sales]]*100</f>
        <v>53.681893230599883</v>
      </c>
    </row>
    <row r="746" spans="1:22" x14ac:dyDescent="0.35">
      <c r="A746" s="4" t="s">
        <v>1154</v>
      </c>
      <c r="B746" s="5">
        <v>45933</v>
      </c>
      <c r="C746" s="4" t="s">
        <v>207</v>
      </c>
      <c r="D746" s="4" t="s">
        <v>20</v>
      </c>
      <c r="E746" s="4" t="s">
        <v>36</v>
      </c>
      <c r="F746" s="4" t="s">
        <v>37</v>
      </c>
      <c r="G746" s="4" t="s">
        <v>31</v>
      </c>
      <c r="H746" s="4" t="s">
        <v>32</v>
      </c>
      <c r="I746" s="4">
        <v>2</v>
      </c>
      <c r="J746" s="6">
        <v>125.19</v>
      </c>
      <c r="K746" s="7">
        <v>0.1</v>
      </c>
      <c r="L746" s="6">
        <f t="shared" si="22"/>
        <v>225.34200000000001</v>
      </c>
      <c r="M746" s="6">
        <v>93.05</v>
      </c>
      <c r="N746" s="8">
        <f t="shared" si="23"/>
        <v>39.242000000000019</v>
      </c>
      <c r="O746" s="4" t="s">
        <v>25</v>
      </c>
      <c r="P746" s="4" t="s">
        <v>97</v>
      </c>
      <c r="Q746" s="4">
        <v>1</v>
      </c>
      <c r="R746" s="4" t="str">
        <f>TEXT(Table1[[#This Row],[Order Date]],"mmm")</f>
        <v>Oct</v>
      </c>
      <c r="S746" s="4" t="str">
        <f>TEXT(Table1[[#This Row],[Order Date]],"mm")</f>
        <v>10</v>
      </c>
      <c r="T746" s="4" t="str">
        <f>IF(Table1[[#This Row],[Sales]]&lt;0,"loss","profit")</f>
        <v>profit</v>
      </c>
      <c r="U746" s="4" t="str" cm="1">
        <f t="array" ref="U746">_xlfn.IFS(Table1[[#This Row],[Sales]]&gt;2000,"large",Table1[[#This Row],[Sales]]&gt;=500,"medium",Table1[[#This Row],[Sales]]&lt;500,"small")</f>
        <v>small</v>
      </c>
      <c r="V746" s="22">
        <f>Table1[[#This Row],[Profit]]/Table1[[#This Row],[Sales]]*100</f>
        <v>17.414418972051379</v>
      </c>
    </row>
    <row r="747" spans="1:22" x14ac:dyDescent="0.35">
      <c r="A747" s="4" t="s">
        <v>1155</v>
      </c>
      <c r="B747" s="5">
        <v>45933</v>
      </c>
      <c r="C747" s="4" t="s">
        <v>587</v>
      </c>
      <c r="D747" s="4" t="s">
        <v>43</v>
      </c>
      <c r="E747" s="4" t="s">
        <v>87</v>
      </c>
      <c r="F747" s="4" t="s">
        <v>88</v>
      </c>
      <c r="G747" s="4" t="s">
        <v>38</v>
      </c>
      <c r="H747" s="4" t="s">
        <v>55</v>
      </c>
      <c r="I747" s="4">
        <v>1</v>
      </c>
      <c r="J747" s="6">
        <v>145.93</v>
      </c>
      <c r="K747" s="7">
        <v>0</v>
      </c>
      <c r="L747" s="6">
        <f t="shared" si="22"/>
        <v>145.93</v>
      </c>
      <c r="M747" s="6">
        <v>127.27</v>
      </c>
      <c r="N747" s="8">
        <f t="shared" si="23"/>
        <v>18.660000000000011</v>
      </c>
      <c r="O747" s="4" t="s">
        <v>60</v>
      </c>
      <c r="P747" s="4" t="s">
        <v>75</v>
      </c>
      <c r="Q747" s="4">
        <v>3</v>
      </c>
      <c r="R747" s="4" t="str">
        <f>TEXT(Table1[[#This Row],[Order Date]],"mmm")</f>
        <v>Oct</v>
      </c>
      <c r="S747" s="4" t="str">
        <f>TEXT(Table1[[#This Row],[Order Date]],"mm")</f>
        <v>10</v>
      </c>
      <c r="T747" s="4" t="str">
        <f>IF(Table1[[#This Row],[Sales]]&lt;0,"loss","profit")</f>
        <v>profit</v>
      </c>
      <c r="U747" s="4" t="str" cm="1">
        <f t="array" ref="U747">_xlfn.IFS(Table1[[#This Row],[Sales]]&gt;2000,"large",Table1[[#This Row],[Sales]]&gt;=500,"medium",Table1[[#This Row],[Sales]]&lt;500,"small")</f>
        <v>small</v>
      </c>
      <c r="V747" s="22">
        <f>Table1[[#This Row],[Profit]]/Table1[[#This Row],[Sales]]*100</f>
        <v>12.786952648530123</v>
      </c>
    </row>
    <row r="748" spans="1:22" x14ac:dyDescent="0.35">
      <c r="A748" s="4" t="s">
        <v>1156</v>
      </c>
      <c r="B748" s="5">
        <v>45933</v>
      </c>
      <c r="C748" s="4" t="s">
        <v>509</v>
      </c>
      <c r="D748" s="4" t="s">
        <v>47</v>
      </c>
      <c r="E748" s="4" t="s">
        <v>36</v>
      </c>
      <c r="F748" s="4" t="s">
        <v>48</v>
      </c>
      <c r="G748" s="4" t="s">
        <v>38</v>
      </c>
      <c r="H748" s="4" t="s">
        <v>55</v>
      </c>
      <c r="I748" s="4">
        <v>3</v>
      </c>
      <c r="J748" s="6">
        <v>87.72</v>
      </c>
      <c r="K748" s="7">
        <v>0</v>
      </c>
      <c r="L748" s="6">
        <f t="shared" si="22"/>
        <v>263.15999999999997</v>
      </c>
      <c r="M748" s="6">
        <v>71.48</v>
      </c>
      <c r="N748" s="8">
        <f t="shared" si="23"/>
        <v>48.71999999999997</v>
      </c>
      <c r="O748" s="4" t="s">
        <v>51</v>
      </c>
      <c r="P748" s="4" t="s">
        <v>72</v>
      </c>
      <c r="Q748" s="4">
        <v>2</v>
      </c>
      <c r="R748" s="4" t="str">
        <f>TEXT(Table1[[#This Row],[Order Date]],"mmm")</f>
        <v>Oct</v>
      </c>
      <c r="S748" s="4" t="str">
        <f>TEXT(Table1[[#This Row],[Order Date]],"mm")</f>
        <v>10</v>
      </c>
      <c r="T748" s="4" t="str">
        <f>IF(Table1[[#This Row],[Sales]]&lt;0,"loss","profit")</f>
        <v>profit</v>
      </c>
      <c r="U748" s="4" t="str" cm="1">
        <f t="array" ref="U748">_xlfn.IFS(Table1[[#This Row],[Sales]]&gt;2000,"large",Table1[[#This Row],[Sales]]&gt;=500,"medium",Table1[[#This Row],[Sales]]&lt;500,"small")</f>
        <v>small</v>
      </c>
      <c r="V748" s="22">
        <f>Table1[[#This Row],[Profit]]/Table1[[#This Row],[Sales]]*100</f>
        <v>18.513451892384854</v>
      </c>
    </row>
    <row r="749" spans="1:22" x14ac:dyDescent="0.35">
      <c r="A749" s="4" t="s">
        <v>1157</v>
      </c>
      <c r="B749" s="5">
        <v>45933</v>
      </c>
      <c r="C749" s="4" t="s">
        <v>1158</v>
      </c>
      <c r="D749" s="4" t="s">
        <v>43</v>
      </c>
      <c r="E749" s="4" t="s">
        <v>29</v>
      </c>
      <c r="F749" s="4" t="s">
        <v>30</v>
      </c>
      <c r="G749" s="4" t="s">
        <v>67</v>
      </c>
      <c r="H749" s="4" t="s">
        <v>121</v>
      </c>
      <c r="I749" s="4">
        <v>5</v>
      </c>
      <c r="J749" s="6">
        <v>292.36</v>
      </c>
      <c r="K749" s="7">
        <v>0</v>
      </c>
      <c r="L749" s="6">
        <f t="shared" si="22"/>
        <v>1461.8000000000002</v>
      </c>
      <c r="M749" s="6">
        <v>196.1</v>
      </c>
      <c r="N749" s="8">
        <f t="shared" si="23"/>
        <v>481.30000000000018</v>
      </c>
      <c r="O749" s="4" t="s">
        <v>40</v>
      </c>
      <c r="P749" s="4" t="s">
        <v>75</v>
      </c>
      <c r="Q749" s="4">
        <v>5</v>
      </c>
      <c r="R749" s="4" t="str">
        <f>TEXT(Table1[[#This Row],[Order Date]],"mmm")</f>
        <v>Oct</v>
      </c>
      <c r="S749" s="4" t="str">
        <f>TEXT(Table1[[#This Row],[Order Date]],"mm")</f>
        <v>10</v>
      </c>
      <c r="T749" s="4" t="str">
        <f>IF(Table1[[#This Row],[Sales]]&lt;0,"loss","profit")</f>
        <v>profit</v>
      </c>
      <c r="U749" s="4" t="str" cm="1">
        <f t="array" ref="U749">_xlfn.IFS(Table1[[#This Row],[Sales]]&gt;2000,"large",Table1[[#This Row],[Sales]]&gt;=500,"medium",Table1[[#This Row],[Sales]]&lt;500,"small")</f>
        <v>medium</v>
      </c>
      <c r="V749" s="22">
        <f>Table1[[#This Row],[Profit]]/Table1[[#This Row],[Sales]]*100</f>
        <v>32.925160760705985</v>
      </c>
    </row>
    <row r="750" spans="1:22" x14ac:dyDescent="0.35">
      <c r="A750" s="4" t="s">
        <v>1159</v>
      </c>
      <c r="B750" s="5">
        <v>45934</v>
      </c>
      <c r="C750" s="4" t="s">
        <v>197</v>
      </c>
      <c r="D750" s="4" t="s">
        <v>20</v>
      </c>
      <c r="E750" s="4" t="s">
        <v>29</v>
      </c>
      <c r="F750" s="4" t="s">
        <v>54</v>
      </c>
      <c r="G750" s="4" t="s">
        <v>23</v>
      </c>
      <c r="H750" s="4" t="s">
        <v>135</v>
      </c>
      <c r="I750" s="4">
        <v>3</v>
      </c>
      <c r="J750" s="6">
        <v>20.23</v>
      </c>
      <c r="K750" s="7">
        <v>0</v>
      </c>
      <c r="L750" s="6">
        <f t="shared" si="22"/>
        <v>60.69</v>
      </c>
      <c r="M750" s="6">
        <v>10.11</v>
      </c>
      <c r="N750" s="8">
        <f t="shared" si="23"/>
        <v>30.36</v>
      </c>
      <c r="O750" s="4" t="s">
        <v>60</v>
      </c>
      <c r="P750" s="4" t="s">
        <v>26</v>
      </c>
      <c r="Q750" s="4">
        <v>3</v>
      </c>
      <c r="R750" s="4" t="str">
        <f>TEXT(Table1[[#This Row],[Order Date]],"mmm")</f>
        <v>Oct</v>
      </c>
      <c r="S750" s="4" t="str">
        <f>TEXT(Table1[[#This Row],[Order Date]],"mm")</f>
        <v>10</v>
      </c>
      <c r="T750" s="4" t="str">
        <f>IF(Table1[[#This Row],[Sales]]&lt;0,"loss","profit")</f>
        <v>profit</v>
      </c>
      <c r="U750" s="4" t="str" cm="1">
        <f t="array" ref="U750">_xlfn.IFS(Table1[[#This Row],[Sales]]&gt;2000,"large",Table1[[#This Row],[Sales]]&gt;=500,"medium",Table1[[#This Row],[Sales]]&lt;500,"small")</f>
        <v>small</v>
      </c>
      <c r="V750" s="22">
        <f>Table1[[#This Row],[Profit]]/Table1[[#This Row],[Sales]]*100</f>
        <v>50.024715768660414</v>
      </c>
    </row>
    <row r="751" spans="1:22" x14ac:dyDescent="0.35">
      <c r="A751" s="4" t="s">
        <v>1160</v>
      </c>
      <c r="B751" s="5">
        <v>45934</v>
      </c>
      <c r="C751" s="4" t="s">
        <v>1161</v>
      </c>
      <c r="D751" s="4" t="s">
        <v>43</v>
      </c>
      <c r="E751" s="4" t="s">
        <v>21</v>
      </c>
      <c r="F751" s="4" t="s">
        <v>81</v>
      </c>
      <c r="G751" s="4" t="s">
        <v>31</v>
      </c>
      <c r="H751" s="4" t="s">
        <v>32</v>
      </c>
      <c r="I751" s="4">
        <v>3</v>
      </c>
      <c r="J751" s="6">
        <v>82.21</v>
      </c>
      <c r="K751" s="7">
        <v>0</v>
      </c>
      <c r="L751" s="6">
        <f t="shared" si="22"/>
        <v>246.63</v>
      </c>
      <c r="M751" s="6">
        <v>52.89</v>
      </c>
      <c r="N751" s="8">
        <f t="shared" si="23"/>
        <v>87.95999999999998</v>
      </c>
      <c r="O751" s="4" t="s">
        <v>25</v>
      </c>
      <c r="P751" s="4" t="s">
        <v>33</v>
      </c>
      <c r="Q751" s="4">
        <v>3</v>
      </c>
      <c r="R751" s="4" t="str">
        <f>TEXT(Table1[[#This Row],[Order Date]],"mmm")</f>
        <v>Oct</v>
      </c>
      <c r="S751" s="4" t="str">
        <f>TEXT(Table1[[#This Row],[Order Date]],"mm")</f>
        <v>10</v>
      </c>
      <c r="T751" s="4" t="str">
        <f>IF(Table1[[#This Row],[Sales]]&lt;0,"loss","profit")</f>
        <v>profit</v>
      </c>
      <c r="U751" s="4" t="str" cm="1">
        <f t="array" ref="U751">_xlfn.IFS(Table1[[#This Row],[Sales]]&gt;2000,"large",Table1[[#This Row],[Sales]]&gt;=500,"medium",Table1[[#This Row],[Sales]]&lt;500,"small")</f>
        <v>small</v>
      </c>
      <c r="V751" s="22">
        <f>Table1[[#This Row],[Profit]]/Table1[[#This Row],[Sales]]*100</f>
        <v>35.664760977983207</v>
      </c>
    </row>
    <row r="752" spans="1:22" x14ac:dyDescent="0.35">
      <c r="A752" s="4" t="s">
        <v>1162</v>
      </c>
      <c r="B752" s="5">
        <v>45934</v>
      </c>
      <c r="C752" s="4" t="s">
        <v>418</v>
      </c>
      <c r="D752" s="4" t="s">
        <v>20</v>
      </c>
      <c r="E752" s="4" t="s">
        <v>21</v>
      </c>
      <c r="F752" s="4" t="s">
        <v>81</v>
      </c>
      <c r="G752" s="4" t="s">
        <v>67</v>
      </c>
      <c r="H752" s="4" t="s">
        <v>121</v>
      </c>
      <c r="I752" s="4">
        <v>1</v>
      </c>
      <c r="J752" s="6">
        <v>285.89</v>
      </c>
      <c r="K752" s="7">
        <v>0.2</v>
      </c>
      <c r="L752" s="6">
        <f t="shared" si="22"/>
        <v>228.71199999999999</v>
      </c>
      <c r="M752" s="6">
        <v>210.81</v>
      </c>
      <c r="N752" s="8">
        <f t="shared" si="23"/>
        <v>17.901999999999987</v>
      </c>
      <c r="O752" s="4" t="s">
        <v>60</v>
      </c>
      <c r="P752" s="4" t="s">
        <v>118</v>
      </c>
      <c r="Q752" s="4">
        <v>5</v>
      </c>
      <c r="R752" s="4" t="str">
        <f>TEXT(Table1[[#This Row],[Order Date]],"mmm")</f>
        <v>Oct</v>
      </c>
      <c r="S752" s="4" t="str">
        <f>TEXT(Table1[[#This Row],[Order Date]],"mm")</f>
        <v>10</v>
      </c>
      <c r="T752" s="4" t="str">
        <f>IF(Table1[[#This Row],[Sales]]&lt;0,"loss","profit")</f>
        <v>profit</v>
      </c>
      <c r="U752" s="4" t="str" cm="1">
        <f t="array" ref="U752">_xlfn.IFS(Table1[[#This Row],[Sales]]&gt;2000,"large",Table1[[#This Row],[Sales]]&gt;=500,"medium",Table1[[#This Row],[Sales]]&lt;500,"small")</f>
        <v>small</v>
      </c>
      <c r="V752" s="22">
        <f>Table1[[#This Row],[Profit]]/Table1[[#This Row],[Sales]]*100</f>
        <v>7.8273112036097743</v>
      </c>
    </row>
    <row r="753" spans="1:22" x14ac:dyDescent="0.35">
      <c r="A753" s="4" t="s">
        <v>1163</v>
      </c>
      <c r="B753" s="5">
        <v>45934</v>
      </c>
      <c r="C753" s="4" t="s">
        <v>178</v>
      </c>
      <c r="D753" s="4" t="s">
        <v>47</v>
      </c>
      <c r="E753" s="4" t="s">
        <v>21</v>
      </c>
      <c r="F753" s="4" t="s">
        <v>81</v>
      </c>
      <c r="G753" s="4" t="s">
        <v>38</v>
      </c>
      <c r="H753" s="4" t="s">
        <v>109</v>
      </c>
      <c r="I753" s="4">
        <v>5</v>
      </c>
      <c r="J753" s="6">
        <v>338.27</v>
      </c>
      <c r="K753" s="7">
        <v>0.1</v>
      </c>
      <c r="L753" s="6">
        <f t="shared" si="22"/>
        <v>1522.2149999999999</v>
      </c>
      <c r="M753" s="6">
        <v>303.92</v>
      </c>
      <c r="N753" s="8">
        <f t="shared" si="23"/>
        <v>2.6149999999997817</v>
      </c>
      <c r="O753" s="4" t="s">
        <v>60</v>
      </c>
      <c r="P753" s="4" t="s">
        <v>72</v>
      </c>
      <c r="Q753" s="4">
        <v>5</v>
      </c>
      <c r="R753" s="4" t="str">
        <f>TEXT(Table1[[#This Row],[Order Date]],"mmm")</f>
        <v>Oct</v>
      </c>
      <c r="S753" s="4" t="str">
        <f>TEXT(Table1[[#This Row],[Order Date]],"mm")</f>
        <v>10</v>
      </c>
      <c r="T753" s="4" t="str">
        <f>IF(Table1[[#This Row],[Sales]]&lt;0,"loss","profit")</f>
        <v>profit</v>
      </c>
      <c r="U753" s="4" t="str" cm="1">
        <f t="array" ref="U753">_xlfn.IFS(Table1[[#This Row],[Sales]]&gt;2000,"large",Table1[[#This Row],[Sales]]&gt;=500,"medium",Table1[[#This Row],[Sales]]&lt;500,"small")</f>
        <v>medium</v>
      </c>
      <c r="V753" s="22">
        <f>Table1[[#This Row],[Profit]]/Table1[[#This Row],[Sales]]*100</f>
        <v>0.17178913622581449</v>
      </c>
    </row>
    <row r="754" spans="1:22" x14ac:dyDescent="0.35">
      <c r="A754" s="4" t="s">
        <v>1164</v>
      </c>
      <c r="B754" s="5">
        <v>45934</v>
      </c>
      <c r="C754" s="4" t="s">
        <v>408</v>
      </c>
      <c r="D754" s="4" t="s">
        <v>43</v>
      </c>
      <c r="E754" s="4" t="s">
        <v>36</v>
      </c>
      <c r="F754" s="4" t="s">
        <v>48</v>
      </c>
      <c r="G754" s="4" t="s">
        <v>31</v>
      </c>
      <c r="H754" s="4" t="s">
        <v>147</v>
      </c>
      <c r="I754" s="4">
        <v>1</v>
      </c>
      <c r="J754" s="6">
        <v>113.74</v>
      </c>
      <c r="K754" s="7">
        <v>0.2</v>
      </c>
      <c r="L754" s="6">
        <f t="shared" si="22"/>
        <v>90.992000000000004</v>
      </c>
      <c r="M754" s="6">
        <v>65.56</v>
      </c>
      <c r="N754" s="8">
        <f t="shared" si="23"/>
        <v>25.432000000000002</v>
      </c>
      <c r="O754" s="4" t="s">
        <v>25</v>
      </c>
      <c r="P754" s="4" t="s">
        <v>97</v>
      </c>
      <c r="Q754" s="4">
        <v>3</v>
      </c>
      <c r="R754" s="4" t="str">
        <f>TEXT(Table1[[#This Row],[Order Date]],"mmm")</f>
        <v>Oct</v>
      </c>
      <c r="S754" s="4" t="str">
        <f>TEXT(Table1[[#This Row],[Order Date]],"mm")</f>
        <v>10</v>
      </c>
      <c r="T754" s="4" t="str">
        <f>IF(Table1[[#This Row],[Sales]]&lt;0,"loss","profit")</f>
        <v>profit</v>
      </c>
      <c r="U754" s="4" t="str" cm="1">
        <f t="array" ref="U754">_xlfn.IFS(Table1[[#This Row],[Sales]]&gt;2000,"large",Table1[[#This Row],[Sales]]&gt;=500,"medium",Table1[[#This Row],[Sales]]&lt;500,"small")</f>
        <v>small</v>
      </c>
      <c r="V754" s="22">
        <f>Table1[[#This Row],[Profit]]/Table1[[#This Row],[Sales]]*100</f>
        <v>27.949709864603484</v>
      </c>
    </row>
    <row r="755" spans="1:22" x14ac:dyDescent="0.35">
      <c r="A755" s="4" t="s">
        <v>1165</v>
      </c>
      <c r="B755" s="5">
        <v>45934</v>
      </c>
      <c r="C755" s="4" t="s">
        <v>245</v>
      </c>
      <c r="D755" s="4" t="s">
        <v>20</v>
      </c>
      <c r="E755" s="4" t="s">
        <v>36</v>
      </c>
      <c r="F755" s="4" t="s">
        <v>48</v>
      </c>
      <c r="G755" s="4" t="s">
        <v>38</v>
      </c>
      <c r="H755" s="4" t="s">
        <v>109</v>
      </c>
      <c r="I755" s="4">
        <v>4</v>
      </c>
      <c r="J755" s="6">
        <v>766.76</v>
      </c>
      <c r="K755" s="7">
        <v>0.15</v>
      </c>
      <c r="L755" s="6">
        <f t="shared" si="22"/>
        <v>2606.9839999999999</v>
      </c>
      <c r="M755" s="6">
        <v>676.29</v>
      </c>
      <c r="N755" s="8">
        <f t="shared" si="23"/>
        <v>-98.175999999999931</v>
      </c>
      <c r="O755" s="4" t="s">
        <v>40</v>
      </c>
      <c r="P755" s="4" t="s">
        <v>56</v>
      </c>
      <c r="Q755" s="4">
        <v>4</v>
      </c>
      <c r="R755" s="4" t="str">
        <f>TEXT(Table1[[#This Row],[Order Date]],"mmm")</f>
        <v>Oct</v>
      </c>
      <c r="S755" s="4" t="str">
        <f>TEXT(Table1[[#This Row],[Order Date]],"mm")</f>
        <v>10</v>
      </c>
      <c r="T755" s="4" t="str">
        <f>IF(Table1[[#This Row],[Sales]]&lt;0,"loss","profit")</f>
        <v>profit</v>
      </c>
      <c r="U755" s="4" t="str" cm="1">
        <f t="array" ref="U755">_xlfn.IFS(Table1[[#This Row],[Sales]]&gt;2000,"large",Table1[[#This Row],[Sales]]&gt;=500,"medium",Table1[[#This Row],[Sales]]&lt;500,"small")</f>
        <v>large</v>
      </c>
      <c r="V755" s="22">
        <f>Table1[[#This Row],[Profit]]/Table1[[#This Row],[Sales]]*100</f>
        <v>-3.7658842555228547</v>
      </c>
    </row>
    <row r="756" spans="1:22" x14ac:dyDescent="0.35">
      <c r="A756" s="4" t="s">
        <v>1166</v>
      </c>
      <c r="B756" s="5">
        <v>45935</v>
      </c>
      <c r="C756" s="4" t="s">
        <v>493</v>
      </c>
      <c r="D756" s="4" t="s">
        <v>43</v>
      </c>
      <c r="E756" s="4" t="s">
        <v>36</v>
      </c>
      <c r="F756" s="4" t="s">
        <v>37</v>
      </c>
      <c r="G756" s="4" t="s">
        <v>38</v>
      </c>
      <c r="H756" s="4" t="s">
        <v>96</v>
      </c>
      <c r="I756" s="4">
        <v>2</v>
      </c>
      <c r="J756" s="6">
        <v>513.70000000000005</v>
      </c>
      <c r="K756" s="7">
        <v>0</v>
      </c>
      <c r="L756" s="6">
        <f t="shared" si="22"/>
        <v>1027.4000000000001</v>
      </c>
      <c r="M756" s="6">
        <v>387.1</v>
      </c>
      <c r="N756" s="8">
        <f t="shared" si="23"/>
        <v>253.20000000000005</v>
      </c>
      <c r="O756" s="4" t="s">
        <v>60</v>
      </c>
      <c r="P756" s="4" t="s">
        <v>118</v>
      </c>
      <c r="Q756" s="4">
        <v>4</v>
      </c>
      <c r="R756" s="4" t="str">
        <f>TEXT(Table1[[#This Row],[Order Date]],"mmm")</f>
        <v>Oct</v>
      </c>
      <c r="S756" s="4" t="str">
        <f>TEXT(Table1[[#This Row],[Order Date]],"mm")</f>
        <v>10</v>
      </c>
      <c r="T756" s="4" t="str">
        <f>IF(Table1[[#This Row],[Sales]]&lt;0,"loss","profit")</f>
        <v>profit</v>
      </c>
      <c r="U756" s="4" t="str" cm="1">
        <f t="array" ref="U756">_xlfn.IFS(Table1[[#This Row],[Sales]]&gt;2000,"large",Table1[[#This Row],[Sales]]&gt;=500,"medium",Table1[[#This Row],[Sales]]&lt;500,"small")</f>
        <v>medium</v>
      </c>
      <c r="V756" s="22">
        <f>Table1[[#This Row],[Profit]]/Table1[[#This Row],[Sales]]*100</f>
        <v>24.644734280708587</v>
      </c>
    </row>
    <row r="757" spans="1:22" x14ac:dyDescent="0.35">
      <c r="A757" s="4" t="s">
        <v>1167</v>
      </c>
      <c r="B757" s="5">
        <v>45935</v>
      </c>
      <c r="C757" s="4" t="s">
        <v>734</v>
      </c>
      <c r="D757" s="4" t="s">
        <v>43</v>
      </c>
      <c r="E757" s="4" t="s">
        <v>29</v>
      </c>
      <c r="F757" s="4" t="s">
        <v>54</v>
      </c>
      <c r="G757" s="4" t="s">
        <v>49</v>
      </c>
      <c r="H757" s="4" t="s">
        <v>128</v>
      </c>
      <c r="I757" s="4">
        <v>1</v>
      </c>
      <c r="J757" s="6">
        <v>111.87</v>
      </c>
      <c r="K757" s="7">
        <v>0.1</v>
      </c>
      <c r="L757" s="6">
        <f t="shared" si="22"/>
        <v>100.68300000000001</v>
      </c>
      <c r="M757" s="6">
        <v>82.22</v>
      </c>
      <c r="N757" s="8">
        <f t="shared" si="23"/>
        <v>18.463000000000008</v>
      </c>
      <c r="O757" s="4" t="s">
        <v>84</v>
      </c>
      <c r="P757" s="4" t="s">
        <v>26</v>
      </c>
      <c r="Q757" s="4">
        <v>2</v>
      </c>
      <c r="R757" s="4" t="str">
        <f>TEXT(Table1[[#This Row],[Order Date]],"mmm")</f>
        <v>Oct</v>
      </c>
      <c r="S757" s="4" t="str">
        <f>TEXT(Table1[[#This Row],[Order Date]],"mm")</f>
        <v>10</v>
      </c>
      <c r="T757" s="4" t="str">
        <f>IF(Table1[[#This Row],[Sales]]&lt;0,"loss","profit")</f>
        <v>profit</v>
      </c>
      <c r="U757" s="4" t="str" cm="1">
        <f t="array" ref="U757">_xlfn.IFS(Table1[[#This Row],[Sales]]&gt;2000,"large",Table1[[#This Row],[Sales]]&gt;=500,"medium",Table1[[#This Row],[Sales]]&lt;500,"small")</f>
        <v>small</v>
      </c>
      <c r="V757" s="22">
        <f>Table1[[#This Row],[Profit]]/Table1[[#This Row],[Sales]]*100</f>
        <v>18.337753146012741</v>
      </c>
    </row>
    <row r="758" spans="1:22" x14ac:dyDescent="0.35">
      <c r="A758" s="4" t="s">
        <v>1168</v>
      </c>
      <c r="B758" s="5">
        <v>45936</v>
      </c>
      <c r="C758" s="4" t="s">
        <v>1169</v>
      </c>
      <c r="D758" s="4" t="s">
        <v>47</v>
      </c>
      <c r="E758" s="4" t="s">
        <v>36</v>
      </c>
      <c r="F758" s="4" t="s">
        <v>201</v>
      </c>
      <c r="G758" s="4" t="s">
        <v>38</v>
      </c>
      <c r="H758" s="4" t="s">
        <v>39</v>
      </c>
      <c r="I758" s="4">
        <v>4</v>
      </c>
      <c r="J758" s="6">
        <v>361.79</v>
      </c>
      <c r="K758" s="7">
        <v>0.1</v>
      </c>
      <c r="L758" s="6">
        <f t="shared" si="22"/>
        <v>1302.4440000000002</v>
      </c>
      <c r="M758" s="6">
        <v>297.72000000000003</v>
      </c>
      <c r="N758" s="8">
        <f t="shared" si="23"/>
        <v>111.56400000000008</v>
      </c>
      <c r="O758" s="4" t="s">
        <v>84</v>
      </c>
      <c r="P758" s="4" t="s">
        <v>72</v>
      </c>
      <c r="Q758" s="4">
        <v>5</v>
      </c>
      <c r="R758" s="4" t="str">
        <f>TEXT(Table1[[#This Row],[Order Date]],"mmm")</f>
        <v>Oct</v>
      </c>
      <c r="S758" s="4" t="str">
        <f>TEXT(Table1[[#This Row],[Order Date]],"mm")</f>
        <v>10</v>
      </c>
      <c r="T758" s="4" t="str">
        <f>IF(Table1[[#This Row],[Sales]]&lt;0,"loss","profit")</f>
        <v>profit</v>
      </c>
      <c r="U758" s="4" t="str" cm="1">
        <f t="array" ref="U758">_xlfn.IFS(Table1[[#This Row],[Sales]]&gt;2000,"large",Table1[[#This Row],[Sales]]&gt;=500,"medium",Table1[[#This Row],[Sales]]&lt;500,"small")</f>
        <v>medium</v>
      </c>
      <c r="V758" s="22">
        <f>Table1[[#This Row],[Profit]]/Table1[[#This Row],[Sales]]*100</f>
        <v>8.5657425578374244</v>
      </c>
    </row>
    <row r="759" spans="1:22" x14ac:dyDescent="0.35">
      <c r="A759" s="4" t="s">
        <v>1170</v>
      </c>
      <c r="B759" s="5">
        <v>45937</v>
      </c>
      <c r="C759" s="4" t="s">
        <v>511</v>
      </c>
      <c r="D759" s="4" t="s">
        <v>43</v>
      </c>
      <c r="E759" s="4" t="s">
        <v>29</v>
      </c>
      <c r="F759" s="4" t="s">
        <v>54</v>
      </c>
      <c r="G759" s="4" t="s">
        <v>67</v>
      </c>
      <c r="H759" s="4" t="s">
        <v>68</v>
      </c>
      <c r="I759" s="4">
        <v>1</v>
      </c>
      <c r="J759" s="6">
        <v>1081.07</v>
      </c>
      <c r="K759" s="7">
        <v>0.05</v>
      </c>
      <c r="L759" s="6">
        <f t="shared" si="22"/>
        <v>1027.0165</v>
      </c>
      <c r="M759" s="6">
        <v>753.84</v>
      </c>
      <c r="N759" s="8">
        <f t="shared" si="23"/>
        <v>273.17649999999992</v>
      </c>
      <c r="O759" s="4" t="s">
        <v>51</v>
      </c>
      <c r="P759" s="4" t="s">
        <v>56</v>
      </c>
      <c r="Q759" s="4">
        <v>3</v>
      </c>
      <c r="R759" s="4" t="str">
        <f>TEXT(Table1[[#This Row],[Order Date]],"mmm")</f>
        <v>Oct</v>
      </c>
      <c r="S759" s="4" t="str">
        <f>TEXT(Table1[[#This Row],[Order Date]],"mm")</f>
        <v>10</v>
      </c>
      <c r="T759" s="4" t="str">
        <f>IF(Table1[[#This Row],[Sales]]&lt;0,"loss","profit")</f>
        <v>profit</v>
      </c>
      <c r="U759" s="4" t="str" cm="1">
        <f t="array" ref="U759">_xlfn.IFS(Table1[[#This Row],[Sales]]&gt;2000,"large",Table1[[#This Row],[Sales]]&gt;=500,"medium",Table1[[#This Row],[Sales]]&lt;500,"small")</f>
        <v>medium</v>
      </c>
      <c r="V759" s="22">
        <f>Table1[[#This Row],[Profit]]/Table1[[#This Row],[Sales]]*100</f>
        <v>26.599037113814621</v>
      </c>
    </row>
    <row r="760" spans="1:22" x14ac:dyDescent="0.35">
      <c r="A760" s="4" t="s">
        <v>1171</v>
      </c>
      <c r="B760" s="5">
        <v>45937</v>
      </c>
      <c r="C760" s="4" t="s">
        <v>166</v>
      </c>
      <c r="D760" s="4" t="s">
        <v>43</v>
      </c>
      <c r="E760" s="4" t="s">
        <v>87</v>
      </c>
      <c r="F760" s="4" t="s">
        <v>92</v>
      </c>
      <c r="G760" s="4" t="s">
        <v>49</v>
      </c>
      <c r="H760" s="4" t="s">
        <v>50</v>
      </c>
      <c r="I760" s="4">
        <v>1</v>
      </c>
      <c r="J760" s="6">
        <v>21.14</v>
      </c>
      <c r="K760" s="7">
        <v>0.1</v>
      </c>
      <c r="L760" s="6">
        <f t="shared" si="22"/>
        <v>19.026</v>
      </c>
      <c r="M760" s="6">
        <v>12.07</v>
      </c>
      <c r="N760" s="8">
        <f t="shared" si="23"/>
        <v>6.9559999999999995</v>
      </c>
      <c r="O760" s="4" t="s">
        <v>25</v>
      </c>
      <c r="P760" s="4" t="s">
        <v>56</v>
      </c>
      <c r="Q760" s="4">
        <v>5</v>
      </c>
      <c r="R760" s="4" t="str">
        <f>TEXT(Table1[[#This Row],[Order Date]],"mmm")</f>
        <v>Oct</v>
      </c>
      <c r="S760" s="4" t="str">
        <f>TEXT(Table1[[#This Row],[Order Date]],"mm")</f>
        <v>10</v>
      </c>
      <c r="T760" s="4" t="str">
        <f>IF(Table1[[#This Row],[Sales]]&lt;0,"loss","profit")</f>
        <v>profit</v>
      </c>
      <c r="U760" s="4" t="str" cm="1">
        <f t="array" ref="U760">_xlfn.IFS(Table1[[#This Row],[Sales]]&gt;2000,"large",Table1[[#This Row],[Sales]]&gt;=500,"medium",Table1[[#This Row],[Sales]]&lt;500,"small")</f>
        <v>small</v>
      </c>
      <c r="V760" s="22">
        <f>Table1[[#This Row],[Profit]]/Table1[[#This Row],[Sales]]*100</f>
        <v>36.560496163145167</v>
      </c>
    </row>
    <row r="761" spans="1:22" x14ac:dyDescent="0.35">
      <c r="A761" s="4" t="s">
        <v>1172</v>
      </c>
      <c r="B761" s="5">
        <v>45937</v>
      </c>
      <c r="C761" s="4" t="s">
        <v>291</v>
      </c>
      <c r="D761" s="4" t="s">
        <v>47</v>
      </c>
      <c r="E761" s="4" t="s">
        <v>29</v>
      </c>
      <c r="F761" s="4" t="s">
        <v>108</v>
      </c>
      <c r="G761" s="4" t="s">
        <v>38</v>
      </c>
      <c r="H761" s="4" t="s">
        <v>96</v>
      </c>
      <c r="I761" s="4">
        <v>2</v>
      </c>
      <c r="J761" s="6">
        <v>266.64</v>
      </c>
      <c r="K761" s="7">
        <v>0.05</v>
      </c>
      <c r="L761" s="6">
        <f t="shared" si="22"/>
        <v>506.61599999999993</v>
      </c>
      <c r="M761" s="6">
        <v>224.1</v>
      </c>
      <c r="N761" s="8">
        <f t="shared" si="23"/>
        <v>58.41599999999994</v>
      </c>
      <c r="O761" s="4" t="s">
        <v>60</v>
      </c>
      <c r="P761" s="4" t="s">
        <v>97</v>
      </c>
      <c r="Q761" s="4">
        <v>5</v>
      </c>
      <c r="R761" s="4" t="str">
        <f>TEXT(Table1[[#This Row],[Order Date]],"mmm")</f>
        <v>Oct</v>
      </c>
      <c r="S761" s="4" t="str">
        <f>TEXT(Table1[[#This Row],[Order Date]],"mm")</f>
        <v>10</v>
      </c>
      <c r="T761" s="4" t="str">
        <f>IF(Table1[[#This Row],[Sales]]&lt;0,"loss","profit")</f>
        <v>profit</v>
      </c>
      <c r="U761" s="4" t="str" cm="1">
        <f t="array" ref="U761">_xlfn.IFS(Table1[[#This Row],[Sales]]&gt;2000,"large",Table1[[#This Row],[Sales]]&gt;=500,"medium",Table1[[#This Row],[Sales]]&lt;500,"small")</f>
        <v>medium</v>
      </c>
      <c r="V761" s="22">
        <f>Table1[[#This Row],[Profit]]/Table1[[#This Row],[Sales]]*100</f>
        <v>11.530626746885204</v>
      </c>
    </row>
    <row r="762" spans="1:22" x14ac:dyDescent="0.35">
      <c r="A762" s="4" t="s">
        <v>1173</v>
      </c>
      <c r="B762" s="5">
        <v>45937</v>
      </c>
      <c r="C762" s="4" t="s">
        <v>429</v>
      </c>
      <c r="D762" s="4" t="s">
        <v>20</v>
      </c>
      <c r="E762" s="4" t="s">
        <v>36</v>
      </c>
      <c r="F762" s="4" t="s">
        <v>37</v>
      </c>
      <c r="G762" s="4" t="s">
        <v>23</v>
      </c>
      <c r="H762" s="4" t="s">
        <v>71</v>
      </c>
      <c r="I762" s="4">
        <v>3</v>
      </c>
      <c r="J762" s="6">
        <v>78.150000000000006</v>
      </c>
      <c r="K762" s="7">
        <v>0.05</v>
      </c>
      <c r="L762" s="6">
        <f t="shared" si="22"/>
        <v>222.72749999999999</v>
      </c>
      <c r="M762" s="6">
        <v>47.35</v>
      </c>
      <c r="N762" s="8">
        <f t="shared" si="23"/>
        <v>80.677499999999981</v>
      </c>
      <c r="O762" s="4" t="s">
        <v>60</v>
      </c>
      <c r="P762" s="4" t="s">
        <v>72</v>
      </c>
      <c r="Q762" s="4">
        <v>5</v>
      </c>
      <c r="R762" s="4" t="str">
        <f>TEXT(Table1[[#This Row],[Order Date]],"mmm")</f>
        <v>Oct</v>
      </c>
      <c r="S762" s="4" t="str">
        <f>TEXT(Table1[[#This Row],[Order Date]],"mm")</f>
        <v>10</v>
      </c>
      <c r="T762" s="4" t="str">
        <f>IF(Table1[[#This Row],[Sales]]&lt;0,"loss","profit")</f>
        <v>profit</v>
      </c>
      <c r="U762" s="4" t="str" cm="1">
        <f t="array" ref="U762">_xlfn.IFS(Table1[[#This Row],[Sales]]&gt;2000,"large",Table1[[#This Row],[Sales]]&gt;=500,"medium",Table1[[#This Row],[Sales]]&lt;500,"small")</f>
        <v>small</v>
      </c>
      <c r="V762" s="22">
        <f>Table1[[#This Row],[Profit]]/Table1[[#This Row],[Sales]]*100</f>
        <v>36.222514058659115</v>
      </c>
    </row>
    <row r="763" spans="1:22" x14ac:dyDescent="0.35">
      <c r="A763" s="4" t="s">
        <v>1174</v>
      </c>
      <c r="B763" s="5">
        <v>45938</v>
      </c>
      <c r="C763" s="4" t="s">
        <v>111</v>
      </c>
      <c r="D763" s="4" t="s">
        <v>20</v>
      </c>
      <c r="E763" s="4" t="s">
        <v>87</v>
      </c>
      <c r="F763" s="4" t="s">
        <v>88</v>
      </c>
      <c r="G763" s="4" t="s">
        <v>38</v>
      </c>
      <c r="H763" s="4" t="s">
        <v>89</v>
      </c>
      <c r="I763" s="4">
        <v>2</v>
      </c>
      <c r="J763" s="6">
        <v>1321.29</v>
      </c>
      <c r="K763" s="7">
        <v>0</v>
      </c>
      <c r="L763" s="6">
        <f t="shared" si="22"/>
        <v>2642.58</v>
      </c>
      <c r="M763" s="6">
        <v>1075.1500000000001</v>
      </c>
      <c r="N763" s="8">
        <f t="shared" si="23"/>
        <v>492.27999999999975</v>
      </c>
      <c r="O763" s="4" t="s">
        <v>40</v>
      </c>
      <c r="P763" s="4" t="s">
        <v>97</v>
      </c>
      <c r="Q763" s="4">
        <v>4</v>
      </c>
      <c r="R763" s="4" t="str">
        <f>TEXT(Table1[[#This Row],[Order Date]],"mmm")</f>
        <v>Oct</v>
      </c>
      <c r="S763" s="4" t="str">
        <f>TEXT(Table1[[#This Row],[Order Date]],"mm")</f>
        <v>10</v>
      </c>
      <c r="T763" s="4" t="str">
        <f>IF(Table1[[#This Row],[Sales]]&lt;0,"loss","profit")</f>
        <v>profit</v>
      </c>
      <c r="U763" s="4" t="str" cm="1">
        <f t="array" ref="U763">_xlfn.IFS(Table1[[#This Row],[Sales]]&gt;2000,"large",Table1[[#This Row],[Sales]]&gt;=500,"medium",Table1[[#This Row],[Sales]]&lt;500,"small")</f>
        <v>large</v>
      </c>
      <c r="V763" s="22">
        <f>Table1[[#This Row],[Profit]]/Table1[[#This Row],[Sales]]*100</f>
        <v>18.628764313663154</v>
      </c>
    </row>
    <row r="764" spans="1:22" x14ac:dyDescent="0.35">
      <c r="A764" s="4" t="s">
        <v>1175</v>
      </c>
      <c r="B764" s="5">
        <v>45938</v>
      </c>
      <c r="C764" s="4" t="s">
        <v>53</v>
      </c>
      <c r="D764" s="4" t="s">
        <v>20</v>
      </c>
      <c r="E764" s="4" t="s">
        <v>87</v>
      </c>
      <c r="F764" s="4" t="s">
        <v>92</v>
      </c>
      <c r="G764" s="4" t="s">
        <v>38</v>
      </c>
      <c r="H764" s="4" t="s">
        <v>55</v>
      </c>
      <c r="I764" s="4">
        <v>3</v>
      </c>
      <c r="J764" s="6">
        <v>163.69999999999999</v>
      </c>
      <c r="K764" s="7">
        <v>0.1</v>
      </c>
      <c r="L764" s="6">
        <f t="shared" si="22"/>
        <v>441.98999999999995</v>
      </c>
      <c r="M764" s="6">
        <v>143.13</v>
      </c>
      <c r="N764" s="8">
        <f t="shared" si="23"/>
        <v>12.599999999999966</v>
      </c>
      <c r="O764" s="4" t="s">
        <v>60</v>
      </c>
      <c r="P764" s="4" t="s">
        <v>56</v>
      </c>
      <c r="Q764" s="4">
        <v>3</v>
      </c>
      <c r="R764" s="4" t="str">
        <f>TEXT(Table1[[#This Row],[Order Date]],"mmm")</f>
        <v>Oct</v>
      </c>
      <c r="S764" s="4" t="str">
        <f>TEXT(Table1[[#This Row],[Order Date]],"mm")</f>
        <v>10</v>
      </c>
      <c r="T764" s="4" t="str">
        <f>IF(Table1[[#This Row],[Sales]]&lt;0,"loss","profit")</f>
        <v>profit</v>
      </c>
      <c r="U764" s="4" t="str" cm="1">
        <f t="array" ref="U764">_xlfn.IFS(Table1[[#This Row],[Sales]]&gt;2000,"large",Table1[[#This Row],[Sales]]&gt;=500,"medium",Table1[[#This Row],[Sales]]&lt;500,"small")</f>
        <v>small</v>
      </c>
      <c r="V764" s="22">
        <f>Table1[[#This Row],[Profit]]/Table1[[#This Row],[Sales]]*100</f>
        <v>2.8507432294848223</v>
      </c>
    </row>
    <row r="765" spans="1:22" x14ac:dyDescent="0.35">
      <c r="A765" s="4" t="s">
        <v>1176</v>
      </c>
      <c r="B765" s="5">
        <v>45939</v>
      </c>
      <c r="C765" s="4" t="s">
        <v>317</v>
      </c>
      <c r="D765" s="4" t="s">
        <v>43</v>
      </c>
      <c r="E765" s="4" t="s">
        <v>87</v>
      </c>
      <c r="F765" s="4" t="s">
        <v>88</v>
      </c>
      <c r="G765" s="4" t="s">
        <v>49</v>
      </c>
      <c r="H765" s="4" t="s">
        <v>187</v>
      </c>
      <c r="I765" s="4">
        <v>2</v>
      </c>
      <c r="J765" s="6">
        <v>140.86000000000001</v>
      </c>
      <c r="K765" s="7">
        <v>0</v>
      </c>
      <c r="L765" s="6">
        <f t="shared" si="22"/>
        <v>281.72000000000003</v>
      </c>
      <c r="M765" s="6">
        <v>81.63</v>
      </c>
      <c r="N765" s="8">
        <f t="shared" si="23"/>
        <v>118.46000000000004</v>
      </c>
      <c r="O765" s="4" t="s">
        <v>40</v>
      </c>
      <c r="P765" s="4" t="s">
        <v>61</v>
      </c>
      <c r="Q765" s="4">
        <v>5</v>
      </c>
      <c r="R765" s="4" t="str">
        <f>TEXT(Table1[[#This Row],[Order Date]],"mmm")</f>
        <v>Oct</v>
      </c>
      <c r="S765" s="4" t="str">
        <f>TEXT(Table1[[#This Row],[Order Date]],"mm")</f>
        <v>10</v>
      </c>
      <c r="T765" s="4" t="str">
        <f>IF(Table1[[#This Row],[Sales]]&lt;0,"loss","profit")</f>
        <v>profit</v>
      </c>
      <c r="U765" s="4" t="str" cm="1">
        <f t="array" ref="U765">_xlfn.IFS(Table1[[#This Row],[Sales]]&gt;2000,"large",Table1[[#This Row],[Sales]]&gt;=500,"medium",Table1[[#This Row],[Sales]]&lt;500,"small")</f>
        <v>small</v>
      </c>
      <c r="V765" s="22">
        <f>Table1[[#This Row],[Profit]]/Table1[[#This Row],[Sales]]*100</f>
        <v>42.048842822660809</v>
      </c>
    </row>
    <row r="766" spans="1:22" x14ac:dyDescent="0.35">
      <c r="A766" s="4" t="s">
        <v>1177</v>
      </c>
      <c r="B766" s="5">
        <v>45939</v>
      </c>
      <c r="C766" s="4" t="s">
        <v>371</v>
      </c>
      <c r="D766" s="4" t="s">
        <v>20</v>
      </c>
      <c r="E766" s="4" t="s">
        <v>36</v>
      </c>
      <c r="F766" s="4" t="s">
        <v>48</v>
      </c>
      <c r="G766" s="4" t="s">
        <v>31</v>
      </c>
      <c r="H766" s="4" t="s">
        <v>32</v>
      </c>
      <c r="I766" s="4">
        <v>1</v>
      </c>
      <c r="J766" s="6">
        <v>180.24</v>
      </c>
      <c r="K766" s="7">
        <v>0.1</v>
      </c>
      <c r="L766" s="6">
        <f t="shared" si="22"/>
        <v>162.21600000000001</v>
      </c>
      <c r="M766" s="6">
        <v>128.78</v>
      </c>
      <c r="N766" s="8">
        <f t="shared" si="23"/>
        <v>33.436000000000007</v>
      </c>
      <c r="O766" s="4" t="s">
        <v>25</v>
      </c>
      <c r="P766" s="4" t="s">
        <v>26</v>
      </c>
      <c r="Q766" s="4">
        <v>4</v>
      </c>
      <c r="R766" s="4" t="str">
        <f>TEXT(Table1[[#This Row],[Order Date]],"mmm")</f>
        <v>Oct</v>
      </c>
      <c r="S766" s="4" t="str">
        <f>TEXT(Table1[[#This Row],[Order Date]],"mm")</f>
        <v>10</v>
      </c>
      <c r="T766" s="4" t="str">
        <f>IF(Table1[[#This Row],[Sales]]&lt;0,"loss","profit")</f>
        <v>profit</v>
      </c>
      <c r="U766" s="4" t="str" cm="1">
        <f t="array" ref="U766">_xlfn.IFS(Table1[[#This Row],[Sales]]&gt;2000,"large",Table1[[#This Row],[Sales]]&gt;=500,"medium",Table1[[#This Row],[Sales]]&lt;500,"small")</f>
        <v>small</v>
      </c>
      <c r="V766" s="22">
        <f>Table1[[#This Row],[Profit]]/Table1[[#This Row],[Sales]]*100</f>
        <v>20.612023474873013</v>
      </c>
    </row>
    <row r="767" spans="1:22" x14ac:dyDescent="0.35">
      <c r="A767" s="4" t="s">
        <v>1178</v>
      </c>
      <c r="B767" s="5">
        <v>45939</v>
      </c>
      <c r="C767" s="4" t="s">
        <v>1179</v>
      </c>
      <c r="D767" s="4" t="s">
        <v>20</v>
      </c>
      <c r="E767" s="4" t="s">
        <v>21</v>
      </c>
      <c r="F767" s="4" t="s">
        <v>59</v>
      </c>
      <c r="G767" s="4" t="s">
        <v>23</v>
      </c>
      <c r="H767" s="4" t="s">
        <v>24</v>
      </c>
      <c r="I767" s="4">
        <v>3</v>
      </c>
      <c r="J767" s="6">
        <v>55.72</v>
      </c>
      <c r="K767" s="7">
        <v>0</v>
      </c>
      <c r="L767" s="6">
        <f t="shared" si="22"/>
        <v>167.16</v>
      </c>
      <c r="M767" s="6">
        <v>35.590000000000003</v>
      </c>
      <c r="N767" s="8">
        <f t="shared" si="23"/>
        <v>60.389999999999986</v>
      </c>
      <c r="O767" s="4" t="s">
        <v>51</v>
      </c>
      <c r="P767" s="4" t="s">
        <v>61</v>
      </c>
      <c r="Q767" s="4">
        <v>5</v>
      </c>
      <c r="R767" s="4" t="str">
        <f>TEXT(Table1[[#This Row],[Order Date]],"mmm")</f>
        <v>Oct</v>
      </c>
      <c r="S767" s="4" t="str">
        <f>TEXT(Table1[[#This Row],[Order Date]],"mm")</f>
        <v>10</v>
      </c>
      <c r="T767" s="4" t="str">
        <f>IF(Table1[[#This Row],[Sales]]&lt;0,"loss","profit")</f>
        <v>profit</v>
      </c>
      <c r="U767" s="4" t="str" cm="1">
        <f t="array" ref="U767">_xlfn.IFS(Table1[[#This Row],[Sales]]&gt;2000,"large",Table1[[#This Row],[Sales]]&gt;=500,"medium",Table1[[#This Row],[Sales]]&lt;500,"small")</f>
        <v>small</v>
      </c>
      <c r="V767" s="22">
        <f>Table1[[#This Row],[Profit]]/Table1[[#This Row],[Sales]]*100</f>
        <v>36.12706389088298</v>
      </c>
    </row>
    <row r="768" spans="1:22" x14ac:dyDescent="0.35">
      <c r="A768" s="4" t="s">
        <v>1180</v>
      </c>
      <c r="B768" s="5">
        <v>45940</v>
      </c>
      <c r="C768" s="4" t="s">
        <v>722</v>
      </c>
      <c r="D768" s="4" t="s">
        <v>20</v>
      </c>
      <c r="E768" s="4" t="s">
        <v>29</v>
      </c>
      <c r="F768" s="4" t="s">
        <v>30</v>
      </c>
      <c r="G768" s="4" t="s">
        <v>31</v>
      </c>
      <c r="H768" s="4" t="s">
        <v>147</v>
      </c>
      <c r="I768" s="4">
        <v>4</v>
      </c>
      <c r="J768" s="6">
        <v>53.94</v>
      </c>
      <c r="K768" s="7">
        <v>0.2</v>
      </c>
      <c r="L768" s="6">
        <f t="shared" si="22"/>
        <v>172.608</v>
      </c>
      <c r="M768" s="6">
        <v>32.51</v>
      </c>
      <c r="N768" s="8">
        <f t="shared" si="23"/>
        <v>42.568000000000012</v>
      </c>
      <c r="O768" s="4" t="s">
        <v>40</v>
      </c>
      <c r="P768" s="4" t="s">
        <v>33</v>
      </c>
      <c r="Q768" s="4">
        <v>4</v>
      </c>
      <c r="R768" s="4" t="str">
        <f>TEXT(Table1[[#This Row],[Order Date]],"mmm")</f>
        <v>Oct</v>
      </c>
      <c r="S768" s="4" t="str">
        <f>TEXT(Table1[[#This Row],[Order Date]],"mm")</f>
        <v>10</v>
      </c>
      <c r="T768" s="4" t="str">
        <f>IF(Table1[[#This Row],[Sales]]&lt;0,"loss","profit")</f>
        <v>profit</v>
      </c>
      <c r="U768" s="4" t="str" cm="1">
        <f t="array" ref="U768">_xlfn.IFS(Table1[[#This Row],[Sales]]&gt;2000,"large",Table1[[#This Row],[Sales]]&gt;=500,"medium",Table1[[#This Row],[Sales]]&lt;500,"small")</f>
        <v>small</v>
      </c>
      <c r="V768" s="22">
        <f>Table1[[#This Row],[Profit]]/Table1[[#This Row],[Sales]]*100</f>
        <v>24.661661104931412</v>
      </c>
    </row>
    <row r="769" spans="1:22" x14ac:dyDescent="0.35">
      <c r="A769" s="4" t="s">
        <v>1181</v>
      </c>
      <c r="B769" s="5">
        <v>45940</v>
      </c>
      <c r="C769" s="4" t="s">
        <v>1182</v>
      </c>
      <c r="D769" s="4" t="s">
        <v>47</v>
      </c>
      <c r="E769" s="4" t="s">
        <v>29</v>
      </c>
      <c r="F769" s="4" t="s">
        <v>54</v>
      </c>
      <c r="G769" s="4" t="s">
        <v>38</v>
      </c>
      <c r="H769" s="4" t="s">
        <v>55</v>
      </c>
      <c r="I769" s="4">
        <v>1</v>
      </c>
      <c r="J769" s="6">
        <v>111.31</v>
      </c>
      <c r="K769" s="7">
        <v>0.05</v>
      </c>
      <c r="L769" s="6">
        <f t="shared" si="22"/>
        <v>105.7445</v>
      </c>
      <c r="M769" s="6">
        <v>94.61</v>
      </c>
      <c r="N769" s="8">
        <f t="shared" si="23"/>
        <v>11.134500000000003</v>
      </c>
      <c r="O769" s="4" t="s">
        <v>84</v>
      </c>
      <c r="P769" s="4" t="s">
        <v>97</v>
      </c>
      <c r="Q769" s="4">
        <v>5</v>
      </c>
      <c r="R769" s="4" t="str">
        <f>TEXT(Table1[[#This Row],[Order Date]],"mmm")</f>
        <v>Oct</v>
      </c>
      <c r="S769" s="4" t="str">
        <f>TEXT(Table1[[#This Row],[Order Date]],"mm")</f>
        <v>10</v>
      </c>
      <c r="T769" s="4" t="str">
        <f>IF(Table1[[#This Row],[Sales]]&lt;0,"loss","profit")</f>
        <v>profit</v>
      </c>
      <c r="U769" s="4" t="str" cm="1">
        <f t="array" ref="U769">_xlfn.IFS(Table1[[#This Row],[Sales]]&gt;2000,"large",Table1[[#This Row],[Sales]]&gt;=500,"medium",Table1[[#This Row],[Sales]]&lt;500,"small")</f>
        <v>small</v>
      </c>
      <c r="V769" s="22">
        <f>Table1[[#This Row],[Profit]]/Table1[[#This Row],[Sales]]*100</f>
        <v>10.529625654289351</v>
      </c>
    </row>
    <row r="770" spans="1:22" x14ac:dyDescent="0.35">
      <c r="A770" s="4" t="s">
        <v>1183</v>
      </c>
      <c r="B770" s="5">
        <v>45940</v>
      </c>
      <c r="C770" s="4" t="s">
        <v>1015</v>
      </c>
      <c r="D770" s="4" t="s">
        <v>20</v>
      </c>
      <c r="E770" s="4" t="s">
        <v>29</v>
      </c>
      <c r="F770" s="4" t="s">
        <v>30</v>
      </c>
      <c r="G770" s="4" t="s">
        <v>31</v>
      </c>
      <c r="H770" s="4" t="s">
        <v>125</v>
      </c>
      <c r="I770" s="4">
        <v>1</v>
      </c>
      <c r="J770" s="6">
        <v>90.72</v>
      </c>
      <c r="K770" s="7">
        <v>0</v>
      </c>
      <c r="L770" s="6">
        <f t="shared" ref="L770:L833" si="24">I770*J770*(1-K770)</f>
        <v>90.72</v>
      </c>
      <c r="M770" s="6">
        <v>67.48</v>
      </c>
      <c r="N770" s="8">
        <f t="shared" ref="N770:N833" si="25">L770-I770*M770</f>
        <v>23.239999999999995</v>
      </c>
      <c r="O770" s="4" t="s">
        <v>60</v>
      </c>
      <c r="P770" s="4" t="s">
        <v>33</v>
      </c>
      <c r="Q770" s="4">
        <v>5</v>
      </c>
      <c r="R770" s="4" t="str">
        <f>TEXT(Table1[[#This Row],[Order Date]],"mmm")</f>
        <v>Oct</v>
      </c>
      <c r="S770" s="4" t="str">
        <f>TEXT(Table1[[#This Row],[Order Date]],"mm")</f>
        <v>10</v>
      </c>
      <c r="T770" s="4" t="str">
        <f>IF(Table1[[#This Row],[Sales]]&lt;0,"loss","profit")</f>
        <v>profit</v>
      </c>
      <c r="U770" s="4" t="str" cm="1">
        <f t="array" ref="U770">_xlfn.IFS(Table1[[#This Row],[Sales]]&gt;2000,"large",Table1[[#This Row],[Sales]]&gt;=500,"medium",Table1[[#This Row],[Sales]]&lt;500,"small")</f>
        <v>small</v>
      </c>
      <c r="V770" s="22">
        <f>Table1[[#This Row],[Profit]]/Table1[[#This Row],[Sales]]*100</f>
        <v>25.617283950617281</v>
      </c>
    </row>
    <row r="771" spans="1:22" x14ac:dyDescent="0.35">
      <c r="A771" s="4" t="s">
        <v>1184</v>
      </c>
      <c r="B771" s="5">
        <v>45940</v>
      </c>
      <c r="C771" s="4" t="s">
        <v>309</v>
      </c>
      <c r="D771" s="4" t="s">
        <v>43</v>
      </c>
      <c r="E771" s="4" t="s">
        <v>87</v>
      </c>
      <c r="F771" s="4" t="s">
        <v>92</v>
      </c>
      <c r="G771" s="4" t="s">
        <v>31</v>
      </c>
      <c r="H771" s="4" t="s">
        <v>32</v>
      </c>
      <c r="I771" s="4">
        <v>6</v>
      </c>
      <c r="J771" s="6">
        <v>395.82</v>
      </c>
      <c r="K771" s="7">
        <v>0</v>
      </c>
      <c r="L771" s="6">
        <f t="shared" si="24"/>
        <v>2374.92</v>
      </c>
      <c r="M771" s="6">
        <v>227.51</v>
      </c>
      <c r="N771" s="8">
        <f t="shared" si="25"/>
        <v>1009.8600000000001</v>
      </c>
      <c r="O771" s="4" t="s">
        <v>51</v>
      </c>
      <c r="P771" s="4" t="s">
        <v>97</v>
      </c>
      <c r="Q771" s="4">
        <v>5</v>
      </c>
      <c r="R771" s="4" t="str">
        <f>TEXT(Table1[[#This Row],[Order Date]],"mmm")</f>
        <v>Oct</v>
      </c>
      <c r="S771" s="4" t="str">
        <f>TEXT(Table1[[#This Row],[Order Date]],"mm")</f>
        <v>10</v>
      </c>
      <c r="T771" s="4" t="str">
        <f>IF(Table1[[#This Row],[Sales]]&lt;0,"loss","profit")</f>
        <v>profit</v>
      </c>
      <c r="U771" s="4" t="str" cm="1">
        <f t="array" ref="U771">_xlfn.IFS(Table1[[#This Row],[Sales]]&gt;2000,"large",Table1[[#This Row],[Sales]]&gt;=500,"medium",Table1[[#This Row],[Sales]]&lt;500,"small")</f>
        <v>large</v>
      </c>
      <c r="V771" s="22">
        <f>Table1[[#This Row],[Profit]]/Table1[[#This Row],[Sales]]*100</f>
        <v>42.521853367692394</v>
      </c>
    </row>
    <row r="772" spans="1:22" x14ac:dyDescent="0.35">
      <c r="A772" s="4" t="s">
        <v>1185</v>
      </c>
      <c r="B772" s="5">
        <v>45941</v>
      </c>
      <c r="C772" s="4" t="s">
        <v>589</v>
      </c>
      <c r="D772" s="4" t="s">
        <v>43</v>
      </c>
      <c r="E772" s="4" t="s">
        <v>36</v>
      </c>
      <c r="F772" s="4" t="s">
        <v>37</v>
      </c>
      <c r="G772" s="4" t="s">
        <v>67</v>
      </c>
      <c r="H772" s="4" t="s">
        <v>93</v>
      </c>
      <c r="I772" s="4">
        <v>1</v>
      </c>
      <c r="J772" s="6">
        <v>139.72999999999999</v>
      </c>
      <c r="K772" s="7">
        <v>0.1</v>
      </c>
      <c r="L772" s="6">
        <f t="shared" si="24"/>
        <v>125.75699999999999</v>
      </c>
      <c r="M772" s="6">
        <v>97.25</v>
      </c>
      <c r="N772" s="8">
        <f t="shared" si="25"/>
        <v>28.506999999999991</v>
      </c>
      <c r="O772" s="4" t="s">
        <v>25</v>
      </c>
      <c r="P772" s="4" t="s">
        <v>56</v>
      </c>
      <c r="Q772" s="4">
        <v>5</v>
      </c>
      <c r="R772" s="4" t="str">
        <f>TEXT(Table1[[#This Row],[Order Date]],"mmm")</f>
        <v>Oct</v>
      </c>
      <c r="S772" s="4" t="str">
        <f>TEXT(Table1[[#This Row],[Order Date]],"mm")</f>
        <v>10</v>
      </c>
      <c r="T772" s="4" t="str">
        <f>IF(Table1[[#This Row],[Sales]]&lt;0,"loss","profit")</f>
        <v>profit</v>
      </c>
      <c r="U772" s="4" t="str" cm="1">
        <f t="array" ref="U772">_xlfn.IFS(Table1[[#This Row],[Sales]]&gt;2000,"large",Table1[[#This Row],[Sales]]&gt;=500,"medium",Table1[[#This Row],[Sales]]&lt;500,"small")</f>
        <v>small</v>
      </c>
      <c r="V772" s="22">
        <f>Table1[[#This Row],[Profit]]/Table1[[#This Row],[Sales]]*100</f>
        <v>22.668320650142729</v>
      </c>
    </row>
    <row r="773" spans="1:22" x14ac:dyDescent="0.35">
      <c r="A773" s="4" t="s">
        <v>1186</v>
      </c>
      <c r="B773" s="5">
        <v>45941</v>
      </c>
      <c r="C773" s="4" t="s">
        <v>592</v>
      </c>
      <c r="D773" s="4" t="s">
        <v>43</v>
      </c>
      <c r="E773" s="4" t="s">
        <v>36</v>
      </c>
      <c r="F773" s="4" t="s">
        <v>37</v>
      </c>
      <c r="G773" s="4" t="s">
        <v>23</v>
      </c>
      <c r="H773" s="4" t="s">
        <v>24</v>
      </c>
      <c r="I773" s="4">
        <v>3</v>
      </c>
      <c r="J773" s="6">
        <v>55.31</v>
      </c>
      <c r="K773" s="7">
        <v>0</v>
      </c>
      <c r="L773" s="6">
        <f t="shared" si="24"/>
        <v>165.93</v>
      </c>
      <c r="M773" s="6">
        <v>33.869999999999997</v>
      </c>
      <c r="N773" s="8">
        <f t="shared" si="25"/>
        <v>64.320000000000022</v>
      </c>
      <c r="O773" s="4" t="s">
        <v>60</v>
      </c>
      <c r="P773" s="4" t="s">
        <v>33</v>
      </c>
      <c r="Q773" s="4">
        <v>1</v>
      </c>
      <c r="R773" s="4" t="str">
        <f>TEXT(Table1[[#This Row],[Order Date]],"mmm")</f>
        <v>Oct</v>
      </c>
      <c r="S773" s="4" t="str">
        <f>TEXT(Table1[[#This Row],[Order Date]],"mm")</f>
        <v>10</v>
      </c>
      <c r="T773" s="4" t="str">
        <f>IF(Table1[[#This Row],[Sales]]&lt;0,"loss","profit")</f>
        <v>profit</v>
      </c>
      <c r="U773" s="4" t="str" cm="1">
        <f t="array" ref="U773">_xlfn.IFS(Table1[[#This Row],[Sales]]&gt;2000,"large",Table1[[#This Row],[Sales]]&gt;=500,"medium",Table1[[#This Row],[Sales]]&lt;500,"small")</f>
        <v>small</v>
      </c>
      <c r="V773" s="22">
        <f>Table1[[#This Row],[Profit]]/Table1[[#This Row],[Sales]]*100</f>
        <v>38.763333935997117</v>
      </c>
    </row>
    <row r="774" spans="1:22" x14ac:dyDescent="0.35">
      <c r="A774" s="4" t="s">
        <v>1187</v>
      </c>
      <c r="B774" s="5">
        <v>45941</v>
      </c>
      <c r="C774" s="4" t="s">
        <v>1188</v>
      </c>
      <c r="D774" s="4" t="s">
        <v>47</v>
      </c>
      <c r="E774" s="4" t="s">
        <v>29</v>
      </c>
      <c r="F774" s="4" t="s">
        <v>30</v>
      </c>
      <c r="G774" s="4" t="s">
        <v>38</v>
      </c>
      <c r="H774" s="4" t="s">
        <v>55</v>
      </c>
      <c r="I774" s="4">
        <v>1</v>
      </c>
      <c r="J774" s="6">
        <v>252.88</v>
      </c>
      <c r="K774" s="7">
        <v>0</v>
      </c>
      <c r="L774" s="6">
        <f t="shared" si="24"/>
        <v>252.88</v>
      </c>
      <c r="M774" s="6">
        <v>222.91</v>
      </c>
      <c r="N774" s="8">
        <f t="shared" si="25"/>
        <v>29.97</v>
      </c>
      <c r="O774" s="4" t="s">
        <v>25</v>
      </c>
      <c r="P774" s="4" t="s">
        <v>61</v>
      </c>
      <c r="Q774" s="4">
        <v>4</v>
      </c>
      <c r="R774" s="4" t="str">
        <f>TEXT(Table1[[#This Row],[Order Date]],"mmm")</f>
        <v>Oct</v>
      </c>
      <c r="S774" s="4" t="str">
        <f>TEXT(Table1[[#This Row],[Order Date]],"mm")</f>
        <v>10</v>
      </c>
      <c r="T774" s="4" t="str">
        <f>IF(Table1[[#This Row],[Sales]]&lt;0,"loss","profit")</f>
        <v>profit</v>
      </c>
      <c r="U774" s="4" t="str" cm="1">
        <f t="array" ref="U774">_xlfn.IFS(Table1[[#This Row],[Sales]]&gt;2000,"large",Table1[[#This Row],[Sales]]&gt;=500,"medium",Table1[[#This Row],[Sales]]&lt;500,"small")</f>
        <v>small</v>
      </c>
      <c r="V774" s="22">
        <f>Table1[[#This Row],[Profit]]/Table1[[#This Row],[Sales]]*100</f>
        <v>11.851471053464094</v>
      </c>
    </row>
    <row r="775" spans="1:22" x14ac:dyDescent="0.35">
      <c r="A775" s="4" t="s">
        <v>1189</v>
      </c>
      <c r="B775" s="5">
        <v>45941</v>
      </c>
      <c r="C775" s="4" t="s">
        <v>1190</v>
      </c>
      <c r="D775" s="4" t="s">
        <v>43</v>
      </c>
      <c r="E775" s="4" t="s">
        <v>87</v>
      </c>
      <c r="F775" s="4" t="s">
        <v>124</v>
      </c>
      <c r="G775" s="4" t="s">
        <v>67</v>
      </c>
      <c r="H775" s="4" t="s">
        <v>93</v>
      </c>
      <c r="I775" s="4">
        <v>1</v>
      </c>
      <c r="J775" s="6">
        <v>577.77</v>
      </c>
      <c r="K775" s="7">
        <v>0.05</v>
      </c>
      <c r="L775" s="6">
        <f t="shared" si="24"/>
        <v>548.88149999999996</v>
      </c>
      <c r="M775" s="6">
        <v>379.8</v>
      </c>
      <c r="N775" s="8">
        <f t="shared" si="25"/>
        <v>169.08149999999995</v>
      </c>
      <c r="O775" s="4" t="s">
        <v>84</v>
      </c>
      <c r="P775" s="4" t="s">
        <v>75</v>
      </c>
      <c r="Q775" s="4">
        <v>4</v>
      </c>
      <c r="R775" s="4" t="str">
        <f>TEXT(Table1[[#This Row],[Order Date]],"mmm")</f>
        <v>Oct</v>
      </c>
      <c r="S775" s="4" t="str">
        <f>TEXT(Table1[[#This Row],[Order Date]],"mm")</f>
        <v>10</v>
      </c>
      <c r="T775" s="4" t="str">
        <f>IF(Table1[[#This Row],[Sales]]&lt;0,"loss","profit")</f>
        <v>profit</v>
      </c>
      <c r="U775" s="4" t="str" cm="1">
        <f t="array" ref="U775">_xlfn.IFS(Table1[[#This Row],[Sales]]&gt;2000,"large",Table1[[#This Row],[Sales]]&gt;=500,"medium",Table1[[#This Row],[Sales]]&lt;500,"small")</f>
        <v>medium</v>
      </c>
      <c r="V775" s="22">
        <f>Table1[[#This Row],[Profit]]/Table1[[#This Row],[Sales]]*100</f>
        <v>30.80473654149392</v>
      </c>
    </row>
    <row r="776" spans="1:22" x14ac:dyDescent="0.35">
      <c r="A776" s="4" t="s">
        <v>1191</v>
      </c>
      <c r="B776" s="5">
        <v>45941</v>
      </c>
      <c r="C776" s="4" t="s">
        <v>162</v>
      </c>
      <c r="D776" s="4" t="s">
        <v>20</v>
      </c>
      <c r="E776" s="4" t="s">
        <v>21</v>
      </c>
      <c r="F776" s="4" t="s">
        <v>81</v>
      </c>
      <c r="G776" s="4" t="s">
        <v>67</v>
      </c>
      <c r="H776" s="4" t="s">
        <v>68</v>
      </c>
      <c r="I776" s="4">
        <v>6</v>
      </c>
      <c r="J776" s="6">
        <v>680.31</v>
      </c>
      <c r="K776" s="7">
        <v>0.05</v>
      </c>
      <c r="L776" s="6">
        <f t="shared" si="24"/>
        <v>3877.7669999999994</v>
      </c>
      <c r="M776" s="6">
        <v>412.69</v>
      </c>
      <c r="N776" s="8">
        <f t="shared" si="25"/>
        <v>1401.6269999999995</v>
      </c>
      <c r="O776" s="4" t="s">
        <v>40</v>
      </c>
      <c r="P776" s="4" t="s">
        <v>118</v>
      </c>
      <c r="Q776" s="4">
        <v>5</v>
      </c>
      <c r="R776" s="4" t="str">
        <f>TEXT(Table1[[#This Row],[Order Date]],"mmm")</f>
        <v>Oct</v>
      </c>
      <c r="S776" s="4" t="str">
        <f>TEXT(Table1[[#This Row],[Order Date]],"mm")</f>
        <v>10</v>
      </c>
      <c r="T776" s="4" t="str">
        <f>IF(Table1[[#This Row],[Sales]]&lt;0,"loss","profit")</f>
        <v>profit</v>
      </c>
      <c r="U776" s="4" t="str" cm="1">
        <f t="array" ref="U776">_xlfn.IFS(Table1[[#This Row],[Sales]]&gt;2000,"large",Table1[[#This Row],[Sales]]&gt;=500,"medium",Table1[[#This Row],[Sales]]&lt;500,"small")</f>
        <v>large</v>
      </c>
      <c r="V776" s="22">
        <f>Table1[[#This Row],[Profit]]/Table1[[#This Row],[Sales]]*100</f>
        <v>36.145209343418507</v>
      </c>
    </row>
    <row r="777" spans="1:22" x14ac:dyDescent="0.35">
      <c r="A777" s="4" t="s">
        <v>1192</v>
      </c>
      <c r="B777" s="5">
        <v>45941</v>
      </c>
      <c r="C777" s="4" t="s">
        <v>686</v>
      </c>
      <c r="D777" s="4" t="s">
        <v>43</v>
      </c>
      <c r="E777" s="4" t="s">
        <v>87</v>
      </c>
      <c r="F777" s="4" t="s">
        <v>92</v>
      </c>
      <c r="G777" s="4" t="s">
        <v>38</v>
      </c>
      <c r="H777" s="4" t="s">
        <v>109</v>
      </c>
      <c r="I777" s="4">
        <v>2</v>
      </c>
      <c r="J777" s="6">
        <v>500.02</v>
      </c>
      <c r="K777" s="7">
        <v>0</v>
      </c>
      <c r="L777" s="6">
        <f t="shared" si="24"/>
        <v>1000.04</v>
      </c>
      <c r="M777" s="6">
        <v>418.79</v>
      </c>
      <c r="N777" s="8">
        <f t="shared" si="25"/>
        <v>162.45999999999992</v>
      </c>
      <c r="O777" s="4" t="s">
        <v>51</v>
      </c>
      <c r="P777" s="4" t="s">
        <v>61</v>
      </c>
      <c r="Q777" s="4">
        <v>4</v>
      </c>
      <c r="R777" s="4" t="str">
        <f>TEXT(Table1[[#This Row],[Order Date]],"mmm")</f>
        <v>Oct</v>
      </c>
      <c r="S777" s="4" t="str">
        <f>TEXT(Table1[[#This Row],[Order Date]],"mm")</f>
        <v>10</v>
      </c>
      <c r="T777" s="4" t="str">
        <f>IF(Table1[[#This Row],[Sales]]&lt;0,"loss","profit")</f>
        <v>profit</v>
      </c>
      <c r="U777" s="4" t="str" cm="1">
        <f t="array" ref="U777">_xlfn.IFS(Table1[[#This Row],[Sales]]&gt;2000,"large",Table1[[#This Row],[Sales]]&gt;=500,"medium",Table1[[#This Row],[Sales]]&lt;500,"small")</f>
        <v>medium</v>
      </c>
      <c r="V777" s="22">
        <f>Table1[[#This Row],[Profit]]/Table1[[#This Row],[Sales]]*100</f>
        <v>16.245350185992553</v>
      </c>
    </row>
    <row r="778" spans="1:22" x14ac:dyDescent="0.35">
      <c r="A778" s="4" t="s">
        <v>1193</v>
      </c>
      <c r="B778" s="5">
        <v>45941</v>
      </c>
      <c r="C778" s="4" t="s">
        <v>734</v>
      </c>
      <c r="D778" s="4" t="s">
        <v>43</v>
      </c>
      <c r="E778" s="4" t="s">
        <v>36</v>
      </c>
      <c r="F778" s="4" t="s">
        <v>37</v>
      </c>
      <c r="G778" s="4" t="s">
        <v>49</v>
      </c>
      <c r="H778" s="4" t="s">
        <v>187</v>
      </c>
      <c r="I778" s="4">
        <v>8</v>
      </c>
      <c r="J778" s="6">
        <v>44.41</v>
      </c>
      <c r="K778" s="7">
        <v>0.1</v>
      </c>
      <c r="L778" s="6">
        <f t="shared" si="24"/>
        <v>319.75200000000001</v>
      </c>
      <c r="M778" s="6">
        <v>28.63</v>
      </c>
      <c r="N778" s="8">
        <f t="shared" si="25"/>
        <v>90.712000000000018</v>
      </c>
      <c r="O778" s="4" t="s">
        <v>40</v>
      </c>
      <c r="P778" s="4" t="s">
        <v>26</v>
      </c>
      <c r="Q778" s="4">
        <v>4</v>
      </c>
      <c r="R778" s="4" t="str">
        <f>TEXT(Table1[[#This Row],[Order Date]],"mmm")</f>
        <v>Oct</v>
      </c>
      <c r="S778" s="4" t="str">
        <f>TEXT(Table1[[#This Row],[Order Date]],"mm")</f>
        <v>10</v>
      </c>
      <c r="T778" s="4" t="str">
        <f>IF(Table1[[#This Row],[Sales]]&lt;0,"loss","profit")</f>
        <v>profit</v>
      </c>
      <c r="U778" s="4" t="str" cm="1">
        <f t="array" ref="U778">_xlfn.IFS(Table1[[#This Row],[Sales]]&gt;2000,"large",Table1[[#This Row],[Sales]]&gt;=500,"medium",Table1[[#This Row],[Sales]]&lt;500,"small")</f>
        <v>small</v>
      </c>
      <c r="V778" s="22">
        <f>Table1[[#This Row],[Profit]]/Table1[[#This Row],[Sales]]*100</f>
        <v>28.369486351922745</v>
      </c>
    </row>
    <row r="779" spans="1:22" x14ac:dyDescent="0.35">
      <c r="A779" s="4" t="s">
        <v>1194</v>
      </c>
      <c r="B779" s="5">
        <v>45942</v>
      </c>
      <c r="C779" s="4" t="s">
        <v>1195</v>
      </c>
      <c r="D779" s="4" t="s">
        <v>47</v>
      </c>
      <c r="E779" s="4" t="s">
        <v>29</v>
      </c>
      <c r="F779" s="4" t="s">
        <v>54</v>
      </c>
      <c r="G779" s="4" t="s">
        <v>23</v>
      </c>
      <c r="H779" s="4" t="s">
        <v>135</v>
      </c>
      <c r="I779" s="4">
        <v>4</v>
      </c>
      <c r="J779" s="6">
        <v>32.64</v>
      </c>
      <c r="K779" s="7">
        <v>0.1</v>
      </c>
      <c r="L779" s="6">
        <f t="shared" si="24"/>
        <v>117.504</v>
      </c>
      <c r="M779" s="6">
        <v>21</v>
      </c>
      <c r="N779" s="8">
        <f t="shared" si="25"/>
        <v>33.504000000000005</v>
      </c>
      <c r="O779" s="4" t="s">
        <v>51</v>
      </c>
      <c r="P779" s="4" t="s">
        <v>118</v>
      </c>
      <c r="Q779" s="4">
        <v>3</v>
      </c>
      <c r="R779" s="4" t="str">
        <f>TEXT(Table1[[#This Row],[Order Date]],"mmm")</f>
        <v>Oct</v>
      </c>
      <c r="S779" s="4" t="str">
        <f>TEXT(Table1[[#This Row],[Order Date]],"mm")</f>
        <v>10</v>
      </c>
      <c r="T779" s="4" t="str">
        <f>IF(Table1[[#This Row],[Sales]]&lt;0,"loss","profit")</f>
        <v>profit</v>
      </c>
      <c r="U779" s="4" t="str" cm="1">
        <f t="array" ref="U779">_xlfn.IFS(Table1[[#This Row],[Sales]]&gt;2000,"large",Table1[[#This Row],[Sales]]&gt;=500,"medium",Table1[[#This Row],[Sales]]&lt;500,"small")</f>
        <v>small</v>
      </c>
      <c r="V779" s="22">
        <f>Table1[[#This Row],[Profit]]/Table1[[#This Row],[Sales]]*100</f>
        <v>28.51307189542484</v>
      </c>
    </row>
    <row r="780" spans="1:22" x14ac:dyDescent="0.35">
      <c r="A780" s="4" t="s">
        <v>1196</v>
      </c>
      <c r="B780" s="5">
        <v>45942</v>
      </c>
      <c r="C780" s="4" t="s">
        <v>144</v>
      </c>
      <c r="D780" s="4" t="s">
        <v>20</v>
      </c>
      <c r="E780" s="4" t="s">
        <v>87</v>
      </c>
      <c r="F780" s="4" t="s">
        <v>92</v>
      </c>
      <c r="G780" s="4" t="s">
        <v>23</v>
      </c>
      <c r="H780" s="4" t="s">
        <v>71</v>
      </c>
      <c r="I780" s="4">
        <v>3</v>
      </c>
      <c r="J780" s="6">
        <v>54.37</v>
      </c>
      <c r="K780" s="7">
        <v>0.05</v>
      </c>
      <c r="L780" s="6">
        <f t="shared" si="24"/>
        <v>154.95449999999997</v>
      </c>
      <c r="M780" s="6">
        <v>23.85</v>
      </c>
      <c r="N780" s="8">
        <f t="shared" si="25"/>
        <v>83.404499999999956</v>
      </c>
      <c r="O780" s="4" t="s">
        <v>40</v>
      </c>
      <c r="P780" s="4" t="s">
        <v>75</v>
      </c>
      <c r="Q780" s="4">
        <v>2</v>
      </c>
      <c r="R780" s="4" t="str">
        <f>TEXT(Table1[[#This Row],[Order Date]],"mmm")</f>
        <v>Oct</v>
      </c>
      <c r="S780" s="4" t="str">
        <f>TEXT(Table1[[#This Row],[Order Date]],"mm")</f>
        <v>10</v>
      </c>
      <c r="T780" s="4" t="str">
        <f>IF(Table1[[#This Row],[Sales]]&lt;0,"loss","profit")</f>
        <v>profit</v>
      </c>
      <c r="U780" s="4" t="str" cm="1">
        <f t="array" ref="U780">_xlfn.IFS(Table1[[#This Row],[Sales]]&gt;2000,"large",Table1[[#This Row],[Sales]]&gt;=500,"medium",Table1[[#This Row],[Sales]]&lt;500,"small")</f>
        <v>small</v>
      </c>
      <c r="V780" s="22">
        <f>Table1[[#This Row],[Profit]]/Table1[[#This Row],[Sales]]*100</f>
        <v>53.825155126182189</v>
      </c>
    </row>
    <row r="781" spans="1:22" x14ac:dyDescent="0.35">
      <c r="A781" s="4" t="s">
        <v>1197</v>
      </c>
      <c r="B781" s="5">
        <v>45942</v>
      </c>
      <c r="C781" s="4" t="s">
        <v>1029</v>
      </c>
      <c r="D781" s="4" t="s">
        <v>47</v>
      </c>
      <c r="E781" s="4" t="s">
        <v>36</v>
      </c>
      <c r="F781" s="4" t="s">
        <v>37</v>
      </c>
      <c r="G781" s="4" t="s">
        <v>67</v>
      </c>
      <c r="H781" s="4" t="s">
        <v>121</v>
      </c>
      <c r="I781" s="4">
        <v>2</v>
      </c>
      <c r="J781" s="6">
        <v>203.39</v>
      </c>
      <c r="K781" s="7">
        <v>0</v>
      </c>
      <c r="L781" s="6">
        <f t="shared" si="24"/>
        <v>406.78</v>
      </c>
      <c r="M781" s="6">
        <v>158.75</v>
      </c>
      <c r="N781" s="8">
        <f t="shared" si="25"/>
        <v>89.279999999999973</v>
      </c>
      <c r="O781" s="4" t="s">
        <v>51</v>
      </c>
      <c r="P781" s="4" t="s">
        <v>75</v>
      </c>
      <c r="Q781" s="4">
        <v>5</v>
      </c>
      <c r="R781" s="4" t="str">
        <f>TEXT(Table1[[#This Row],[Order Date]],"mmm")</f>
        <v>Oct</v>
      </c>
      <c r="S781" s="4" t="str">
        <f>TEXT(Table1[[#This Row],[Order Date]],"mm")</f>
        <v>10</v>
      </c>
      <c r="T781" s="4" t="str">
        <f>IF(Table1[[#This Row],[Sales]]&lt;0,"loss","profit")</f>
        <v>profit</v>
      </c>
      <c r="U781" s="4" t="str" cm="1">
        <f t="array" ref="U781">_xlfn.IFS(Table1[[#This Row],[Sales]]&gt;2000,"large",Table1[[#This Row],[Sales]]&gt;=500,"medium",Table1[[#This Row],[Sales]]&lt;500,"small")</f>
        <v>small</v>
      </c>
      <c r="V781" s="22">
        <f>Table1[[#This Row],[Profit]]/Table1[[#This Row],[Sales]]*100</f>
        <v>21.947981710015235</v>
      </c>
    </row>
    <row r="782" spans="1:22" x14ac:dyDescent="0.35">
      <c r="A782" s="4" t="s">
        <v>1198</v>
      </c>
      <c r="B782" s="5">
        <v>45943</v>
      </c>
      <c r="C782" s="4" t="s">
        <v>563</v>
      </c>
      <c r="D782" s="4" t="s">
        <v>43</v>
      </c>
      <c r="E782" s="4" t="s">
        <v>87</v>
      </c>
      <c r="F782" s="4" t="s">
        <v>92</v>
      </c>
      <c r="G782" s="4" t="s">
        <v>23</v>
      </c>
      <c r="H782" s="4" t="s">
        <v>44</v>
      </c>
      <c r="I782" s="4">
        <v>3</v>
      </c>
      <c r="J782" s="6">
        <v>56.37</v>
      </c>
      <c r="K782" s="7">
        <v>0.1</v>
      </c>
      <c r="L782" s="6">
        <f t="shared" si="24"/>
        <v>152.19899999999998</v>
      </c>
      <c r="M782" s="6">
        <v>24.03</v>
      </c>
      <c r="N782" s="8">
        <f t="shared" si="25"/>
        <v>80.10899999999998</v>
      </c>
      <c r="O782" s="4" t="s">
        <v>51</v>
      </c>
      <c r="P782" s="4" t="s">
        <v>72</v>
      </c>
      <c r="Q782" s="4">
        <v>2</v>
      </c>
      <c r="R782" s="4" t="str">
        <f>TEXT(Table1[[#This Row],[Order Date]],"mmm")</f>
        <v>Oct</v>
      </c>
      <c r="S782" s="4" t="str">
        <f>TEXT(Table1[[#This Row],[Order Date]],"mm")</f>
        <v>10</v>
      </c>
      <c r="T782" s="4" t="str">
        <f>IF(Table1[[#This Row],[Sales]]&lt;0,"loss","profit")</f>
        <v>profit</v>
      </c>
      <c r="U782" s="4" t="str" cm="1">
        <f t="array" ref="U782">_xlfn.IFS(Table1[[#This Row],[Sales]]&gt;2000,"large",Table1[[#This Row],[Sales]]&gt;=500,"medium",Table1[[#This Row],[Sales]]&lt;500,"small")</f>
        <v>small</v>
      </c>
      <c r="V782" s="22">
        <f>Table1[[#This Row],[Profit]]/Table1[[#This Row],[Sales]]*100</f>
        <v>52.634379989356027</v>
      </c>
    </row>
    <row r="783" spans="1:22" x14ac:dyDescent="0.35">
      <c r="A783" s="4" t="s">
        <v>1199</v>
      </c>
      <c r="B783" s="5">
        <v>45943</v>
      </c>
      <c r="C783" s="4" t="s">
        <v>1169</v>
      </c>
      <c r="D783" s="4" t="s">
        <v>43</v>
      </c>
      <c r="E783" s="4" t="s">
        <v>87</v>
      </c>
      <c r="F783" s="4" t="s">
        <v>88</v>
      </c>
      <c r="G783" s="4" t="s">
        <v>38</v>
      </c>
      <c r="H783" s="4" t="s">
        <v>39</v>
      </c>
      <c r="I783" s="4">
        <v>1</v>
      </c>
      <c r="J783" s="6">
        <v>405.56</v>
      </c>
      <c r="K783" s="7">
        <v>0</v>
      </c>
      <c r="L783" s="6">
        <f t="shared" si="24"/>
        <v>405.56</v>
      </c>
      <c r="M783" s="6">
        <v>333.38</v>
      </c>
      <c r="N783" s="8">
        <f t="shared" si="25"/>
        <v>72.180000000000007</v>
      </c>
      <c r="O783" s="4" t="s">
        <v>40</v>
      </c>
      <c r="P783" s="4" t="s">
        <v>75</v>
      </c>
      <c r="Q783" s="4">
        <v>5</v>
      </c>
      <c r="R783" s="4" t="str">
        <f>TEXT(Table1[[#This Row],[Order Date]],"mmm")</f>
        <v>Oct</v>
      </c>
      <c r="S783" s="4" t="str">
        <f>TEXT(Table1[[#This Row],[Order Date]],"mm")</f>
        <v>10</v>
      </c>
      <c r="T783" s="4" t="str">
        <f>IF(Table1[[#This Row],[Sales]]&lt;0,"loss","profit")</f>
        <v>profit</v>
      </c>
      <c r="U783" s="4" t="str" cm="1">
        <f t="array" ref="U783">_xlfn.IFS(Table1[[#This Row],[Sales]]&gt;2000,"large",Table1[[#This Row],[Sales]]&gt;=500,"medium",Table1[[#This Row],[Sales]]&lt;500,"small")</f>
        <v>small</v>
      </c>
      <c r="V783" s="22">
        <f>Table1[[#This Row],[Profit]]/Table1[[#This Row],[Sales]]*100</f>
        <v>17.797613176841899</v>
      </c>
    </row>
    <row r="784" spans="1:22" x14ac:dyDescent="0.35">
      <c r="A784" s="4" t="s">
        <v>1200</v>
      </c>
      <c r="B784" s="5">
        <v>45943</v>
      </c>
      <c r="C784" s="4" t="s">
        <v>357</v>
      </c>
      <c r="D784" s="4" t="s">
        <v>47</v>
      </c>
      <c r="E784" s="4" t="s">
        <v>36</v>
      </c>
      <c r="F784" s="4" t="s">
        <v>37</v>
      </c>
      <c r="G784" s="4" t="s">
        <v>67</v>
      </c>
      <c r="H784" s="4" t="s">
        <v>68</v>
      </c>
      <c r="I784" s="4">
        <v>3</v>
      </c>
      <c r="J784" s="6">
        <v>1184.43</v>
      </c>
      <c r="K784" s="7">
        <v>0.15</v>
      </c>
      <c r="L784" s="6">
        <f t="shared" si="24"/>
        <v>3020.2964999999999</v>
      </c>
      <c r="M784" s="6">
        <v>753.23</v>
      </c>
      <c r="N784" s="8">
        <f t="shared" si="25"/>
        <v>760.60649999999987</v>
      </c>
      <c r="O784" s="4" t="s">
        <v>40</v>
      </c>
      <c r="P784" s="4" t="s">
        <v>61</v>
      </c>
      <c r="Q784" s="4">
        <v>4</v>
      </c>
      <c r="R784" s="4" t="str">
        <f>TEXT(Table1[[#This Row],[Order Date]],"mmm")</f>
        <v>Oct</v>
      </c>
      <c r="S784" s="4" t="str">
        <f>TEXT(Table1[[#This Row],[Order Date]],"mm")</f>
        <v>10</v>
      </c>
      <c r="T784" s="4" t="str">
        <f>IF(Table1[[#This Row],[Sales]]&lt;0,"loss","profit")</f>
        <v>profit</v>
      </c>
      <c r="U784" s="4" t="str" cm="1">
        <f t="array" ref="U784">_xlfn.IFS(Table1[[#This Row],[Sales]]&gt;2000,"large",Table1[[#This Row],[Sales]]&gt;=500,"medium",Table1[[#This Row],[Sales]]&lt;500,"small")</f>
        <v>large</v>
      </c>
      <c r="V784" s="22">
        <f>Table1[[#This Row],[Profit]]/Table1[[#This Row],[Sales]]*100</f>
        <v>25.183173241435071</v>
      </c>
    </row>
    <row r="785" spans="1:22" x14ac:dyDescent="0.35">
      <c r="A785" s="4" t="s">
        <v>1201</v>
      </c>
      <c r="B785" s="5">
        <v>45944</v>
      </c>
      <c r="C785" s="4" t="s">
        <v>83</v>
      </c>
      <c r="D785" s="4" t="s">
        <v>20</v>
      </c>
      <c r="E785" s="4" t="s">
        <v>87</v>
      </c>
      <c r="F785" s="4" t="s">
        <v>92</v>
      </c>
      <c r="G785" s="4" t="s">
        <v>38</v>
      </c>
      <c r="H785" s="4" t="s">
        <v>109</v>
      </c>
      <c r="I785" s="4">
        <v>2</v>
      </c>
      <c r="J785" s="6">
        <v>436.62</v>
      </c>
      <c r="K785" s="7">
        <v>0</v>
      </c>
      <c r="L785" s="6">
        <f t="shared" si="24"/>
        <v>873.24</v>
      </c>
      <c r="M785" s="6">
        <v>344.38</v>
      </c>
      <c r="N785" s="8">
        <f t="shared" si="25"/>
        <v>184.48000000000002</v>
      </c>
      <c r="O785" s="4" t="s">
        <v>40</v>
      </c>
      <c r="P785" s="4" t="s">
        <v>118</v>
      </c>
      <c r="Q785" s="4">
        <v>4</v>
      </c>
      <c r="R785" s="4" t="str">
        <f>TEXT(Table1[[#This Row],[Order Date]],"mmm")</f>
        <v>Oct</v>
      </c>
      <c r="S785" s="4" t="str">
        <f>TEXT(Table1[[#This Row],[Order Date]],"mm")</f>
        <v>10</v>
      </c>
      <c r="T785" s="4" t="str">
        <f>IF(Table1[[#This Row],[Sales]]&lt;0,"loss","profit")</f>
        <v>profit</v>
      </c>
      <c r="U785" s="4" t="str" cm="1">
        <f t="array" ref="U785">_xlfn.IFS(Table1[[#This Row],[Sales]]&gt;2000,"large",Table1[[#This Row],[Sales]]&gt;=500,"medium",Table1[[#This Row],[Sales]]&lt;500,"small")</f>
        <v>medium</v>
      </c>
      <c r="V785" s="22">
        <f>Table1[[#This Row],[Profit]]/Table1[[#This Row],[Sales]]*100</f>
        <v>21.125921854243966</v>
      </c>
    </row>
    <row r="786" spans="1:22" x14ac:dyDescent="0.35">
      <c r="A786" s="4" t="s">
        <v>1202</v>
      </c>
      <c r="B786" s="5">
        <v>45944</v>
      </c>
      <c r="C786" s="4" t="s">
        <v>614</v>
      </c>
      <c r="D786" s="4" t="s">
        <v>47</v>
      </c>
      <c r="E786" s="4" t="s">
        <v>87</v>
      </c>
      <c r="F786" s="4" t="s">
        <v>88</v>
      </c>
      <c r="G786" s="4" t="s">
        <v>67</v>
      </c>
      <c r="H786" s="4" t="s">
        <v>121</v>
      </c>
      <c r="I786" s="4">
        <v>1</v>
      </c>
      <c r="J786" s="6">
        <v>251.67</v>
      </c>
      <c r="K786" s="7">
        <v>0</v>
      </c>
      <c r="L786" s="6">
        <f t="shared" si="24"/>
        <v>251.67</v>
      </c>
      <c r="M786" s="6">
        <v>160.38999999999999</v>
      </c>
      <c r="N786" s="8">
        <f t="shared" si="25"/>
        <v>91.28</v>
      </c>
      <c r="O786" s="4" t="s">
        <v>51</v>
      </c>
      <c r="P786" s="4" t="s">
        <v>33</v>
      </c>
      <c r="Q786" s="4">
        <v>1</v>
      </c>
      <c r="R786" s="4" t="str">
        <f>TEXT(Table1[[#This Row],[Order Date]],"mmm")</f>
        <v>Oct</v>
      </c>
      <c r="S786" s="4" t="str">
        <f>TEXT(Table1[[#This Row],[Order Date]],"mm")</f>
        <v>10</v>
      </c>
      <c r="T786" s="4" t="str">
        <f>IF(Table1[[#This Row],[Sales]]&lt;0,"loss","profit")</f>
        <v>profit</v>
      </c>
      <c r="U786" s="4" t="str" cm="1">
        <f t="array" ref="U786">_xlfn.IFS(Table1[[#This Row],[Sales]]&gt;2000,"large",Table1[[#This Row],[Sales]]&gt;=500,"medium",Table1[[#This Row],[Sales]]&lt;500,"small")</f>
        <v>small</v>
      </c>
      <c r="V786" s="22">
        <f>Table1[[#This Row],[Profit]]/Table1[[#This Row],[Sales]]*100</f>
        <v>36.269718281877061</v>
      </c>
    </row>
    <row r="787" spans="1:22" x14ac:dyDescent="0.35">
      <c r="A787" s="4" t="s">
        <v>1203</v>
      </c>
      <c r="B787" s="5">
        <v>45945</v>
      </c>
      <c r="C787" s="4" t="s">
        <v>371</v>
      </c>
      <c r="D787" s="4" t="s">
        <v>47</v>
      </c>
      <c r="E787" s="4" t="s">
        <v>87</v>
      </c>
      <c r="F787" s="4" t="s">
        <v>92</v>
      </c>
      <c r="G787" s="4" t="s">
        <v>31</v>
      </c>
      <c r="H787" s="4" t="s">
        <v>32</v>
      </c>
      <c r="I787" s="4">
        <v>6</v>
      </c>
      <c r="J787" s="6">
        <v>84.07</v>
      </c>
      <c r="K787" s="7">
        <v>0.05</v>
      </c>
      <c r="L787" s="6">
        <f t="shared" si="24"/>
        <v>479.19899999999996</v>
      </c>
      <c r="M787" s="6">
        <v>47.8</v>
      </c>
      <c r="N787" s="8">
        <f t="shared" si="25"/>
        <v>192.399</v>
      </c>
      <c r="O787" s="4" t="s">
        <v>25</v>
      </c>
      <c r="P787" s="4" t="s">
        <v>72</v>
      </c>
      <c r="Q787" s="4">
        <v>4</v>
      </c>
      <c r="R787" s="4" t="str">
        <f>TEXT(Table1[[#This Row],[Order Date]],"mmm")</f>
        <v>Oct</v>
      </c>
      <c r="S787" s="4" t="str">
        <f>TEXT(Table1[[#This Row],[Order Date]],"mm")</f>
        <v>10</v>
      </c>
      <c r="T787" s="4" t="str">
        <f>IF(Table1[[#This Row],[Sales]]&lt;0,"loss","profit")</f>
        <v>profit</v>
      </c>
      <c r="U787" s="4" t="str" cm="1">
        <f t="array" ref="U787">_xlfn.IFS(Table1[[#This Row],[Sales]]&gt;2000,"large",Table1[[#This Row],[Sales]]&gt;=500,"medium",Table1[[#This Row],[Sales]]&lt;500,"small")</f>
        <v>small</v>
      </c>
      <c r="V787" s="22">
        <f>Table1[[#This Row],[Profit]]/Table1[[#This Row],[Sales]]*100</f>
        <v>40.150125521964782</v>
      </c>
    </row>
    <row r="788" spans="1:22" x14ac:dyDescent="0.35">
      <c r="A788" s="4" t="s">
        <v>1204</v>
      </c>
      <c r="B788" s="5">
        <v>45945</v>
      </c>
      <c r="C788" s="4" t="s">
        <v>1120</v>
      </c>
      <c r="D788" s="4" t="s">
        <v>20</v>
      </c>
      <c r="E788" s="4" t="s">
        <v>87</v>
      </c>
      <c r="F788" s="4" t="s">
        <v>92</v>
      </c>
      <c r="G788" s="4" t="s">
        <v>31</v>
      </c>
      <c r="H788" s="4" t="s">
        <v>32</v>
      </c>
      <c r="I788" s="4">
        <v>3</v>
      </c>
      <c r="J788" s="6">
        <v>239.3</v>
      </c>
      <c r="K788" s="7">
        <v>0.05</v>
      </c>
      <c r="L788" s="6">
        <f t="shared" si="24"/>
        <v>682.00500000000011</v>
      </c>
      <c r="M788" s="6">
        <v>171.12</v>
      </c>
      <c r="N788" s="8">
        <f t="shared" si="25"/>
        <v>168.6450000000001</v>
      </c>
      <c r="O788" s="4" t="s">
        <v>84</v>
      </c>
      <c r="P788" s="4" t="s">
        <v>33</v>
      </c>
      <c r="Q788" s="4">
        <v>5</v>
      </c>
      <c r="R788" s="4" t="str">
        <f>TEXT(Table1[[#This Row],[Order Date]],"mmm")</f>
        <v>Oct</v>
      </c>
      <c r="S788" s="4" t="str">
        <f>TEXT(Table1[[#This Row],[Order Date]],"mm")</f>
        <v>10</v>
      </c>
      <c r="T788" s="4" t="str">
        <f>IF(Table1[[#This Row],[Sales]]&lt;0,"loss","profit")</f>
        <v>profit</v>
      </c>
      <c r="U788" s="4" t="str" cm="1">
        <f t="array" ref="U788">_xlfn.IFS(Table1[[#This Row],[Sales]]&gt;2000,"large",Table1[[#This Row],[Sales]]&gt;=500,"medium",Table1[[#This Row],[Sales]]&lt;500,"small")</f>
        <v>medium</v>
      </c>
      <c r="V788" s="22">
        <f>Table1[[#This Row],[Profit]]/Table1[[#This Row],[Sales]]*100</f>
        <v>24.727824576066169</v>
      </c>
    </row>
    <row r="789" spans="1:22" x14ac:dyDescent="0.35">
      <c r="A789" s="4" t="s">
        <v>1205</v>
      </c>
      <c r="B789" s="5">
        <v>45945</v>
      </c>
      <c r="C789" s="4" t="s">
        <v>86</v>
      </c>
      <c r="D789" s="4" t="s">
        <v>20</v>
      </c>
      <c r="E789" s="4" t="s">
        <v>29</v>
      </c>
      <c r="F789" s="4" t="s">
        <v>30</v>
      </c>
      <c r="G789" s="4" t="s">
        <v>31</v>
      </c>
      <c r="H789" s="4" t="s">
        <v>32</v>
      </c>
      <c r="I789" s="4">
        <v>8</v>
      </c>
      <c r="J789" s="6">
        <v>92.51</v>
      </c>
      <c r="K789" s="7">
        <v>0.1</v>
      </c>
      <c r="L789" s="6">
        <f t="shared" si="24"/>
        <v>666.072</v>
      </c>
      <c r="M789" s="6">
        <v>53.85</v>
      </c>
      <c r="N789" s="8">
        <f t="shared" si="25"/>
        <v>235.27199999999999</v>
      </c>
      <c r="O789" s="4" t="s">
        <v>51</v>
      </c>
      <c r="P789" s="4" t="s">
        <v>33</v>
      </c>
      <c r="Q789" s="4">
        <v>3</v>
      </c>
      <c r="R789" s="4" t="str">
        <f>TEXT(Table1[[#This Row],[Order Date]],"mmm")</f>
        <v>Oct</v>
      </c>
      <c r="S789" s="4" t="str">
        <f>TEXT(Table1[[#This Row],[Order Date]],"mm")</f>
        <v>10</v>
      </c>
      <c r="T789" s="4" t="str">
        <f>IF(Table1[[#This Row],[Sales]]&lt;0,"loss","profit")</f>
        <v>profit</v>
      </c>
      <c r="U789" s="4" t="str" cm="1">
        <f t="array" ref="U789">_xlfn.IFS(Table1[[#This Row],[Sales]]&gt;2000,"large",Table1[[#This Row],[Sales]]&gt;=500,"medium",Table1[[#This Row],[Sales]]&lt;500,"small")</f>
        <v>medium</v>
      </c>
      <c r="V789" s="22">
        <f>Table1[[#This Row],[Profit]]/Table1[[#This Row],[Sales]]*100</f>
        <v>35.322307498288474</v>
      </c>
    </row>
    <row r="790" spans="1:22" x14ac:dyDescent="0.35">
      <c r="A790" s="4" t="s">
        <v>1206</v>
      </c>
      <c r="B790" s="5">
        <v>45946</v>
      </c>
      <c r="C790" s="4" t="s">
        <v>398</v>
      </c>
      <c r="D790" s="4" t="s">
        <v>47</v>
      </c>
      <c r="E790" s="4" t="s">
        <v>21</v>
      </c>
      <c r="F790" s="4" t="s">
        <v>22</v>
      </c>
      <c r="G790" s="4" t="s">
        <v>67</v>
      </c>
      <c r="H790" s="4" t="s">
        <v>140</v>
      </c>
      <c r="I790" s="4">
        <v>1</v>
      </c>
      <c r="J790" s="6">
        <v>171.05</v>
      </c>
      <c r="K790" s="7">
        <v>0.1</v>
      </c>
      <c r="L790" s="6">
        <f t="shared" si="24"/>
        <v>153.94500000000002</v>
      </c>
      <c r="M790" s="6">
        <v>108.45</v>
      </c>
      <c r="N790" s="8">
        <f t="shared" si="25"/>
        <v>45.495000000000019</v>
      </c>
      <c r="O790" s="4" t="s">
        <v>60</v>
      </c>
      <c r="P790" s="4" t="s">
        <v>26</v>
      </c>
      <c r="Q790" s="4">
        <v>5</v>
      </c>
      <c r="R790" s="4" t="str">
        <f>TEXT(Table1[[#This Row],[Order Date]],"mmm")</f>
        <v>Oct</v>
      </c>
      <c r="S790" s="4" t="str">
        <f>TEXT(Table1[[#This Row],[Order Date]],"mm")</f>
        <v>10</v>
      </c>
      <c r="T790" s="4" t="str">
        <f>IF(Table1[[#This Row],[Sales]]&lt;0,"loss","profit")</f>
        <v>profit</v>
      </c>
      <c r="U790" s="4" t="str" cm="1">
        <f t="array" ref="U790">_xlfn.IFS(Table1[[#This Row],[Sales]]&gt;2000,"large",Table1[[#This Row],[Sales]]&gt;=500,"medium",Table1[[#This Row],[Sales]]&lt;500,"small")</f>
        <v>small</v>
      </c>
      <c r="V790" s="22">
        <f>Table1[[#This Row],[Profit]]/Table1[[#This Row],[Sales]]*100</f>
        <v>29.552762350190008</v>
      </c>
    </row>
    <row r="791" spans="1:22" x14ac:dyDescent="0.35">
      <c r="A791" s="4" t="s">
        <v>1207</v>
      </c>
      <c r="B791" s="5">
        <v>45946</v>
      </c>
      <c r="C791" s="4" t="s">
        <v>231</v>
      </c>
      <c r="D791" s="4" t="s">
        <v>43</v>
      </c>
      <c r="E791" s="4" t="s">
        <v>87</v>
      </c>
      <c r="F791" s="4" t="s">
        <v>88</v>
      </c>
      <c r="G791" s="4" t="s">
        <v>23</v>
      </c>
      <c r="H791" s="4" t="s">
        <v>24</v>
      </c>
      <c r="I791" s="4">
        <v>6</v>
      </c>
      <c r="J791" s="6">
        <v>88.79</v>
      </c>
      <c r="K791" s="7">
        <v>0</v>
      </c>
      <c r="L791" s="6">
        <f t="shared" si="24"/>
        <v>532.74</v>
      </c>
      <c r="M791" s="6">
        <v>39.770000000000003</v>
      </c>
      <c r="N791" s="8">
        <f t="shared" si="25"/>
        <v>294.12</v>
      </c>
      <c r="O791" s="4" t="s">
        <v>60</v>
      </c>
      <c r="P791" s="4" t="s">
        <v>75</v>
      </c>
      <c r="Q791" s="4">
        <v>4</v>
      </c>
      <c r="R791" s="4" t="str">
        <f>TEXT(Table1[[#This Row],[Order Date]],"mmm")</f>
        <v>Oct</v>
      </c>
      <c r="S791" s="4" t="str">
        <f>TEXT(Table1[[#This Row],[Order Date]],"mm")</f>
        <v>10</v>
      </c>
      <c r="T791" s="4" t="str">
        <f>IF(Table1[[#This Row],[Sales]]&lt;0,"loss","profit")</f>
        <v>profit</v>
      </c>
      <c r="U791" s="4" t="str" cm="1">
        <f t="array" ref="U791">_xlfn.IFS(Table1[[#This Row],[Sales]]&gt;2000,"large",Table1[[#This Row],[Sales]]&gt;=500,"medium",Table1[[#This Row],[Sales]]&lt;500,"small")</f>
        <v>medium</v>
      </c>
      <c r="V791" s="22">
        <f>Table1[[#This Row],[Profit]]/Table1[[#This Row],[Sales]]*100</f>
        <v>55.208919923414804</v>
      </c>
    </row>
    <row r="792" spans="1:22" x14ac:dyDescent="0.35">
      <c r="A792" s="4" t="s">
        <v>1208</v>
      </c>
      <c r="B792" s="5">
        <v>45946</v>
      </c>
      <c r="C792" s="4" t="s">
        <v>1015</v>
      </c>
      <c r="D792" s="4" t="s">
        <v>47</v>
      </c>
      <c r="E792" s="4" t="s">
        <v>21</v>
      </c>
      <c r="F792" s="4" t="s">
        <v>22</v>
      </c>
      <c r="G792" s="4" t="s">
        <v>38</v>
      </c>
      <c r="H792" s="4" t="s">
        <v>89</v>
      </c>
      <c r="I792" s="4">
        <v>2</v>
      </c>
      <c r="J792" s="6">
        <v>981.15</v>
      </c>
      <c r="K792" s="7">
        <v>0.1</v>
      </c>
      <c r="L792" s="6">
        <f t="shared" si="24"/>
        <v>1766.07</v>
      </c>
      <c r="M792" s="6">
        <v>827.95</v>
      </c>
      <c r="N792" s="8">
        <f t="shared" si="25"/>
        <v>110.16999999999985</v>
      </c>
      <c r="O792" s="4" t="s">
        <v>51</v>
      </c>
      <c r="P792" s="4" t="s">
        <v>72</v>
      </c>
      <c r="Q792" s="4">
        <v>3</v>
      </c>
      <c r="R792" s="4" t="str">
        <f>TEXT(Table1[[#This Row],[Order Date]],"mmm")</f>
        <v>Oct</v>
      </c>
      <c r="S792" s="4" t="str">
        <f>TEXT(Table1[[#This Row],[Order Date]],"mm")</f>
        <v>10</v>
      </c>
      <c r="T792" s="4" t="str">
        <f>IF(Table1[[#This Row],[Sales]]&lt;0,"loss","profit")</f>
        <v>profit</v>
      </c>
      <c r="U792" s="4" t="str" cm="1">
        <f t="array" ref="U792">_xlfn.IFS(Table1[[#This Row],[Sales]]&gt;2000,"large",Table1[[#This Row],[Sales]]&gt;=500,"medium",Table1[[#This Row],[Sales]]&lt;500,"small")</f>
        <v>medium</v>
      </c>
      <c r="V792" s="22">
        <f>Table1[[#This Row],[Profit]]/Table1[[#This Row],[Sales]]*100</f>
        <v>6.238144580905618</v>
      </c>
    </row>
    <row r="793" spans="1:22" x14ac:dyDescent="0.35">
      <c r="A793" s="4" t="s">
        <v>1209</v>
      </c>
      <c r="B793" s="5">
        <v>45946</v>
      </c>
      <c r="C793" s="4" t="s">
        <v>771</v>
      </c>
      <c r="D793" s="4" t="s">
        <v>47</v>
      </c>
      <c r="E793" s="4" t="s">
        <v>29</v>
      </c>
      <c r="F793" s="4" t="s">
        <v>108</v>
      </c>
      <c r="G793" s="4" t="s">
        <v>23</v>
      </c>
      <c r="H793" s="4" t="s">
        <v>71</v>
      </c>
      <c r="I793" s="4">
        <v>5</v>
      </c>
      <c r="J793" s="6">
        <v>84.46</v>
      </c>
      <c r="K793" s="7">
        <v>0</v>
      </c>
      <c r="L793" s="6">
        <f t="shared" si="24"/>
        <v>422.29999999999995</v>
      </c>
      <c r="M793" s="6">
        <v>39.229999999999997</v>
      </c>
      <c r="N793" s="8">
        <f t="shared" si="25"/>
        <v>226.14999999999998</v>
      </c>
      <c r="O793" s="4" t="s">
        <v>60</v>
      </c>
      <c r="P793" s="4" t="s">
        <v>72</v>
      </c>
      <c r="Q793" s="4">
        <v>1</v>
      </c>
      <c r="R793" s="4" t="str">
        <f>TEXT(Table1[[#This Row],[Order Date]],"mmm")</f>
        <v>Oct</v>
      </c>
      <c r="S793" s="4" t="str">
        <f>TEXT(Table1[[#This Row],[Order Date]],"mm")</f>
        <v>10</v>
      </c>
      <c r="T793" s="4" t="str">
        <f>IF(Table1[[#This Row],[Sales]]&lt;0,"loss","profit")</f>
        <v>profit</v>
      </c>
      <c r="U793" s="4" t="str" cm="1">
        <f t="array" ref="U793">_xlfn.IFS(Table1[[#This Row],[Sales]]&gt;2000,"large",Table1[[#This Row],[Sales]]&gt;=500,"medium",Table1[[#This Row],[Sales]]&lt;500,"small")</f>
        <v>small</v>
      </c>
      <c r="V793" s="22">
        <f>Table1[[#This Row],[Profit]]/Table1[[#This Row],[Sales]]*100</f>
        <v>53.551977267345485</v>
      </c>
    </row>
    <row r="794" spans="1:22" x14ac:dyDescent="0.35">
      <c r="A794" s="4" t="s">
        <v>1210</v>
      </c>
      <c r="B794" s="5">
        <v>45947</v>
      </c>
      <c r="C794" s="4" t="s">
        <v>609</v>
      </c>
      <c r="D794" s="4" t="s">
        <v>20</v>
      </c>
      <c r="E794" s="4" t="s">
        <v>21</v>
      </c>
      <c r="F794" s="4" t="s">
        <v>81</v>
      </c>
      <c r="G794" s="4" t="s">
        <v>38</v>
      </c>
      <c r="H794" s="4" t="s">
        <v>89</v>
      </c>
      <c r="I794" s="4">
        <v>1</v>
      </c>
      <c r="J794" s="6">
        <v>919.67</v>
      </c>
      <c r="K794" s="7">
        <v>0.1</v>
      </c>
      <c r="L794" s="6">
        <f t="shared" si="24"/>
        <v>827.70299999999997</v>
      </c>
      <c r="M794" s="6">
        <v>771.42</v>
      </c>
      <c r="N794" s="8">
        <f t="shared" si="25"/>
        <v>56.283000000000015</v>
      </c>
      <c r="O794" s="4" t="s">
        <v>51</v>
      </c>
      <c r="P794" s="4" t="s">
        <v>26</v>
      </c>
      <c r="Q794" s="4">
        <v>3</v>
      </c>
      <c r="R794" s="4" t="str">
        <f>TEXT(Table1[[#This Row],[Order Date]],"mmm")</f>
        <v>Oct</v>
      </c>
      <c r="S794" s="4" t="str">
        <f>TEXT(Table1[[#This Row],[Order Date]],"mm")</f>
        <v>10</v>
      </c>
      <c r="T794" s="4" t="str">
        <f>IF(Table1[[#This Row],[Sales]]&lt;0,"loss","profit")</f>
        <v>profit</v>
      </c>
      <c r="U794" s="4" t="str" cm="1">
        <f t="array" ref="U794">_xlfn.IFS(Table1[[#This Row],[Sales]]&gt;2000,"large",Table1[[#This Row],[Sales]]&gt;=500,"medium",Table1[[#This Row],[Sales]]&lt;500,"small")</f>
        <v>medium</v>
      </c>
      <c r="V794" s="22">
        <f>Table1[[#This Row],[Profit]]/Table1[[#This Row],[Sales]]*100</f>
        <v>6.7999028637083612</v>
      </c>
    </row>
    <row r="795" spans="1:22" x14ac:dyDescent="0.35">
      <c r="A795" s="4" t="s">
        <v>1211</v>
      </c>
      <c r="B795" s="5">
        <v>45947</v>
      </c>
      <c r="C795" s="4" t="s">
        <v>594</v>
      </c>
      <c r="D795" s="4" t="s">
        <v>20</v>
      </c>
      <c r="E795" s="4" t="s">
        <v>87</v>
      </c>
      <c r="F795" s="4" t="s">
        <v>88</v>
      </c>
      <c r="G795" s="4" t="s">
        <v>38</v>
      </c>
      <c r="H795" s="4" t="s">
        <v>96</v>
      </c>
      <c r="I795" s="4">
        <v>2</v>
      </c>
      <c r="J795" s="6">
        <v>425.47</v>
      </c>
      <c r="K795" s="7">
        <v>0.1</v>
      </c>
      <c r="L795" s="6">
        <f t="shared" si="24"/>
        <v>765.84600000000012</v>
      </c>
      <c r="M795" s="6">
        <v>360.17</v>
      </c>
      <c r="N795" s="8">
        <f t="shared" si="25"/>
        <v>45.506000000000085</v>
      </c>
      <c r="O795" s="4" t="s">
        <v>60</v>
      </c>
      <c r="P795" s="4" t="s">
        <v>61</v>
      </c>
      <c r="Q795" s="4">
        <v>5</v>
      </c>
      <c r="R795" s="4" t="str">
        <f>TEXT(Table1[[#This Row],[Order Date]],"mmm")</f>
        <v>Oct</v>
      </c>
      <c r="S795" s="4" t="str">
        <f>TEXT(Table1[[#This Row],[Order Date]],"mm")</f>
        <v>10</v>
      </c>
      <c r="T795" s="4" t="str">
        <f>IF(Table1[[#This Row],[Sales]]&lt;0,"loss","profit")</f>
        <v>profit</v>
      </c>
      <c r="U795" s="4" t="str" cm="1">
        <f t="array" ref="U795">_xlfn.IFS(Table1[[#This Row],[Sales]]&gt;2000,"large",Table1[[#This Row],[Sales]]&gt;=500,"medium",Table1[[#This Row],[Sales]]&lt;500,"small")</f>
        <v>medium</v>
      </c>
      <c r="V795" s="22">
        <f>Table1[[#This Row],[Profit]]/Table1[[#This Row],[Sales]]*100</f>
        <v>5.9419256612948397</v>
      </c>
    </row>
    <row r="796" spans="1:22" x14ac:dyDescent="0.35">
      <c r="A796" s="4" t="s">
        <v>1212</v>
      </c>
      <c r="B796" s="5">
        <v>45948</v>
      </c>
      <c r="C796" s="4" t="s">
        <v>183</v>
      </c>
      <c r="D796" s="4" t="s">
        <v>43</v>
      </c>
      <c r="E796" s="4" t="s">
        <v>36</v>
      </c>
      <c r="F796" s="4" t="s">
        <v>48</v>
      </c>
      <c r="G796" s="4" t="s">
        <v>67</v>
      </c>
      <c r="H796" s="4" t="s">
        <v>121</v>
      </c>
      <c r="I796" s="4">
        <v>1</v>
      </c>
      <c r="J796" s="6">
        <v>264.52</v>
      </c>
      <c r="K796" s="7">
        <v>0.2</v>
      </c>
      <c r="L796" s="6">
        <f t="shared" si="24"/>
        <v>211.61599999999999</v>
      </c>
      <c r="M796" s="6">
        <v>208.89</v>
      </c>
      <c r="N796" s="8">
        <f t="shared" si="25"/>
        <v>2.7259999999999991</v>
      </c>
      <c r="O796" s="4" t="s">
        <v>25</v>
      </c>
      <c r="P796" s="4" t="s">
        <v>56</v>
      </c>
      <c r="Q796" s="4">
        <v>5</v>
      </c>
      <c r="R796" s="4" t="str">
        <f>TEXT(Table1[[#This Row],[Order Date]],"mmm")</f>
        <v>Oct</v>
      </c>
      <c r="S796" s="4" t="str">
        <f>TEXT(Table1[[#This Row],[Order Date]],"mm")</f>
        <v>10</v>
      </c>
      <c r="T796" s="4" t="str">
        <f>IF(Table1[[#This Row],[Sales]]&lt;0,"loss","profit")</f>
        <v>profit</v>
      </c>
      <c r="U796" s="4" t="str" cm="1">
        <f t="array" ref="U796">_xlfn.IFS(Table1[[#This Row],[Sales]]&gt;2000,"large",Table1[[#This Row],[Sales]]&gt;=500,"medium",Table1[[#This Row],[Sales]]&lt;500,"small")</f>
        <v>small</v>
      </c>
      <c r="V796" s="22">
        <f>Table1[[#This Row],[Profit]]/Table1[[#This Row],[Sales]]*100</f>
        <v>1.2881823680629061</v>
      </c>
    </row>
    <row r="797" spans="1:22" x14ac:dyDescent="0.35">
      <c r="A797" s="4" t="s">
        <v>1213</v>
      </c>
      <c r="B797" s="5">
        <v>45948</v>
      </c>
      <c r="C797" s="4" t="s">
        <v>648</v>
      </c>
      <c r="D797" s="4" t="s">
        <v>20</v>
      </c>
      <c r="E797" s="4" t="s">
        <v>36</v>
      </c>
      <c r="F797" s="4" t="s">
        <v>201</v>
      </c>
      <c r="G797" s="4" t="s">
        <v>38</v>
      </c>
      <c r="H797" s="4" t="s">
        <v>55</v>
      </c>
      <c r="I797" s="4">
        <v>3</v>
      </c>
      <c r="J797" s="6">
        <v>50.19</v>
      </c>
      <c r="K797" s="7">
        <v>0.05</v>
      </c>
      <c r="L797" s="6">
        <f t="shared" si="24"/>
        <v>143.04149999999998</v>
      </c>
      <c r="M797" s="6">
        <v>40.840000000000003</v>
      </c>
      <c r="N797" s="8">
        <f t="shared" si="25"/>
        <v>20.521499999999975</v>
      </c>
      <c r="O797" s="4" t="s">
        <v>40</v>
      </c>
      <c r="P797" s="4" t="s">
        <v>33</v>
      </c>
      <c r="Q797" s="4">
        <v>4</v>
      </c>
      <c r="R797" s="4" t="str">
        <f>TEXT(Table1[[#This Row],[Order Date]],"mmm")</f>
        <v>Oct</v>
      </c>
      <c r="S797" s="4" t="str">
        <f>TEXT(Table1[[#This Row],[Order Date]],"mm")</f>
        <v>10</v>
      </c>
      <c r="T797" s="4" t="str">
        <f>IF(Table1[[#This Row],[Sales]]&lt;0,"loss","profit")</f>
        <v>profit</v>
      </c>
      <c r="U797" s="4" t="str" cm="1">
        <f t="array" ref="U797">_xlfn.IFS(Table1[[#This Row],[Sales]]&gt;2000,"large",Table1[[#This Row],[Sales]]&gt;=500,"medium",Table1[[#This Row],[Sales]]&lt;500,"small")</f>
        <v>small</v>
      </c>
      <c r="V797" s="22">
        <f>Table1[[#This Row],[Profit]]/Table1[[#This Row],[Sales]]*100</f>
        <v>14.34653579555582</v>
      </c>
    </row>
    <row r="798" spans="1:22" x14ac:dyDescent="0.35">
      <c r="A798" s="4" t="s">
        <v>1214</v>
      </c>
      <c r="B798" s="5">
        <v>45949</v>
      </c>
      <c r="C798" s="4" t="s">
        <v>123</v>
      </c>
      <c r="D798" s="4" t="s">
        <v>20</v>
      </c>
      <c r="E798" s="4" t="s">
        <v>21</v>
      </c>
      <c r="F798" s="4" t="s">
        <v>22</v>
      </c>
      <c r="G798" s="4" t="s">
        <v>38</v>
      </c>
      <c r="H798" s="4" t="s">
        <v>96</v>
      </c>
      <c r="I798" s="4">
        <v>1</v>
      </c>
      <c r="J798" s="6">
        <v>293.48</v>
      </c>
      <c r="K798" s="7">
        <v>0.15</v>
      </c>
      <c r="L798" s="6">
        <f t="shared" si="24"/>
        <v>249.458</v>
      </c>
      <c r="M798" s="6">
        <v>249.4</v>
      </c>
      <c r="N798" s="8">
        <f t="shared" si="25"/>
        <v>5.7999999999992724E-2</v>
      </c>
      <c r="O798" s="4" t="s">
        <v>60</v>
      </c>
      <c r="P798" s="4" t="s">
        <v>72</v>
      </c>
      <c r="Q798" s="4">
        <v>4</v>
      </c>
      <c r="R798" s="4" t="str">
        <f>TEXT(Table1[[#This Row],[Order Date]],"mmm")</f>
        <v>Oct</v>
      </c>
      <c r="S798" s="4" t="str">
        <f>TEXT(Table1[[#This Row],[Order Date]],"mm")</f>
        <v>10</v>
      </c>
      <c r="T798" s="4" t="str">
        <f>IF(Table1[[#This Row],[Sales]]&lt;0,"loss","profit")</f>
        <v>profit</v>
      </c>
      <c r="U798" s="4" t="str" cm="1">
        <f t="array" ref="U798">_xlfn.IFS(Table1[[#This Row],[Sales]]&gt;2000,"large",Table1[[#This Row],[Sales]]&gt;=500,"medium",Table1[[#This Row],[Sales]]&lt;500,"small")</f>
        <v>small</v>
      </c>
      <c r="V798" s="22">
        <f>Table1[[#This Row],[Profit]]/Table1[[#This Row],[Sales]]*100</f>
        <v>2.3250406882117519E-2</v>
      </c>
    </row>
    <row r="799" spans="1:22" x14ac:dyDescent="0.35">
      <c r="A799" s="4" t="s">
        <v>1215</v>
      </c>
      <c r="B799" s="5">
        <v>45949</v>
      </c>
      <c r="C799" s="4" t="s">
        <v>303</v>
      </c>
      <c r="D799" s="4" t="s">
        <v>43</v>
      </c>
      <c r="E799" s="4" t="s">
        <v>29</v>
      </c>
      <c r="F799" s="4" t="s">
        <v>108</v>
      </c>
      <c r="G799" s="4" t="s">
        <v>31</v>
      </c>
      <c r="H799" s="4" t="s">
        <v>147</v>
      </c>
      <c r="I799" s="4">
        <v>4</v>
      </c>
      <c r="J799" s="6">
        <v>57.86</v>
      </c>
      <c r="K799" s="7">
        <v>0.2</v>
      </c>
      <c r="L799" s="6">
        <f t="shared" si="24"/>
        <v>185.15200000000002</v>
      </c>
      <c r="M799" s="6">
        <v>42.58</v>
      </c>
      <c r="N799" s="8">
        <f t="shared" si="25"/>
        <v>14.832000000000022</v>
      </c>
      <c r="O799" s="4" t="s">
        <v>84</v>
      </c>
      <c r="P799" s="4" t="s">
        <v>33</v>
      </c>
      <c r="Q799" s="4">
        <v>5</v>
      </c>
      <c r="R799" s="4" t="str">
        <f>TEXT(Table1[[#This Row],[Order Date]],"mmm")</f>
        <v>Oct</v>
      </c>
      <c r="S799" s="4" t="str">
        <f>TEXT(Table1[[#This Row],[Order Date]],"mm")</f>
        <v>10</v>
      </c>
      <c r="T799" s="4" t="str">
        <f>IF(Table1[[#This Row],[Sales]]&lt;0,"loss","profit")</f>
        <v>profit</v>
      </c>
      <c r="U799" s="4" t="str" cm="1">
        <f t="array" ref="U799">_xlfn.IFS(Table1[[#This Row],[Sales]]&gt;2000,"large",Table1[[#This Row],[Sales]]&gt;=500,"medium",Table1[[#This Row],[Sales]]&lt;500,"small")</f>
        <v>small</v>
      </c>
      <c r="V799" s="22">
        <f>Table1[[#This Row],[Profit]]/Table1[[#This Row],[Sales]]*100</f>
        <v>8.0107155202212343</v>
      </c>
    </row>
    <row r="800" spans="1:22" x14ac:dyDescent="0.35">
      <c r="A800" s="4" t="s">
        <v>1216</v>
      </c>
      <c r="B800" s="5">
        <v>45949</v>
      </c>
      <c r="C800" s="4" t="s">
        <v>1179</v>
      </c>
      <c r="D800" s="4" t="s">
        <v>47</v>
      </c>
      <c r="E800" s="4" t="s">
        <v>29</v>
      </c>
      <c r="F800" s="4" t="s">
        <v>30</v>
      </c>
      <c r="G800" s="4" t="s">
        <v>38</v>
      </c>
      <c r="H800" s="4" t="s">
        <v>96</v>
      </c>
      <c r="I800" s="4">
        <v>2</v>
      </c>
      <c r="J800" s="6">
        <v>429.18</v>
      </c>
      <c r="K800" s="7">
        <v>0.15</v>
      </c>
      <c r="L800" s="6">
        <f t="shared" si="24"/>
        <v>729.60599999999999</v>
      </c>
      <c r="M800" s="6">
        <v>344.4</v>
      </c>
      <c r="N800" s="8">
        <f t="shared" si="25"/>
        <v>40.80600000000004</v>
      </c>
      <c r="O800" s="4" t="s">
        <v>60</v>
      </c>
      <c r="P800" s="4" t="s">
        <v>75</v>
      </c>
      <c r="Q800" s="4">
        <v>5</v>
      </c>
      <c r="R800" s="4" t="str">
        <f>TEXT(Table1[[#This Row],[Order Date]],"mmm")</f>
        <v>Oct</v>
      </c>
      <c r="S800" s="4" t="str">
        <f>TEXT(Table1[[#This Row],[Order Date]],"mm")</f>
        <v>10</v>
      </c>
      <c r="T800" s="4" t="str">
        <f>IF(Table1[[#This Row],[Sales]]&lt;0,"loss","profit")</f>
        <v>profit</v>
      </c>
      <c r="U800" s="4" t="str" cm="1">
        <f t="array" ref="U800">_xlfn.IFS(Table1[[#This Row],[Sales]]&gt;2000,"large",Table1[[#This Row],[Sales]]&gt;=500,"medium",Table1[[#This Row],[Sales]]&lt;500,"small")</f>
        <v>medium</v>
      </c>
      <c r="V800" s="22">
        <f>Table1[[#This Row],[Profit]]/Table1[[#This Row],[Sales]]*100</f>
        <v>5.5928816374865393</v>
      </c>
    </row>
    <row r="801" spans="1:22" x14ac:dyDescent="0.35">
      <c r="A801" s="4" t="s">
        <v>1217</v>
      </c>
      <c r="B801" s="5">
        <v>45949</v>
      </c>
      <c r="C801" s="4" t="s">
        <v>1218</v>
      </c>
      <c r="D801" s="4" t="s">
        <v>43</v>
      </c>
      <c r="E801" s="4" t="s">
        <v>29</v>
      </c>
      <c r="F801" s="4" t="s">
        <v>54</v>
      </c>
      <c r="G801" s="4" t="s">
        <v>31</v>
      </c>
      <c r="H801" s="4" t="s">
        <v>32</v>
      </c>
      <c r="I801" s="4">
        <v>2</v>
      </c>
      <c r="J801" s="6">
        <v>295.04000000000002</v>
      </c>
      <c r="K801" s="7">
        <v>0</v>
      </c>
      <c r="L801" s="6">
        <f t="shared" si="24"/>
        <v>590.08000000000004</v>
      </c>
      <c r="M801" s="6">
        <v>177.74</v>
      </c>
      <c r="N801" s="8">
        <f t="shared" si="25"/>
        <v>234.60000000000002</v>
      </c>
      <c r="O801" s="4" t="s">
        <v>40</v>
      </c>
      <c r="P801" s="4" t="s">
        <v>61</v>
      </c>
      <c r="Q801" s="4">
        <v>2</v>
      </c>
      <c r="R801" s="4" t="str">
        <f>TEXT(Table1[[#This Row],[Order Date]],"mmm")</f>
        <v>Oct</v>
      </c>
      <c r="S801" s="4" t="str">
        <f>TEXT(Table1[[#This Row],[Order Date]],"mm")</f>
        <v>10</v>
      </c>
      <c r="T801" s="4" t="str">
        <f>IF(Table1[[#This Row],[Sales]]&lt;0,"loss","profit")</f>
        <v>profit</v>
      </c>
      <c r="U801" s="4" t="str" cm="1">
        <f t="array" ref="U801">_xlfn.IFS(Table1[[#This Row],[Sales]]&gt;2000,"large",Table1[[#This Row],[Sales]]&gt;=500,"medium",Table1[[#This Row],[Sales]]&lt;500,"small")</f>
        <v>medium</v>
      </c>
      <c r="V801" s="22">
        <f>Table1[[#This Row],[Profit]]/Table1[[#This Row],[Sales]]*100</f>
        <v>39.757321041214752</v>
      </c>
    </row>
    <row r="802" spans="1:22" x14ac:dyDescent="0.35">
      <c r="A802" s="4" t="s">
        <v>1219</v>
      </c>
      <c r="B802" s="5">
        <v>45950</v>
      </c>
      <c r="C802" s="4" t="s">
        <v>398</v>
      </c>
      <c r="D802" s="4" t="s">
        <v>47</v>
      </c>
      <c r="E802" s="4" t="s">
        <v>87</v>
      </c>
      <c r="F802" s="4" t="s">
        <v>92</v>
      </c>
      <c r="G802" s="4" t="s">
        <v>38</v>
      </c>
      <c r="H802" s="4" t="s">
        <v>39</v>
      </c>
      <c r="I802" s="4">
        <v>2</v>
      </c>
      <c r="J802" s="6">
        <v>443.54</v>
      </c>
      <c r="K802" s="7">
        <v>0</v>
      </c>
      <c r="L802" s="6">
        <f t="shared" si="24"/>
        <v>887.08</v>
      </c>
      <c r="M802" s="6">
        <v>374.72</v>
      </c>
      <c r="N802" s="8">
        <f t="shared" si="25"/>
        <v>137.63999999999999</v>
      </c>
      <c r="O802" s="4" t="s">
        <v>51</v>
      </c>
      <c r="P802" s="4" t="s">
        <v>75</v>
      </c>
      <c r="Q802" s="4">
        <v>3</v>
      </c>
      <c r="R802" s="4" t="str">
        <f>TEXT(Table1[[#This Row],[Order Date]],"mmm")</f>
        <v>Oct</v>
      </c>
      <c r="S802" s="4" t="str">
        <f>TEXT(Table1[[#This Row],[Order Date]],"mm")</f>
        <v>10</v>
      </c>
      <c r="T802" s="4" t="str">
        <f>IF(Table1[[#This Row],[Sales]]&lt;0,"loss","profit")</f>
        <v>profit</v>
      </c>
      <c r="U802" s="4" t="str" cm="1">
        <f t="array" ref="U802">_xlfn.IFS(Table1[[#This Row],[Sales]]&gt;2000,"large",Table1[[#This Row],[Sales]]&gt;=500,"medium",Table1[[#This Row],[Sales]]&lt;500,"small")</f>
        <v>medium</v>
      </c>
      <c r="V802" s="22">
        <f>Table1[[#This Row],[Profit]]/Table1[[#This Row],[Sales]]*100</f>
        <v>15.516075213058572</v>
      </c>
    </row>
    <row r="803" spans="1:22" x14ac:dyDescent="0.35">
      <c r="A803" s="4" t="s">
        <v>1220</v>
      </c>
      <c r="B803" s="5">
        <v>45951</v>
      </c>
      <c r="C803" s="4" t="s">
        <v>86</v>
      </c>
      <c r="D803" s="4" t="s">
        <v>43</v>
      </c>
      <c r="E803" s="4" t="s">
        <v>87</v>
      </c>
      <c r="F803" s="4" t="s">
        <v>88</v>
      </c>
      <c r="G803" s="4" t="s">
        <v>31</v>
      </c>
      <c r="H803" s="4" t="s">
        <v>147</v>
      </c>
      <c r="I803" s="4">
        <v>1</v>
      </c>
      <c r="J803" s="6">
        <v>119.14</v>
      </c>
      <c r="K803" s="7">
        <v>0</v>
      </c>
      <c r="L803" s="6">
        <f t="shared" si="24"/>
        <v>119.14</v>
      </c>
      <c r="M803" s="6">
        <v>89</v>
      </c>
      <c r="N803" s="8">
        <f t="shared" si="25"/>
        <v>30.14</v>
      </c>
      <c r="O803" s="4" t="s">
        <v>60</v>
      </c>
      <c r="P803" s="4" t="s">
        <v>118</v>
      </c>
      <c r="Q803" s="4">
        <v>4</v>
      </c>
      <c r="R803" s="4" t="str">
        <f>TEXT(Table1[[#This Row],[Order Date]],"mmm")</f>
        <v>Oct</v>
      </c>
      <c r="S803" s="4" t="str">
        <f>TEXT(Table1[[#This Row],[Order Date]],"mm")</f>
        <v>10</v>
      </c>
      <c r="T803" s="4" t="str">
        <f>IF(Table1[[#This Row],[Sales]]&lt;0,"loss","profit")</f>
        <v>profit</v>
      </c>
      <c r="U803" s="4" t="str" cm="1">
        <f t="array" ref="U803">_xlfn.IFS(Table1[[#This Row],[Sales]]&gt;2000,"large",Table1[[#This Row],[Sales]]&gt;=500,"medium",Table1[[#This Row],[Sales]]&lt;500,"small")</f>
        <v>small</v>
      </c>
      <c r="V803" s="22">
        <f>Table1[[#This Row],[Profit]]/Table1[[#This Row],[Sales]]*100</f>
        <v>25.297968776229645</v>
      </c>
    </row>
    <row r="804" spans="1:22" x14ac:dyDescent="0.35">
      <c r="A804" s="4" t="s">
        <v>1221</v>
      </c>
      <c r="B804" s="5">
        <v>45952</v>
      </c>
      <c r="C804" s="4" t="s">
        <v>270</v>
      </c>
      <c r="D804" s="4" t="s">
        <v>43</v>
      </c>
      <c r="E804" s="4" t="s">
        <v>29</v>
      </c>
      <c r="F804" s="4" t="s">
        <v>30</v>
      </c>
      <c r="G804" s="4" t="s">
        <v>31</v>
      </c>
      <c r="H804" s="4" t="s">
        <v>125</v>
      </c>
      <c r="I804" s="4">
        <v>3</v>
      </c>
      <c r="J804" s="6">
        <v>199.68</v>
      </c>
      <c r="K804" s="7">
        <v>0.1</v>
      </c>
      <c r="L804" s="6">
        <f t="shared" si="24"/>
        <v>539.13599999999997</v>
      </c>
      <c r="M804" s="6">
        <v>144.58000000000001</v>
      </c>
      <c r="N804" s="8">
        <f t="shared" si="25"/>
        <v>105.39599999999996</v>
      </c>
      <c r="O804" s="4" t="s">
        <v>51</v>
      </c>
      <c r="P804" s="4" t="s">
        <v>72</v>
      </c>
      <c r="Q804" s="4">
        <v>4</v>
      </c>
      <c r="R804" s="4" t="str">
        <f>TEXT(Table1[[#This Row],[Order Date]],"mmm")</f>
        <v>Oct</v>
      </c>
      <c r="S804" s="4" t="str">
        <f>TEXT(Table1[[#This Row],[Order Date]],"mm")</f>
        <v>10</v>
      </c>
      <c r="T804" s="4" t="str">
        <f>IF(Table1[[#This Row],[Sales]]&lt;0,"loss","profit")</f>
        <v>profit</v>
      </c>
      <c r="U804" s="4" t="str" cm="1">
        <f t="array" ref="U804">_xlfn.IFS(Table1[[#This Row],[Sales]]&gt;2000,"large",Table1[[#This Row],[Sales]]&gt;=500,"medium",Table1[[#This Row],[Sales]]&lt;500,"small")</f>
        <v>medium</v>
      </c>
      <c r="V804" s="22">
        <f>Table1[[#This Row],[Profit]]/Table1[[#This Row],[Sales]]*100</f>
        <v>19.549056267806261</v>
      </c>
    </row>
    <row r="805" spans="1:22" x14ac:dyDescent="0.35">
      <c r="A805" s="4" t="s">
        <v>1222</v>
      </c>
      <c r="B805" s="5">
        <v>45952</v>
      </c>
      <c r="C805" s="4" t="s">
        <v>303</v>
      </c>
      <c r="D805" s="4" t="s">
        <v>43</v>
      </c>
      <c r="E805" s="4" t="s">
        <v>29</v>
      </c>
      <c r="F805" s="4" t="s">
        <v>108</v>
      </c>
      <c r="G805" s="4" t="s">
        <v>31</v>
      </c>
      <c r="H805" s="4" t="s">
        <v>64</v>
      </c>
      <c r="I805" s="4">
        <v>2</v>
      </c>
      <c r="J805" s="6">
        <v>228.5</v>
      </c>
      <c r="K805" s="7">
        <v>0</v>
      </c>
      <c r="L805" s="6">
        <f t="shared" si="24"/>
        <v>457</v>
      </c>
      <c r="M805" s="6">
        <v>132.13</v>
      </c>
      <c r="N805" s="8">
        <f t="shared" si="25"/>
        <v>192.74</v>
      </c>
      <c r="O805" s="4" t="s">
        <v>84</v>
      </c>
      <c r="P805" s="4" t="s">
        <v>33</v>
      </c>
      <c r="Q805" s="4">
        <v>3</v>
      </c>
      <c r="R805" s="4" t="str">
        <f>TEXT(Table1[[#This Row],[Order Date]],"mmm")</f>
        <v>Oct</v>
      </c>
      <c r="S805" s="4" t="str">
        <f>TEXT(Table1[[#This Row],[Order Date]],"mm")</f>
        <v>10</v>
      </c>
      <c r="T805" s="4" t="str">
        <f>IF(Table1[[#This Row],[Sales]]&lt;0,"loss","profit")</f>
        <v>profit</v>
      </c>
      <c r="U805" s="4" t="str" cm="1">
        <f t="array" ref="U805">_xlfn.IFS(Table1[[#This Row],[Sales]]&gt;2000,"large",Table1[[#This Row],[Sales]]&gt;=500,"medium",Table1[[#This Row],[Sales]]&lt;500,"small")</f>
        <v>small</v>
      </c>
      <c r="V805" s="22">
        <f>Table1[[#This Row],[Profit]]/Table1[[#This Row],[Sales]]*100</f>
        <v>42.17505470459519</v>
      </c>
    </row>
    <row r="806" spans="1:22" x14ac:dyDescent="0.35">
      <c r="A806" s="4" t="s">
        <v>1223</v>
      </c>
      <c r="B806" s="5">
        <v>45952</v>
      </c>
      <c r="C806" s="4" t="s">
        <v>481</v>
      </c>
      <c r="D806" s="4" t="s">
        <v>47</v>
      </c>
      <c r="E806" s="4" t="s">
        <v>29</v>
      </c>
      <c r="F806" s="4" t="s">
        <v>30</v>
      </c>
      <c r="G806" s="4" t="s">
        <v>23</v>
      </c>
      <c r="H806" s="4" t="s">
        <v>135</v>
      </c>
      <c r="I806" s="4">
        <v>1</v>
      </c>
      <c r="J806" s="6">
        <v>9.4600000000000009</v>
      </c>
      <c r="K806" s="7">
        <v>0.15</v>
      </c>
      <c r="L806" s="6">
        <f t="shared" si="24"/>
        <v>8.0410000000000004</v>
      </c>
      <c r="M806" s="6">
        <v>4.0199999999999996</v>
      </c>
      <c r="N806" s="8">
        <f t="shared" si="25"/>
        <v>4.0210000000000008</v>
      </c>
      <c r="O806" s="4" t="s">
        <v>25</v>
      </c>
      <c r="P806" s="4" t="s">
        <v>72</v>
      </c>
      <c r="Q806" s="4">
        <v>3</v>
      </c>
      <c r="R806" s="4" t="str">
        <f>TEXT(Table1[[#This Row],[Order Date]],"mmm")</f>
        <v>Oct</v>
      </c>
      <c r="S806" s="4" t="str">
        <f>TEXT(Table1[[#This Row],[Order Date]],"mm")</f>
        <v>10</v>
      </c>
      <c r="T806" s="4" t="str">
        <f>IF(Table1[[#This Row],[Sales]]&lt;0,"loss","profit")</f>
        <v>profit</v>
      </c>
      <c r="U806" s="4" t="str" cm="1">
        <f t="array" ref="U806">_xlfn.IFS(Table1[[#This Row],[Sales]]&gt;2000,"large",Table1[[#This Row],[Sales]]&gt;=500,"medium",Table1[[#This Row],[Sales]]&lt;500,"small")</f>
        <v>small</v>
      </c>
      <c r="V806" s="22">
        <f>Table1[[#This Row],[Profit]]/Table1[[#This Row],[Sales]]*100</f>
        <v>50.00621813207313</v>
      </c>
    </row>
    <row r="807" spans="1:22" x14ac:dyDescent="0.35">
      <c r="A807" s="4" t="s">
        <v>1224</v>
      </c>
      <c r="B807" s="5">
        <v>45953</v>
      </c>
      <c r="C807" s="4" t="s">
        <v>120</v>
      </c>
      <c r="D807" s="4" t="s">
        <v>43</v>
      </c>
      <c r="E807" s="4" t="s">
        <v>29</v>
      </c>
      <c r="F807" s="4" t="s">
        <v>108</v>
      </c>
      <c r="G807" s="4" t="s">
        <v>31</v>
      </c>
      <c r="H807" s="4" t="s">
        <v>125</v>
      </c>
      <c r="I807" s="4">
        <v>4</v>
      </c>
      <c r="J807" s="6">
        <v>36.1</v>
      </c>
      <c r="K807" s="7">
        <v>0.2</v>
      </c>
      <c r="L807" s="6">
        <f t="shared" si="24"/>
        <v>115.52000000000001</v>
      </c>
      <c r="M807" s="6">
        <v>25.38</v>
      </c>
      <c r="N807" s="8">
        <f t="shared" si="25"/>
        <v>14.000000000000014</v>
      </c>
      <c r="O807" s="4" t="s">
        <v>60</v>
      </c>
      <c r="P807" s="4" t="s">
        <v>33</v>
      </c>
      <c r="Q807" s="4">
        <v>3</v>
      </c>
      <c r="R807" s="4" t="str">
        <f>TEXT(Table1[[#This Row],[Order Date]],"mmm")</f>
        <v>Oct</v>
      </c>
      <c r="S807" s="4" t="str">
        <f>TEXT(Table1[[#This Row],[Order Date]],"mm")</f>
        <v>10</v>
      </c>
      <c r="T807" s="4" t="str">
        <f>IF(Table1[[#This Row],[Sales]]&lt;0,"loss","profit")</f>
        <v>profit</v>
      </c>
      <c r="U807" s="4" t="str" cm="1">
        <f t="array" ref="U807">_xlfn.IFS(Table1[[#This Row],[Sales]]&gt;2000,"large",Table1[[#This Row],[Sales]]&gt;=500,"medium",Table1[[#This Row],[Sales]]&lt;500,"small")</f>
        <v>small</v>
      </c>
      <c r="V807" s="22">
        <f>Table1[[#This Row],[Profit]]/Table1[[#This Row],[Sales]]*100</f>
        <v>12.119113573407212</v>
      </c>
    </row>
    <row r="808" spans="1:22" x14ac:dyDescent="0.35">
      <c r="A808" s="4" t="s">
        <v>1225</v>
      </c>
      <c r="B808" s="5">
        <v>45953</v>
      </c>
      <c r="C808" s="4" t="s">
        <v>1095</v>
      </c>
      <c r="D808" s="4" t="s">
        <v>47</v>
      </c>
      <c r="E808" s="4" t="s">
        <v>29</v>
      </c>
      <c r="F808" s="4" t="s">
        <v>30</v>
      </c>
      <c r="G808" s="4" t="s">
        <v>67</v>
      </c>
      <c r="H808" s="4" t="s">
        <v>121</v>
      </c>
      <c r="I808" s="4">
        <v>1</v>
      </c>
      <c r="J808" s="6">
        <v>102.1</v>
      </c>
      <c r="K808" s="7">
        <v>0</v>
      </c>
      <c r="L808" s="6">
        <f t="shared" si="24"/>
        <v>102.1</v>
      </c>
      <c r="M808" s="6">
        <v>64.23</v>
      </c>
      <c r="N808" s="8">
        <f t="shared" si="25"/>
        <v>37.86999999999999</v>
      </c>
      <c r="O808" s="4" t="s">
        <v>84</v>
      </c>
      <c r="P808" s="4" t="s">
        <v>72</v>
      </c>
      <c r="Q808" s="4">
        <v>4</v>
      </c>
      <c r="R808" s="4" t="str">
        <f>TEXT(Table1[[#This Row],[Order Date]],"mmm")</f>
        <v>Oct</v>
      </c>
      <c r="S808" s="4" t="str">
        <f>TEXT(Table1[[#This Row],[Order Date]],"mm")</f>
        <v>10</v>
      </c>
      <c r="T808" s="4" t="str">
        <f>IF(Table1[[#This Row],[Sales]]&lt;0,"loss","profit")</f>
        <v>profit</v>
      </c>
      <c r="U808" s="4" t="str" cm="1">
        <f t="array" ref="U808">_xlfn.IFS(Table1[[#This Row],[Sales]]&gt;2000,"large",Table1[[#This Row],[Sales]]&gt;=500,"medium",Table1[[#This Row],[Sales]]&lt;500,"small")</f>
        <v>small</v>
      </c>
      <c r="V808" s="22">
        <f>Table1[[#This Row],[Profit]]/Table1[[#This Row],[Sales]]*100</f>
        <v>37.091087169441714</v>
      </c>
    </row>
    <row r="809" spans="1:22" x14ac:dyDescent="0.35">
      <c r="A809" s="4" t="s">
        <v>1226</v>
      </c>
      <c r="B809" s="5">
        <v>45953</v>
      </c>
      <c r="C809" s="4" t="s">
        <v>834</v>
      </c>
      <c r="D809" s="4" t="s">
        <v>43</v>
      </c>
      <c r="E809" s="4" t="s">
        <v>36</v>
      </c>
      <c r="F809" s="4" t="s">
        <v>48</v>
      </c>
      <c r="G809" s="4" t="s">
        <v>31</v>
      </c>
      <c r="H809" s="4" t="s">
        <v>147</v>
      </c>
      <c r="I809" s="4">
        <v>6</v>
      </c>
      <c r="J809" s="6">
        <v>87.74</v>
      </c>
      <c r="K809" s="7">
        <v>0.1</v>
      </c>
      <c r="L809" s="6">
        <f t="shared" si="24"/>
        <v>473.79599999999994</v>
      </c>
      <c r="M809" s="6">
        <v>65.260000000000005</v>
      </c>
      <c r="N809" s="8">
        <f t="shared" si="25"/>
        <v>82.235999999999876</v>
      </c>
      <c r="O809" s="4" t="s">
        <v>51</v>
      </c>
      <c r="P809" s="4" t="s">
        <v>72</v>
      </c>
      <c r="Q809" s="4">
        <v>5</v>
      </c>
      <c r="R809" s="4" t="str">
        <f>TEXT(Table1[[#This Row],[Order Date]],"mmm")</f>
        <v>Oct</v>
      </c>
      <c r="S809" s="4" t="str">
        <f>TEXT(Table1[[#This Row],[Order Date]],"mm")</f>
        <v>10</v>
      </c>
      <c r="T809" s="4" t="str">
        <f>IF(Table1[[#This Row],[Sales]]&lt;0,"loss","profit")</f>
        <v>profit</v>
      </c>
      <c r="U809" s="4" t="str" cm="1">
        <f t="array" ref="U809">_xlfn.IFS(Table1[[#This Row],[Sales]]&gt;2000,"large",Table1[[#This Row],[Sales]]&gt;=500,"medium",Table1[[#This Row],[Sales]]&lt;500,"small")</f>
        <v>small</v>
      </c>
      <c r="V809" s="22">
        <f>Table1[[#This Row],[Profit]]/Table1[[#This Row],[Sales]]*100</f>
        <v>17.356837119773044</v>
      </c>
    </row>
    <row r="810" spans="1:22" x14ac:dyDescent="0.35">
      <c r="A810" s="4" t="s">
        <v>1227</v>
      </c>
      <c r="B810" s="5">
        <v>45953</v>
      </c>
      <c r="C810" s="4" t="s">
        <v>101</v>
      </c>
      <c r="D810" s="4" t="s">
        <v>43</v>
      </c>
      <c r="E810" s="4" t="s">
        <v>21</v>
      </c>
      <c r="F810" s="4" t="s">
        <v>22</v>
      </c>
      <c r="G810" s="4" t="s">
        <v>67</v>
      </c>
      <c r="H810" s="4" t="s">
        <v>68</v>
      </c>
      <c r="I810" s="4">
        <v>3</v>
      </c>
      <c r="J810" s="6">
        <v>1079.17</v>
      </c>
      <c r="K810" s="7">
        <v>0.2</v>
      </c>
      <c r="L810" s="6">
        <f t="shared" si="24"/>
        <v>2590.0080000000003</v>
      </c>
      <c r="M810" s="6">
        <v>694.42</v>
      </c>
      <c r="N810" s="8">
        <f t="shared" si="25"/>
        <v>506.7480000000005</v>
      </c>
      <c r="O810" s="4" t="s">
        <v>51</v>
      </c>
      <c r="P810" s="4" t="s">
        <v>26</v>
      </c>
      <c r="Q810" s="4">
        <v>4</v>
      </c>
      <c r="R810" s="4" t="str">
        <f>TEXT(Table1[[#This Row],[Order Date]],"mmm")</f>
        <v>Oct</v>
      </c>
      <c r="S810" s="4" t="str">
        <f>TEXT(Table1[[#This Row],[Order Date]],"mm")</f>
        <v>10</v>
      </c>
      <c r="T810" s="4" t="str">
        <f>IF(Table1[[#This Row],[Sales]]&lt;0,"loss","profit")</f>
        <v>profit</v>
      </c>
      <c r="U810" s="4" t="str" cm="1">
        <f t="array" ref="U810">_xlfn.IFS(Table1[[#This Row],[Sales]]&gt;2000,"large",Table1[[#This Row],[Sales]]&gt;=500,"medium",Table1[[#This Row],[Sales]]&lt;500,"small")</f>
        <v>large</v>
      </c>
      <c r="V810" s="22">
        <f>Table1[[#This Row],[Profit]]/Table1[[#This Row],[Sales]]*100</f>
        <v>19.565499411584845</v>
      </c>
    </row>
    <row r="811" spans="1:22" x14ac:dyDescent="0.35">
      <c r="A811" s="4" t="s">
        <v>1228</v>
      </c>
      <c r="B811" s="5">
        <v>45954</v>
      </c>
      <c r="C811" s="4" t="s">
        <v>442</v>
      </c>
      <c r="D811" s="4" t="s">
        <v>43</v>
      </c>
      <c r="E811" s="4" t="s">
        <v>87</v>
      </c>
      <c r="F811" s="4" t="s">
        <v>88</v>
      </c>
      <c r="G811" s="4" t="s">
        <v>31</v>
      </c>
      <c r="H811" s="4" t="s">
        <v>64</v>
      </c>
      <c r="I811" s="4">
        <v>6</v>
      </c>
      <c r="J811" s="6">
        <v>74.14</v>
      </c>
      <c r="K811" s="7">
        <v>0</v>
      </c>
      <c r="L811" s="6">
        <f t="shared" si="24"/>
        <v>444.84000000000003</v>
      </c>
      <c r="M811" s="6">
        <v>49.95</v>
      </c>
      <c r="N811" s="8">
        <f t="shared" si="25"/>
        <v>145.13999999999999</v>
      </c>
      <c r="O811" s="4" t="s">
        <v>60</v>
      </c>
      <c r="P811" s="4" t="s">
        <v>72</v>
      </c>
      <c r="Q811" s="4">
        <v>5</v>
      </c>
      <c r="R811" s="4" t="str">
        <f>TEXT(Table1[[#This Row],[Order Date]],"mmm")</f>
        <v>Oct</v>
      </c>
      <c r="S811" s="4" t="str">
        <f>TEXT(Table1[[#This Row],[Order Date]],"mm")</f>
        <v>10</v>
      </c>
      <c r="T811" s="4" t="str">
        <f>IF(Table1[[#This Row],[Sales]]&lt;0,"loss","profit")</f>
        <v>profit</v>
      </c>
      <c r="U811" s="4" t="str" cm="1">
        <f t="array" ref="U811">_xlfn.IFS(Table1[[#This Row],[Sales]]&gt;2000,"large",Table1[[#This Row],[Sales]]&gt;=500,"medium",Table1[[#This Row],[Sales]]&lt;500,"small")</f>
        <v>small</v>
      </c>
      <c r="V811" s="22">
        <f>Table1[[#This Row],[Profit]]/Table1[[#This Row],[Sales]]*100</f>
        <v>32.627461559212293</v>
      </c>
    </row>
    <row r="812" spans="1:22" x14ac:dyDescent="0.35">
      <c r="A812" s="4" t="s">
        <v>1229</v>
      </c>
      <c r="B812" s="5">
        <v>45954</v>
      </c>
      <c r="C812" s="4" t="s">
        <v>729</v>
      </c>
      <c r="D812" s="4" t="s">
        <v>20</v>
      </c>
      <c r="E812" s="4" t="s">
        <v>36</v>
      </c>
      <c r="F812" s="4" t="s">
        <v>37</v>
      </c>
      <c r="G812" s="4" t="s">
        <v>67</v>
      </c>
      <c r="H812" s="4" t="s">
        <v>68</v>
      </c>
      <c r="I812" s="4">
        <v>1</v>
      </c>
      <c r="J812" s="6">
        <v>334.75</v>
      </c>
      <c r="K812" s="7">
        <v>0.1</v>
      </c>
      <c r="L812" s="6">
        <f t="shared" si="24"/>
        <v>301.27500000000003</v>
      </c>
      <c r="M812" s="6">
        <v>249.44</v>
      </c>
      <c r="N812" s="8">
        <f t="shared" si="25"/>
        <v>51.835000000000036</v>
      </c>
      <c r="O812" s="4" t="s">
        <v>60</v>
      </c>
      <c r="P812" s="4" t="s">
        <v>56</v>
      </c>
      <c r="Q812" s="4">
        <v>3</v>
      </c>
      <c r="R812" s="4" t="str">
        <f>TEXT(Table1[[#This Row],[Order Date]],"mmm")</f>
        <v>Oct</v>
      </c>
      <c r="S812" s="4" t="str">
        <f>TEXT(Table1[[#This Row],[Order Date]],"mm")</f>
        <v>10</v>
      </c>
      <c r="T812" s="4" t="str">
        <f>IF(Table1[[#This Row],[Sales]]&lt;0,"loss","profit")</f>
        <v>profit</v>
      </c>
      <c r="U812" s="4" t="str" cm="1">
        <f t="array" ref="U812">_xlfn.IFS(Table1[[#This Row],[Sales]]&gt;2000,"large",Table1[[#This Row],[Sales]]&gt;=500,"medium",Table1[[#This Row],[Sales]]&lt;500,"small")</f>
        <v>small</v>
      </c>
      <c r="V812" s="22">
        <f>Table1[[#This Row],[Profit]]/Table1[[#This Row],[Sales]]*100</f>
        <v>17.205211185793718</v>
      </c>
    </row>
    <row r="813" spans="1:22" x14ac:dyDescent="0.35">
      <c r="A813" s="4" t="s">
        <v>1230</v>
      </c>
      <c r="B813" s="5">
        <v>45954</v>
      </c>
      <c r="C813" s="4" t="s">
        <v>127</v>
      </c>
      <c r="D813" s="4" t="s">
        <v>43</v>
      </c>
      <c r="E813" s="4" t="s">
        <v>21</v>
      </c>
      <c r="F813" s="4" t="s">
        <v>81</v>
      </c>
      <c r="G813" s="4" t="s">
        <v>31</v>
      </c>
      <c r="H813" s="4" t="s">
        <v>64</v>
      </c>
      <c r="I813" s="4">
        <v>1</v>
      </c>
      <c r="J813" s="6">
        <v>217.99</v>
      </c>
      <c r="K813" s="7">
        <v>0</v>
      </c>
      <c r="L813" s="6">
        <f t="shared" si="24"/>
        <v>217.99</v>
      </c>
      <c r="M813" s="6">
        <v>144.13999999999999</v>
      </c>
      <c r="N813" s="8">
        <f t="shared" si="25"/>
        <v>73.850000000000023</v>
      </c>
      <c r="O813" s="4" t="s">
        <v>51</v>
      </c>
      <c r="P813" s="4" t="s">
        <v>72</v>
      </c>
      <c r="Q813" s="4">
        <v>4</v>
      </c>
      <c r="R813" s="4" t="str">
        <f>TEXT(Table1[[#This Row],[Order Date]],"mmm")</f>
        <v>Oct</v>
      </c>
      <c r="S813" s="4" t="str">
        <f>TEXT(Table1[[#This Row],[Order Date]],"mm")</f>
        <v>10</v>
      </c>
      <c r="T813" s="4" t="str">
        <f>IF(Table1[[#This Row],[Sales]]&lt;0,"loss","profit")</f>
        <v>profit</v>
      </c>
      <c r="U813" s="4" t="str" cm="1">
        <f t="array" ref="U813">_xlfn.IFS(Table1[[#This Row],[Sales]]&gt;2000,"large",Table1[[#This Row],[Sales]]&gt;=500,"medium",Table1[[#This Row],[Sales]]&lt;500,"small")</f>
        <v>small</v>
      </c>
      <c r="V813" s="22">
        <f>Table1[[#This Row],[Profit]]/Table1[[#This Row],[Sales]]*100</f>
        <v>33.877700811963862</v>
      </c>
    </row>
    <row r="814" spans="1:22" x14ac:dyDescent="0.35">
      <c r="A814" s="4" t="s">
        <v>1231</v>
      </c>
      <c r="B814" s="5">
        <v>45954</v>
      </c>
      <c r="C814" s="4" t="s">
        <v>323</v>
      </c>
      <c r="D814" s="4" t="s">
        <v>43</v>
      </c>
      <c r="E814" s="4" t="s">
        <v>36</v>
      </c>
      <c r="F814" s="4" t="s">
        <v>48</v>
      </c>
      <c r="G814" s="4" t="s">
        <v>23</v>
      </c>
      <c r="H814" s="4" t="s">
        <v>135</v>
      </c>
      <c r="I814" s="4">
        <v>2</v>
      </c>
      <c r="J814" s="6">
        <v>15.46</v>
      </c>
      <c r="K814" s="7">
        <v>0</v>
      </c>
      <c r="L814" s="6">
        <f t="shared" si="24"/>
        <v>30.92</v>
      </c>
      <c r="M814" s="6">
        <v>7.69</v>
      </c>
      <c r="N814" s="8">
        <f t="shared" si="25"/>
        <v>15.540000000000001</v>
      </c>
      <c r="O814" s="4" t="s">
        <v>40</v>
      </c>
      <c r="P814" s="4" t="s">
        <v>61</v>
      </c>
      <c r="Q814" s="4">
        <v>3</v>
      </c>
      <c r="R814" s="4" t="str">
        <f>TEXT(Table1[[#This Row],[Order Date]],"mmm")</f>
        <v>Oct</v>
      </c>
      <c r="S814" s="4" t="str">
        <f>TEXT(Table1[[#This Row],[Order Date]],"mm")</f>
        <v>10</v>
      </c>
      <c r="T814" s="4" t="str">
        <f>IF(Table1[[#This Row],[Sales]]&lt;0,"loss","profit")</f>
        <v>profit</v>
      </c>
      <c r="U814" s="4" t="str" cm="1">
        <f t="array" ref="U814">_xlfn.IFS(Table1[[#This Row],[Sales]]&gt;2000,"large",Table1[[#This Row],[Sales]]&gt;=500,"medium",Table1[[#This Row],[Sales]]&lt;500,"small")</f>
        <v>small</v>
      </c>
      <c r="V814" s="22">
        <f>Table1[[#This Row],[Profit]]/Table1[[#This Row],[Sales]]*100</f>
        <v>50.258732212160417</v>
      </c>
    </row>
    <row r="815" spans="1:22" x14ac:dyDescent="0.35">
      <c r="A815" s="4" t="s">
        <v>1232</v>
      </c>
      <c r="B815" s="5">
        <v>45955</v>
      </c>
      <c r="C815" s="4" t="s">
        <v>1233</v>
      </c>
      <c r="D815" s="4" t="s">
        <v>43</v>
      </c>
      <c r="E815" s="4" t="s">
        <v>21</v>
      </c>
      <c r="F815" s="4" t="s">
        <v>22</v>
      </c>
      <c r="G815" s="4" t="s">
        <v>38</v>
      </c>
      <c r="H815" s="4" t="s">
        <v>39</v>
      </c>
      <c r="I815" s="4">
        <v>3</v>
      </c>
      <c r="J815" s="6">
        <v>322.70999999999998</v>
      </c>
      <c r="K815" s="7">
        <v>0.15</v>
      </c>
      <c r="L815" s="6">
        <f t="shared" si="24"/>
        <v>822.91049999999984</v>
      </c>
      <c r="M815" s="6">
        <v>279.18</v>
      </c>
      <c r="N815" s="8">
        <f t="shared" si="25"/>
        <v>-14.629500000000121</v>
      </c>
      <c r="O815" s="4" t="s">
        <v>60</v>
      </c>
      <c r="P815" s="4" t="s">
        <v>72</v>
      </c>
      <c r="Q815" s="4">
        <v>2</v>
      </c>
      <c r="R815" s="4" t="str">
        <f>TEXT(Table1[[#This Row],[Order Date]],"mmm")</f>
        <v>Oct</v>
      </c>
      <c r="S815" s="4" t="str">
        <f>TEXT(Table1[[#This Row],[Order Date]],"mm")</f>
        <v>10</v>
      </c>
      <c r="T815" s="4" t="str">
        <f>IF(Table1[[#This Row],[Sales]]&lt;0,"loss","profit")</f>
        <v>profit</v>
      </c>
      <c r="U815" s="4" t="str" cm="1">
        <f t="array" ref="U815">_xlfn.IFS(Table1[[#This Row],[Sales]]&gt;2000,"large",Table1[[#This Row],[Sales]]&gt;=500,"medium",Table1[[#This Row],[Sales]]&lt;500,"small")</f>
        <v>medium</v>
      </c>
      <c r="V815" s="22">
        <f>Table1[[#This Row],[Profit]]/Table1[[#This Row],[Sales]]*100</f>
        <v>-1.7777753473798334</v>
      </c>
    </row>
    <row r="816" spans="1:22" x14ac:dyDescent="0.35">
      <c r="A816" s="4" t="s">
        <v>1234</v>
      </c>
      <c r="B816" s="5">
        <v>45955</v>
      </c>
      <c r="C816" s="4" t="s">
        <v>174</v>
      </c>
      <c r="D816" s="4" t="s">
        <v>47</v>
      </c>
      <c r="E816" s="4" t="s">
        <v>36</v>
      </c>
      <c r="F816" s="4" t="s">
        <v>37</v>
      </c>
      <c r="G816" s="4" t="s">
        <v>31</v>
      </c>
      <c r="H816" s="4" t="s">
        <v>64</v>
      </c>
      <c r="I816" s="4">
        <v>4</v>
      </c>
      <c r="J816" s="6">
        <v>244.81</v>
      </c>
      <c r="K816" s="7">
        <v>0.1</v>
      </c>
      <c r="L816" s="6">
        <f t="shared" si="24"/>
        <v>881.31600000000003</v>
      </c>
      <c r="M816" s="6">
        <v>182.82</v>
      </c>
      <c r="N816" s="8">
        <f t="shared" si="25"/>
        <v>150.03600000000006</v>
      </c>
      <c r="O816" s="4" t="s">
        <v>60</v>
      </c>
      <c r="P816" s="4" t="s">
        <v>26</v>
      </c>
      <c r="Q816" s="4">
        <v>2</v>
      </c>
      <c r="R816" s="4" t="str">
        <f>TEXT(Table1[[#This Row],[Order Date]],"mmm")</f>
        <v>Oct</v>
      </c>
      <c r="S816" s="4" t="str">
        <f>TEXT(Table1[[#This Row],[Order Date]],"mm")</f>
        <v>10</v>
      </c>
      <c r="T816" s="4" t="str">
        <f>IF(Table1[[#This Row],[Sales]]&lt;0,"loss","profit")</f>
        <v>profit</v>
      </c>
      <c r="U816" s="4" t="str" cm="1">
        <f t="array" ref="U816">_xlfn.IFS(Table1[[#This Row],[Sales]]&gt;2000,"large",Table1[[#This Row],[Sales]]&gt;=500,"medium",Table1[[#This Row],[Sales]]&lt;500,"small")</f>
        <v>medium</v>
      </c>
      <c r="V816" s="22">
        <f>Table1[[#This Row],[Profit]]/Table1[[#This Row],[Sales]]*100</f>
        <v>17.024086706697716</v>
      </c>
    </row>
    <row r="817" spans="1:22" x14ac:dyDescent="0.35">
      <c r="A817" s="4" t="s">
        <v>1235</v>
      </c>
      <c r="B817" s="5">
        <v>45956</v>
      </c>
      <c r="C817" s="4" t="s">
        <v>1093</v>
      </c>
      <c r="D817" s="4" t="s">
        <v>47</v>
      </c>
      <c r="E817" s="4" t="s">
        <v>29</v>
      </c>
      <c r="F817" s="4" t="s">
        <v>54</v>
      </c>
      <c r="G817" s="4" t="s">
        <v>38</v>
      </c>
      <c r="H817" s="4" t="s">
        <v>109</v>
      </c>
      <c r="I817" s="4">
        <v>3</v>
      </c>
      <c r="J817" s="6">
        <v>560.63</v>
      </c>
      <c r="K817" s="7">
        <v>0.15</v>
      </c>
      <c r="L817" s="6">
        <f t="shared" si="24"/>
        <v>1429.6064999999999</v>
      </c>
      <c r="M817" s="6">
        <v>473.34</v>
      </c>
      <c r="N817" s="8">
        <f t="shared" si="25"/>
        <v>9.5864999999998872</v>
      </c>
      <c r="O817" s="4" t="s">
        <v>25</v>
      </c>
      <c r="P817" s="4" t="s">
        <v>118</v>
      </c>
      <c r="Q817" s="4">
        <v>4</v>
      </c>
      <c r="R817" s="4" t="str">
        <f>TEXT(Table1[[#This Row],[Order Date]],"mmm")</f>
        <v>Oct</v>
      </c>
      <c r="S817" s="4" t="str">
        <f>TEXT(Table1[[#This Row],[Order Date]],"mm")</f>
        <v>10</v>
      </c>
      <c r="T817" s="4" t="str">
        <f>IF(Table1[[#This Row],[Sales]]&lt;0,"loss","profit")</f>
        <v>profit</v>
      </c>
      <c r="U817" s="4" t="str" cm="1">
        <f t="array" ref="U817">_xlfn.IFS(Table1[[#This Row],[Sales]]&gt;2000,"large",Table1[[#This Row],[Sales]]&gt;=500,"medium",Table1[[#This Row],[Sales]]&lt;500,"small")</f>
        <v>medium</v>
      </c>
      <c r="V817" s="22">
        <f>Table1[[#This Row],[Profit]]/Table1[[#This Row],[Sales]]*100</f>
        <v>0.67056913913023541</v>
      </c>
    </row>
    <row r="818" spans="1:22" x14ac:dyDescent="0.35">
      <c r="A818" s="4" t="s">
        <v>1236</v>
      </c>
      <c r="B818" s="5">
        <v>45956</v>
      </c>
      <c r="C818" s="4" t="s">
        <v>305</v>
      </c>
      <c r="D818" s="4" t="s">
        <v>20</v>
      </c>
      <c r="E818" s="4" t="s">
        <v>21</v>
      </c>
      <c r="F818" s="4" t="s">
        <v>22</v>
      </c>
      <c r="G818" s="4" t="s">
        <v>23</v>
      </c>
      <c r="H818" s="4" t="s">
        <v>71</v>
      </c>
      <c r="I818" s="4">
        <v>2</v>
      </c>
      <c r="J818" s="6">
        <v>127.37</v>
      </c>
      <c r="K818" s="7">
        <v>0</v>
      </c>
      <c r="L818" s="6">
        <f t="shared" si="24"/>
        <v>254.74</v>
      </c>
      <c r="M818" s="6">
        <v>51.79</v>
      </c>
      <c r="N818" s="8">
        <f t="shared" si="25"/>
        <v>151.16000000000003</v>
      </c>
      <c r="O818" s="4" t="s">
        <v>60</v>
      </c>
      <c r="P818" s="4" t="s">
        <v>56</v>
      </c>
      <c r="Q818" s="4">
        <v>4</v>
      </c>
      <c r="R818" s="4" t="str">
        <f>TEXT(Table1[[#This Row],[Order Date]],"mmm")</f>
        <v>Oct</v>
      </c>
      <c r="S818" s="4" t="str">
        <f>TEXT(Table1[[#This Row],[Order Date]],"mm")</f>
        <v>10</v>
      </c>
      <c r="T818" s="4" t="str">
        <f>IF(Table1[[#This Row],[Sales]]&lt;0,"loss","profit")</f>
        <v>profit</v>
      </c>
      <c r="U818" s="4" t="str" cm="1">
        <f t="array" ref="U818">_xlfn.IFS(Table1[[#This Row],[Sales]]&gt;2000,"large",Table1[[#This Row],[Sales]]&gt;=500,"medium",Table1[[#This Row],[Sales]]&lt;500,"small")</f>
        <v>small</v>
      </c>
      <c r="V818" s="22">
        <f>Table1[[#This Row],[Profit]]/Table1[[#This Row],[Sales]]*100</f>
        <v>59.338933814870074</v>
      </c>
    </row>
    <row r="819" spans="1:22" x14ac:dyDescent="0.35">
      <c r="A819" s="4" t="s">
        <v>1237</v>
      </c>
      <c r="B819" s="5">
        <v>45956</v>
      </c>
      <c r="C819" s="4" t="s">
        <v>886</v>
      </c>
      <c r="D819" s="4" t="s">
        <v>47</v>
      </c>
      <c r="E819" s="4" t="s">
        <v>21</v>
      </c>
      <c r="F819" s="4" t="s">
        <v>59</v>
      </c>
      <c r="G819" s="4" t="s">
        <v>31</v>
      </c>
      <c r="H819" s="4" t="s">
        <v>64</v>
      </c>
      <c r="I819" s="4">
        <v>4</v>
      </c>
      <c r="J819" s="6">
        <v>237.39</v>
      </c>
      <c r="K819" s="7">
        <v>0</v>
      </c>
      <c r="L819" s="6">
        <f t="shared" si="24"/>
        <v>949.56</v>
      </c>
      <c r="M819" s="6">
        <v>160.06</v>
      </c>
      <c r="N819" s="8">
        <f t="shared" si="25"/>
        <v>309.31999999999994</v>
      </c>
      <c r="O819" s="4" t="s">
        <v>60</v>
      </c>
      <c r="P819" s="4" t="s">
        <v>72</v>
      </c>
      <c r="Q819" s="4">
        <v>4</v>
      </c>
      <c r="R819" s="4" t="str">
        <f>TEXT(Table1[[#This Row],[Order Date]],"mmm")</f>
        <v>Oct</v>
      </c>
      <c r="S819" s="4" t="str">
        <f>TEXT(Table1[[#This Row],[Order Date]],"mm")</f>
        <v>10</v>
      </c>
      <c r="T819" s="4" t="str">
        <f>IF(Table1[[#This Row],[Sales]]&lt;0,"loss","profit")</f>
        <v>profit</v>
      </c>
      <c r="U819" s="4" t="str" cm="1">
        <f t="array" ref="U819">_xlfn.IFS(Table1[[#This Row],[Sales]]&gt;2000,"large",Table1[[#This Row],[Sales]]&gt;=500,"medium",Table1[[#This Row],[Sales]]&lt;500,"small")</f>
        <v>medium</v>
      </c>
      <c r="V819" s="22">
        <f>Table1[[#This Row],[Profit]]/Table1[[#This Row],[Sales]]*100</f>
        <v>32.575087408905176</v>
      </c>
    </row>
    <row r="820" spans="1:22" x14ac:dyDescent="0.35">
      <c r="A820" s="4" t="s">
        <v>1238</v>
      </c>
      <c r="B820" s="5">
        <v>45957</v>
      </c>
      <c r="C820" s="4" t="s">
        <v>1239</v>
      </c>
      <c r="D820" s="4" t="s">
        <v>43</v>
      </c>
      <c r="E820" s="4" t="s">
        <v>21</v>
      </c>
      <c r="F820" s="4" t="s">
        <v>59</v>
      </c>
      <c r="G820" s="4" t="s">
        <v>49</v>
      </c>
      <c r="H820" s="4" t="s">
        <v>187</v>
      </c>
      <c r="I820" s="4">
        <v>2</v>
      </c>
      <c r="J820" s="6">
        <v>110.85</v>
      </c>
      <c r="K820" s="7">
        <v>0.05</v>
      </c>
      <c r="L820" s="6">
        <f t="shared" si="24"/>
        <v>210.61499999999998</v>
      </c>
      <c r="M820" s="6">
        <v>80.45</v>
      </c>
      <c r="N820" s="8">
        <f t="shared" si="25"/>
        <v>49.714999999999975</v>
      </c>
      <c r="O820" s="4" t="s">
        <v>25</v>
      </c>
      <c r="P820" s="4" t="s">
        <v>72</v>
      </c>
      <c r="Q820" s="4">
        <v>5</v>
      </c>
      <c r="R820" s="4" t="str">
        <f>TEXT(Table1[[#This Row],[Order Date]],"mmm")</f>
        <v>Oct</v>
      </c>
      <c r="S820" s="4" t="str">
        <f>TEXT(Table1[[#This Row],[Order Date]],"mm")</f>
        <v>10</v>
      </c>
      <c r="T820" s="4" t="str">
        <f>IF(Table1[[#This Row],[Sales]]&lt;0,"loss","profit")</f>
        <v>profit</v>
      </c>
      <c r="U820" s="4" t="str" cm="1">
        <f t="array" ref="U820">_xlfn.IFS(Table1[[#This Row],[Sales]]&gt;2000,"large",Table1[[#This Row],[Sales]]&gt;=500,"medium",Table1[[#This Row],[Sales]]&lt;500,"small")</f>
        <v>small</v>
      </c>
      <c r="V820" s="22">
        <f>Table1[[#This Row],[Profit]]/Table1[[#This Row],[Sales]]*100</f>
        <v>23.604681527906362</v>
      </c>
    </row>
    <row r="821" spans="1:22" x14ac:dyDescent="0.35">
      <c r="A821" s="4" t="s">
        <v>1240</v>
      </c>
      <c r="B821" s="5">
        <v>45957</v>
      </c>
      <c r="C821" s="4" t="s">
        <v>337</v>
      </c>
      <c r="D821" s="4" t="s">
        <v>20</v>
      </c>
      <c r="E821" s="4" t="s">
        <v>36</v>
      </c>
      <c r="F821" s="4" t="s">
        <v>48</v>
      </c>
      <c r="G821" s="4" t="s">
        <v>67</v>
      </c>
      <c r="H821" s="4" t="s">
        <v>93</v>
      </c>
      <c r="I821" s="4">
        <v>2</v>
      </c>
      <c r="J821" s="6">
        <v>277.77</v>
      </c>
      <c r="K821" s="7">
        <v>0.1</v>
      </c>
      <c r="L821" s="6">
        <f t="shared" si="24"/>
        <v>499.98599999999999</v>
      </c>
      <c r="M821" s="6">
        <v>177.83</v>
      </c>
      <c r="N821" s="8">
        <f t="shared" si="25"/>
        <v>144.32599999999996</v>
      </c>
      <c r="O821" s="4" t="s">
        <v>84</v>
      </c>
      <c r="P821" s="4" t="s">
        <v>26</v>
      </c>
      <c r="Q821" s="4">
        <v>5</v>
      </c>
      <c r="R821" s="4" t="str">
        <f>TEXT(Table1[[#This Row],[Order Date]],"mmm")</f>
        <v>Oct</v>
      </c>
      <c r="S821" s="4" t="str">
        <f>TEXT(Table1[[#This Row],[Order Date]],"mm")</f>
        <v>10</v>
      </c>
      <c r="T821" s="4" t="str">
        <f>IF(Table1[[#This Row],[Sales]]&lt;0,"loss","profit")</f>
        <v>profit</v>
      </c>
      <c r="U821" s="4" t="str" cm="1">
        <f t="array" ref="U821">_xlfn.IFS(Table1[[#This Row],[Sales]]&gt;2000,"large",Table1[[#This Row],[Sales]]&gt;=500,"medium",Table1[[#This Row],[Sales]]&lt;500,"small")</f>
        <v>small</v>
      </c>
      <c r="V821" s="22">
        <f>Table1[[#This Row],[Profit]]/Table1[[#This Row],[Sales]]*100</f>
        <v>28.866008248230944</v>
      </c>
    </row>
    <row r="822" spans="1:22" x14ac:dyDescent="0.35">
      <c r="A822" s="4" t="s">
        <v>1241</v>
      </c>
      <c r="B822" s="5">
        <v>45957</v>
      </c>
      <c r="C822" s="4" t="s">
        <v>497</v>
      </c>
      <c r="D822" s="4" t="s">
        <v>43</v>
      </c>
      <c r="E822" s="4" t="s">
        <v>21</v>
      </c>
      <c r="F822" s="4" t="s">
        <v>81</v>
      </c>
      <c r="G822" s="4" t="s">
        <v>49</v>
      </c>
      <c r="H822" s="4" t="s">
        <v>78</v>
      </c>
      <c r="I822" s="4">
        <v>3</v>
      </c>
      <c r="J822" s="6">
        <v>201.8</v>
      </c>
      <c r="K822" s="7">
        <v>0.1</v>
      </c>
      <c r="L822" s="6">
        <f t="shared" si="24"/>
        <v>544.86000000000013</v>
      </c>
      <c r="M822" s="6">
        <v>128.72999999999999</v>
      </c>
      <c r="N822" s="8">
        <f t="shared" si="25"/>
        <v>158.67000000000019</v>
      </c>
      <c r="O822" s="4" t="s">
        <v>84</v>
      </c>
      <c r="P822" s="4" t="s">
        <v>61</v>
      </c>
      <c r="Q822" s="4">
        <v>5</v>
      </c>
      <c r="R822" s="4" t="str">
        <f>TEXT(Table1[[#This Row],[Order Date]],"mmm")</f>
        <v>Oct</v>
      </c>
      <c r="S822" s="4" t="str">
        <f>TEXT(Table1[[#This Row],[Order Date]],"mm")</f>
        <v>10</v>
      </c>
      <c r="T822" s="4" t="str">
        <f>IF(Table1[[#This Row],[Sales]]&lt;0,"loss","profit")</f>
        <v>profit</v>
      </c>
      <c r="U822" s="4" t="str" cm="1">
        <f t="array" ref="U822">_xlfn.IFS(Table1[[#This Row],[Sales]]&gt;2000,"large",Table1[[#This Row],[Sales]]&gt;=500,"medium",Table1[[#This Row],[Sales]]&lt;500,"small")</f>
        <v>medium</v>
      </c>
      <c r="V822" s="22">
        <f>Table1[[#This Row],[Profit]]/Table1[[#This Row],[Sales]]*100</f>
        <v>29.121242153947829</v>
      </c>
    </row>
    <row r="823" spans="1:22" x14ac:dyDescent="0.35">
      <c r="A823" s="4" t="s">
        <v>1242</v>
      </c>
      <c r="B823" s="5">
        <v>45959</v>
      </c>
      <c r="C823" s="4" t="s">
        <v>1004</v>
      </c>
      <c r="D823" s="4" t="s">
        <v>43</v>
      </c>
      <c r="E823" s="4" t="s">
        <v>36</v>
      </c>
      <c r="F823" s="4" t="s">
        <v>201</v>
      </c>
      <c r="G823" s="4" t="s">
        <v>38</v>
      </c>
      <c r="H823" s="4" t="s">
        <v>96</v>
      </c>
      <c r="I823" s="4">
        <v>2</v>
      </c>
      <c r="J823" s="6">
        <v>520.76</v>
      </c>
      <c r="K823" s="7">
        <v>0</v>
      </c>
      <c r="L823" s="6">
        <f t="shared" si="24"/>
        <v>1041.52</v>
      </c>
      <c r="M823" s="6">
        <v>416.67</v>
      </c>
      <c r="N823" s="8">
        <f t="shared" si="25"/>
        <v>208.17999999999995</v>
      </c>
      <c r="O823" s="4" t="s">
        <v>51</v>
      </c>
      <c r="P823" s="4" t="s">
        <v>61</v>
      </c>
      <c r="Q823" s="4">
        <v>4</v>
      </c>
      <c r="R823" s="4" t="str">
        <f>TEXT(Table1[[#This Row],[Order Date]],"mmm")</f>
        <v>Oct</v>
      </c>
      <c r="S823" s="4" t="str">
        <f>TEXT(Table1[[#This Row],[Order Date]],"mm")</f>
        <v>10</v>
      </c>
      <c r="T823" s="4" t="str">
        <f>IF(Table1[[#This Row],[Sales]]&lt;0,"loss","profit")</f>
        <v>profit</v>
      </c>
      <c r="U823" s="4" t="str" cm="1">
        <f t="array" ref="U823">_xlfn.IFS(Table1[[#This Row],[Sales]]&gt;2000,"large",Table1[[#This Row],[Sales]]&gt;=500,"medium",Table1[[#This Row],[Sales]]&lt;500,"small")</f>
        <v>medium</v>
      </c>
      <c r="V823" s="22">
        <f>Table1[[#This Row],[Profit]]/Table1[[#This Row],[Sales]]*100</f>
        <v>19.98809432368077</v>
      </c>
    </row>
    <row r="824" spans="1:22" x14ac:dyDescent="0.35">
      <c r="A824" s="4" t="s">
        <v>1243</v>
      </c>
      <c r="B824" s="5">
        <v>45959</v>
      </c>
      <c r="C824" s="4" t="s">
        <v>797</v>
      </c>
      <c r="D824" s="4" t="s">
        <v>20</v>
      </c>
      <c r="E824" s="4" t="s">
        <v>21</v>
      </c>
      <c r="F824" s="4" t="s">
        <v>22</v>
      </c>
      <c r="G824" s="4" t="s">
        <v>23</v>
      </c>
      <c r="H824" s="4" t="s">
        <v>24</v>
      </c>
      <c r="I824" s="4">
        <v>1</v>
      </c>
      <c r="J824" s="6">
        <v>83.49</v>
      </c>
      <c r="K824" s="7">
        <v>0</v>
      </c>
      <c r="L824" s="6">
        <f t="shared" si="24"/>
        <v>83.49</v>
      </c>
      <c r="M824" s="6">
        <v>35.979999999999997</v>
      </c>
      <c r="N824" s="8">
        <f t="shared" si="25"/>
        <v>47.51</v>
      </c>
      <c r="O824" s="4" t="s">
        <v>40</v>
      </c>
      <c r="P824" s="4" t="s">
        <v>56</v>
      </c>
      <c r="Q824" s="4">
        <v>3</v>
      </c>
      <c r="R824" s="4" t="str">
        <f>TEXT(Table1[[#This Row],[Order Date]],"mmm")</f>
        <v>Oct</v>
      </c>
      <c r="S824" s="4" t="str">
        <f>TEXT(Table1[[#This Row],[Order Date]],"mm")</f>
        <v>10</v>
      </c>
      <c r="T824" s="4" t="str">
        <f>IF(Table1[[#This Row],[Sales]]&lt;0,"loss","profit")</f>
        <v>profit</v>
      </c>
      <c r="U824" s="4" t="str" cm="1">
        <f t="array" ref="U824">_xlfn.IFS(Table1[[#This Row],[Sales]]&gt;2000,"large",Table1[[#This Row],[Sales]]&gt;=500,"medium",Table1[[#This Row],[Sales]]&lt;500,"small")</f>
        <v>small</v>
      </c>
      <c r="V824" s="22">
        <f>Table1[[#This Row],[Profit]]/Table1[[#This Row],[Sales]]*100</f>
        <v>56.90501856509762</v>
      </c>
    </row>
    <row r="825" spans="1:22" x14ac:dyDescent="0.35">
      <c r="A825" s="4" t="s">
        <v>1244</v>
      </c>
      <c r="B825" s="5">
        <v>45959</v>
      </c>
      <c r="C825" s="4" t="s">
        <v>195</v>
      </c>
      <c r="D825" s="4" t="s">
        <v>43</v>
      </c>
      <c r="E825" s="4" t="s">
        <v>21</v>
      </c>
      <c r="F825" s="4" t="s">
        <v>22</v>
      </c>
      <c r="G825" s="4" t="s">
        <v>38</v>
      </c>
      <c r="H825" s="4" t="s">
        <v>96</v>
      </c>
      <c r="I825" s="4">
        <v>2</v>
      </c>
      <c r="J825" s="6">
        <v>163.16</v>
      </c>
      <c r="K825" s="7">
        <v>0.05</v>
      </c>
      <c r="L825" s="6">
        <f t="shared" si="24"/>
        <v>310.00399999999996</v>
      </c>
      <c r="M825" s="6">
        <v>142.76</v>
      </c>
      <c r="N825" s="8">
        <f t="shared" si="25"/>
        <v>24.48399999999998</v>
      </c>
      <c r="O825" s="4" t="s">
        <v>25</v>
      </c>
      <c r="P825" s="4" t="s">
        <v>61</v>
      </c>
      <c r="Q825" s="4">
        <v>4</v>
      </c>
      <c r="R825" s="4" t="str">
        <f>TEXT(Table1[[#This Row],[Order Date]],"mmm")</f>
        <v>Oct</v>
      </c>
      <c r="S825" s="4" t="str">
        <f>TEXT(Table1[[#This Row],[Order Date]],"mm")</f>
        <v>10</v>
      </c>
      <c r="T825" s="4" t="str">
        <f>IF(Table1[[#This Row],[Sales]]&lt;0,"loss","profit")</f>
        <v>profit</v>
      </c>
      <c r="U825" s="4" t="str" cm="1">
        <f t="array" ref="U825">_xlfn.IFS(Table1[[#This Row],[Sales]]&gt;2000,"large",Table1[[#This Row],[Sales]]&gt;=500,"medium",Table1[[#This Row],[Sales]]&lt;500,"small")</f>
        <v>small</v>
      </c>
      <c r="V825" s="22">
        <f>Table1[[#This Row],[Profit]]/Table1[[#This Row],[Sales]]*100</f>
        <v>7.8979626069340991</v>
      </c>
    </row>
    <row r="826" spans="1:22" x14ac:dyDescent="0.35">
      <c r="A826" s="4" t="s">
        <v>1245</v>
      </c>
      <c r="B826" s="5">
        <v>45959</v>
      </c>
      <c r="C826" s="4" t="s">
        <v>77</v>
      </c>
      <c r="D826" s="4" t="s">
        <v>47</v>
      </c>
      <c r="E826" s="4" t="s">
        <v>36</v>
      </c>
      <c r="F826" s="4" t="s">
        <v>37</v>
      </c>
      <c r="G826" s="4" t="s">
        <v>23</v>
      </c>
      <c r="H826" s="4" t="s">
        <v>71</v>
      </c>
      <c r="I826" s="4">
        <v>3</v>
      </c>
      <c r="J826" s="6">
        <v>65.83</v>
      </c>
      <c r="K826" s="7">
        <v>0</v>
      </c>
      <c r="L826" s="6">
        <f t="shared" si="24"/>
        <v>197.49</v>
      </c>
      <c r="M826" s="6">
        <v>28.02</v>
      </c>
      <c r="N826" s="8">
        <f t="shared" si="25"/>
        <v>113.43</v>
      </c>
      <c r="O826" s="4" t="s">
        <v>60</v>
      </c>
      <c r="P826" s="4" t="s">
        <v>118</v>
      </c>
      <c r="Q826" s="4">
        <v>5</v>
      </c>
      <c r="R826" s="4" t="str">
        <f>TEXT(Table1[[#This Row],[Order Date]],"mmm")</f>
        <v>Oct</v>
      </c>
      <c r="S826" s="4" t="str">
        <f>TEXT(Table1[[#This Row],[Order Date]],"mm")</f>
        <v>10</v>
      </c>
      <c r="T826" s="4" t="str">
        <f>IF(Table1[[#This Row],[Sales]]&lt;0,"loss","profit")</f>
        <v>profit</v>
      </c>
      <c r="U826" s="4" t="str" cm="1">
        <f t="array" ref="U826">_xlfn.IFS(Table1[[#This Row],[Sales]]&gt;2000,"large",Table1[[#This Row],[Sales]]&gt;=500,"medium",Table1[[#This Row],[Sales]]&lt;500,"small")</f>
        <v>small</v>
      </c>
      <c r="V826" s="22">
        <f>Table1[[#This Row],[Profit]]/Table1[[#This Row],[Sales]]*100</f>
        <v>57.435819535166345</v>
      </c>
    </row>
    <row r="827" spans="1:22" x14ac:dyDescent="0.35">
      <c r="A827" s="4" t="s">
        <v>1246</v>
      </c>
      <c r="B827" s="5">
        <v>45959</v>
      </c>
      <c r="C827" s="4" t="s">
        <v>493</v>
      </c>
      <c r="D827" s="4" t="s">
        <v>20</v>
      </c>
      <c r="E827" s="4" t="s">
        <v>29</v>
      </c>
      <c r="F827" s="4" t="s">
        <v>108</v>
      </c>
      <c r="G827" s="4" t="s">
        <v>49</v>
      </c>
      <c r="H827" s="4" t="s">
        <v>187</v>
      </c>
      <c r="I827" s="4">
        <v>1</v>
      </c>
      <c r="J827" s="6">
        <v>141.1</v>
      </c>
      <c r="K827" s="7">
        <v>0</v>
      </c>
      <c r="L827" s="6">
        <f t="shared" si="24"/>
        <v>141.1</v>
      </c>
      <c r="M827" s="6">
        <v>93.53</v>
      </c>
      <c r="N827" s="8">
        <f t="shared" si="25"/>
        <v>47.569999999999993</v>
      </c>
      <c r="O827" s="4" t="s">
        <v>51</v>
      </c>
      <c r="P827" s="4" t="s">
        <v>56</v>
      </c>
      <c r="Q827" s="4">
        <v>3</v>
      </c>
      <c r="R827" s="4" t="str">
        <f>TEXT(Table1[[#This Row],[Order Date]],"mmm")</f>
        <v>Oct</v>
      </c>
      <c r="S827" s="4" t="str">
        <f>TEXT(Table1[[#This Row],[Order Date]],"mm")</f>
        <v>10</v>
      </c>
      <c r="T827" s="4" t="str">
        <f>IF(Table1[[#This Row],[Sales]]&lt;0,"loss","profit")</f>
        <v>profit</v>
      </c>
      <c r="U827" s="4" t="str" cm="1">
        <f t="array" ref="U827">_xlfn.IFS(Table1[[#This Row],[Sales]]&gt;2000,"large",Table1[[#This Row],[Sales]]&gt;=500,"medium",Table1[[#This Row],[Sales]]&lt;500,"small")</f>
        <v>small</v>
      </c>
      <c r="V827" s="22">
        <f>Table1[[#This Row],[Profit]]/Table1[[#This Row],[Sales]]*100</f>
        <v>33.713678242381285</v>
      </c>
    </row>
    <row r="828" spans="1:22" x14ac:dyDescent="0.35">
      <c r="A828" s="4" t="s">
        <v>1247</v>
      </c>
      <c r="B828" s="5">
        <v>45959</v>
      </c>
      <c r="C828" s="4" t="s">
        <v>917</v>
      </c>
      <c r="D828" s="4" t="s">
        <v>43</v>
      </c>
      <c r="E828" s="4" t="s">
        <v>29</v>
      </c>
      <c r="F828" s="4" t="s">
        <v>30</v>
      </c>
      <c r="G828" s="4" t="s">
        <v>38</v>
      </c>
      <c r="H828" s="4" t="s">
        <v>39</v>
      </c>
      <c r="I828" s="4">
        <v>2</v>
      </c>
      <c r="J828" s="6">
        <v>216.85</v>
      </c>
      <c r="K828" s="7">
        <v>0.05</v>
      </c>
      <c r="L828" s="6">
        <f t="shared" si="24"/>
        <v>412.01499999999999</v>
      </c>
      <c r="M828" s="6">
        <v>174.04</v>
      </c>
      <c r="N828" s="8">
        <f t="shared" si="25"/>
        <v>63.935000000000002</v>
      </c>
      <c r="O828" s="4" t="s">
        <v>60</v>
      </c>
      <c r="P828" s="4" t="s">
        <v>72</v>
      </c>
      <c r="Q828" s="4">
        <v>3</v>
      </c>
      <c r="R828" s="4" t="str">
        <f>TEXT(Table1[[#This Row],[Order Date]],"mmm")</f>
        <v>Oct</v>
      </c>
      <c r="S828" s="4" t="str">
        <f>TEXT(Table1[[#This Row],[Order Date]],"mm")</f>
        <v>10</v>
      </c>
      <c r="T828" s="4" t="str">
        <f>IF(Table1[[#This Row],[Sales]]&lt;0,"loss","profit")</f>
        <v>profit</v>
      </c>
      <c r="U828" s="4" t="str" cm="1">
        <f t="array" ref="U828">_xlfn.IFS(Table1[[#This Row],[Sales]]&gt;2000,"large",Table1[[#This Row],[Sales]]&gt;=500,"medium",Table1[[#This Row],[Sales]]&lt;500,"small")</f>
        <v>small</v>
      </c>
      <c r="V828" s="22">
        <f>Table1[[#This Row],[Profit]]/Table1[[#This Row],[Sales]]*100</f>
        <v>15.517638920913074</v>
      </c>
    </row>
    <row r="829" spans="1:22" x14ac:dyDescent="0.35">
      <c r="A829" s="4" t="s">
        <v>1248</v>
      </c>
      <c r="B829" s="5">
        <v>45960</v>
      </c>
      <c r="C829" s="4" t="s">
        <v>1249</v>
      </c>
      <c r="D829" s="4" t="s">
        <v>47</v>
      </c>
      <c r="E829" s="4" t="s">
        <v>87</v>
      </c>
      <c r="F829" s="4" t="s">
        <v>88</v>
      </c>
      <c r="G829" s="4" t="s">
        <v>67</v>
      </c>
      <c r="H829" s="4" t="s">
        <v>68</v>
      </c>
      <c r="I829" s="4">
        <v>1</v>
      </c>
      <c r="J829" s="6">
        <v>556.73</v>
      </c>
      <c r="K829" s="7">
        <v>0.2</v>
      </c>
      <c r="L829" s="6">
        <f t="shared" si="24"/>
        <v>445.38400000000001</v>
      </c>
      <c r="M829" s="6">
        <v>402.62</v>
      </c>
      <c r="N829" s="8">
        <f t="shared" si="25"/>
        <v>42.76400000000001</v>
      </c>
      <c r="O829" s="4" t="s">
        <v>40</v>
      </c>
      <c r="P829" s="4" t="s">
        <v>33</v>
      </c>
      <c r="Q829" s="4">
        <v>4</v>
      </c>
      <c r="R829" s="4" t="str">
        <f>TEXT(Table1[[#This Row],[Order Date]],"mmm")</f>
        <v>Oct</v>
      </c>
      <c r="S829" s="4" t="str">
        <f>TEXT(Table1[[#This Row],[Order Date]],"mm")</f>
        <v>10</v>
      </c>
      <c r="T829" s="4" t="str">
        <f>IF(Table1[[#This Row],[Sales]]&lt;0,"loss","profit")</f>
        <v>profit</v>
      </c>
      <c r="U829" s="4" t="str" cm="1">
        <f t="array" ref="U829">_xlfn.IFS(Table1[[#This Row],[Sales]]&gt;2000,"large",Table1[[#This Row],[Sales]]&gt;=500,"medium",Table1[[#This Row],[Sales]]&lt;500,"small")</f>
        <v>small</v>
      </c>
      <c r="V829" s="22">
        <f>Table1[[#This Row],[Profit]]/Table1[[#This Row],[Sales]]*100</f>
        <v>9.6016022129218843</v>
      </c>
    </row>
    <row r="830" spans="1:22" x14ac:dyDescent="0.35">
      <c r="A830" s="4" t="s">
        <v>1250</v>
      </c>
      <c r="B830" s="5">
        <v>45961</v>
      </c>
      <c r="C830" s="4" t="s">
        <v>299</v>
      </c>
      <c r="D830" s="4" t="s">
        <v>43</v>
      </c>
      <c r="E830" s="4" t="s">
        <v>36</v>
      </c>
      <c r="F830" s="4" t="s">
        <v>201</v>
      </c>
      <c r="G830" s="4" t="s">
        <v>23</v>
      </c>
      <c r="H830" s="4" t="s">
        <v>135</v>
      </c>
      <c r="I830" s="4">
        <v>2</v>
      </c>
      <c r="J830" s="6">
        <v>17.38</v>
      </c>
      <c r="K830" s="7">
        <v>0</v>
      </c>
      <c r="L830" s="6">
        <f t="shared" si="24"/>
        <v>34.76</v>
      </c>
      <c r="M830" s="6">
        <v>10.58</v>
      </c>
      <c r="N830" s="8">
        <f t="shared" si="25"/>
        <v>13.599999999999998</v>
      </c>
      <c r="O830" s="4" t="s">
        <v>25</v>
      </c>
      <c r="P830" s="4" t="s">
        <v>56</v>
      </c>
      <c r="Q830" s="4">
        <v>5</v>
      </c>
      <c r="R830" s="4" t="str">
        <f>TEXT(Table1[[#This Row],[Order Date]],"mmm")</f>
        <v>Oct</v>
      </c>
      <c r="S830" s="4" t="str">
        <f>TEXT(Table1[[#This Row],[Order Date]],"mm")</f>
        <v>10</v>
      </c>
      <c r="T830" s="4" t="str">
        <f>IF(Table1[[#This Row],[Sales]]&lt;0,"loss","profit")</f>
        <v>profit</v>
      </c>
      <c r="U830" s="4" t="str" cm="1">
        <f t="array" ref="U830">_xlfn.IFS(Table1[[#This Row],[Sales]]&gt;2000,"large",Table1[[#This Row],[Sales]]&gt;=500,"medium",Table1[[#This Row],[Sales]]&lt;500,"small")</f>
        <v>small</v>
      </c>
      <c r="V830" s="22">
        <f>Table1[[#This Row],[Profit]]/Table1[[#This Row],[Sales]]*100</f>
        <v>39.125431530494822</v>
      </c>
    </row>
    <row r="831" spans="1:22" x14ac:dyDescent="0.35">
      <c r="A831" s="4" t="s">
        <v>1251</v>
      </c>
      <c r="B831" s="5">
        <v>45961</v>
      </c>
      <c r="C831" s="4" t="s">
        <v>313</v>
      </c>
      <c r="D831" s="4" t="s">
        <v>20</v>
      </c>
      <c r="E831" s="4" t="s">
        <v>87</v>
      </c>
      <c r="F831" s="4" t="s">
        <v>88</v>
      </c>
      <c r="G831" s="4" t="s">
        <v>31</v>
      </c>
      <c r="H831" s="4" t="s">
        <v>125</v>
      </c>
      <c r="I831" s="4">
        <v>3</v>
      </c>
      <c r="J831" s="6">
        <v>46.32</v>
      </c>
      <c r="K831" s="7">
        <v>0</v>
      </c>
      <c r="L831" s="6">
        <f t="shared" si="24"/>
        <v>138.96</v>
      </c>
      <c r="M831" s="6">
        <v>29.62</v>
      </c>
      <c r="N831" s="8">
        <f t="shared" si="25"/>
        <v>50.100000000000009</v>
      </c>
      <c r="O831" s="4" t="s">
        <v>84</v>
      </c>
      <c r="P831" s="4" t="s">
        <v>75</v>
      </c>
      <c r="Q831" s="4">
        <v>4</v>
      </c>
      <c r="R831" s="4" t="str">
        <f>TEXT(Table1[[#This Row],[Order Date]],"mmm")</f>
        <v>Oct</v>
      </c>
      <c r="S831" s="4" t="str">
        <f>TEXT(Table1[[#This Row],[Order Date]],"mm")</f>
        <v>10</v>
      </c>
      <c r="T831" s="4" t="str">
        <f>IF(Table1[[#This Row],[Sales]]&lt;0,"loss","profit")</f>
        <v>profit</v>
      </c>
      <c r="U831" s="4" t="str" cm="1">
        <f t="array" ref="U831">_xlfn.IFS(Table1[[#This Row],[Sales]]&gt;2000,"large",Table1[[#This Row],[Sales]]&gt;=500,"medium",Table1[[#This Row],[Sales]]&lt;500,"small")</f>
        <v>small</v>
      </c>
      <c r="V831" s="22">
        <f>Table1[[#This Row],[Profit]]/Table1[[#This Row],[Sales]]*100</f>
        <v>36.053540587219345</v>
      </c>
    </row>
    <row r="832" spans="1:22" x14ac:dyDescent="0.35">
      <c r="A832" s="4" t="s">
        <v>1252</v>
      </c>
      <c r="B832" s="5">
        <v>45961</v>
      </c>
      <c r="C832" s="4" t="s">
        <v>676</v>
      </c>
      <c r="D832" s="4" t="s">
        <v>43</v>
      </c>
      <c r="E832" s="4" t="s">
        <v>29</v>
      </c>
      <c r="F832" s="4" t="s">
        <v>108</v>
      </c>
      <c r="G832" s="4" t="s">
        <v>31</v>
      </c>
      <c r="H832" s="4" t="s">
        <v>64</v>
      </c>
      <c r="I832" s="4">
        <v>2</v>
      </c>
      <c r="J832" s="6">
        <v>82.66</v>
      </c>
      <c r="K832" s="7">
        <v>0</v>
      </c>
      <c r="L832" s="6">
        <f t="shared" si="24"/>
        <v>165.32</v>
      </c>
      <c r="M832" s="6">
        <v>46.43</v>
      </c>
      <c r="N832" s="8">
        <f t="shared" si="25"/>
        <v>72.459999999999994</v>
      </c>
      <c r="O832" s="4" t="s">
        <v>60</v>
      </c>
      <c r="P832" s="4" t="s">
        <v>56</v>
      </c>
      <c r="Q832" s="4">
        <v>4</v>
      </c>
      <c r="R832" s="4" t="str">
        <f>TEXT(Table1[[#This Row],[Order Date]],"mmm")</f>
        <v>Oct</v>
      </c>
      <c r="S832" s="4" t="str">
        <f>TEXT(Table1[[#This Row],[Order Date]],"mm")</f>
        <v>10</v>
      </c>
      <c r="T832" s="4" t="str">
        <f>IF(Table1[[#This Row],[Sales]]&lt;0,"loss","profit")</f>
        <v>profit</v>
      </c>
      <c r="U832" s="4" t="str" cm="1">
        <f t="array" ref="U832">_xlfn.IFS(Table1[[#This Row],[Sales]]&gt;2000,"large",Table1[[#This Row],[Sales]]&gt;=500,"medium",Table1[[#This Row],[Sales]]&lt;500,"small")</f>
        <v>small</v>
      </c>
      <c r="V832" s="22">
        <f>Table1[[#This Row],[Profit]]/Table1[[#This Row],[Sales]]*100</f>
        <v>43.830147592547789</v>
      </c>
    </row>
    <row r="833" spans="1:22" x14ac:dyDescent="0.35">
      <c r="A833" s="4" t="s">
        <v>1253</v>
      </c>
      <c r="B833" s="5">
        <v>45962</v>
      </c>
      <c r="C833" s="4" t="s">
        <v>189</v>
      </c>
      <c r="D833" s="4" t="s">
        <v>20</v>
      </c>
      <c r="E833" s="4" t="s">
        <v>36</v>
      </c>
      <c r="F833" s="4" t="s">
        <v>37</v>
      </c>
      <c r="G833" s="4" t="s">
        <v>23</v>
      </c>
      <c r="H833" s="4" t="s">
        <v>71</v>
      </c>
      <c r="I833" s="4">
        <v>3</v>
      </c>
      <c r="J833" s="6">
        <v>60.2</v>
      </c>
      <c r="K833" s="7">
        <v>0.2</v>
      </c>
      <c r="L833" s="6">
        <f t="shared" si="24"/>
        <v>144.48000000000002</v>
      </c>
      <c r="M833" s="6">
        <v>37.07</v>
      </c>
      <c r="N833" s="8">
        <f t="shared" si="25"/>
        <v>33.27000000000001</v>
      </c>
      <c r="O833" s="4" t="s">
        <v>84</v>
      </c>
      <c r="P833" s="4" t="s">
        <v>56</v>
      </c>
      <c r="Q833" s="4">
        <v>4</v>
      </c>
      <c r="R833" s="4" t="str">
        <f>TEXT(Table1[[#This Row],[Order Date]],"mmm")</f>
        <v>Nov</v>
      </c>
      <c r="S833" s="4" t="str">
        <f>TEXT(Table1[[#This Row],[Order Date]],"mm")</f>
        <v>11</v>
      </c>
      <c r="T833" s="4" t="str">
        <f>IF(Table1[[#This Row],[Sales]]&lt;0,"loss","profit")</f>
        <v>profit</v>
      </c>
      <c r="U833" s="4" t="str" cm="1">
        <f t="array" ref="U833">_xlfn.IFS(Table1[[#This Row],[Sales]]&gt;2000,"large",Table1[[#This Row],[Sales]]&gt;=500,"medium",Table1[[#This Row],[Sales]]&lt;500,"small")</f>
        <v>small</v>
      </c>
      <c r="V833" s="22">
        <f>Table1[[#This Row],[Profit]]/Table1[[#This Row],[Sales]]*100</f>
        <v>23.027408637873759</v>
      </c>
    </row>
    <row r="834" spans="1:22" x14ac:dyDescent="0.35">
      <c r="A834" s="4" t="s">
        <v>1254</v>
      </c>
      <c r="B834" s="5">
        <v>45962</v>
      </c>
      <c r="C834" s="4" t="s">
        <v>448</v>
      </c>
      <c r="D834" s="4" t="s">
        <v>43</v>
      </c>
      <c r="E834" s="4" t="s">
        <v>21</v>
      </c>
      <c r="F834" s="4" t="s">
        <v>59</v>
      </c>
      <c r="G834" s="4" t="s">
        <v>23</v>
      </c>
      <c r="H834" s="4" t="s">
        <v>71</v>
      </c>
      <c r="I834" s="4">
        <v>3</v>
      </c>
      <c r="J834" s="6">
        <v>124.36</v>
      </c>
      <c r="K834" s="7">
        <v>0.15</v>
      </c>
      <c r="L834" s="6">
        <f t="shared" ref="L834:L897" si="26">I834*J834*(1-K834)</f>
        <v>317.11799999999999</v>
      </c>
      <c r="M834" s="6">
        <v>57.97</v>
      </c>
      <c r="N834" s="8">
        <f t="shared" ref="N834:N897" si="27">L834-I834*M834</f>
        <v>143.208</v>
      </c>
      <c r="O834" s="4" t="s">
        <v>60</v>
      </c>
      <c r="P834" s="4" t="s">
        <v>118</v>
      </c>
      <c r="Q834" s="4">
        <v>3</v>
      </c>
      <c r="R834" s="4" t="str">
        <f>TEXT(Table1[[#This Row],[Order Date]],"mmm")</f>
        <v>Nov</v>
      </c>
      <c r="S834" s="4" t="str">
        <f>TEXT(Table1[[#This Row],[Order Date]],"mm")</f>
        <v>11</v>
      </c>
      <c r="T834" s="4" t="str">
        <f>IF(Table1[[#This Row],[Sales]]&lt;0,"loss","profit")</f>
        <v>profit</v>
      </c>
      <c r="U834" s="4" t="str" cm="1">
        <f t="array" ref="U834">_xlfn.IFS(Table1[[#This Row],[Sales]]&gt;2000,"large",Table1[[#This Row],[Sales]]&gt;=500,"medium",Table1[[#This Row],[Sales]]&lt;500,"small")</f>
        <v>small</v>
      </c>
      <c r="V834" s="22">
        <f>Table1[[#This Row],[Profit]]/Table1[[#This Row],[Sales]]*100</f>
        <v>45.15921518173046</v>
      </c>
    </row>
    <row r="835" spans="1:22" x14ac:dyDescent="0.35">
      <c r="A835" s="4" t="s">
        <v>1255</v>
      </c>
      <c r="B835" s="5">
        <v>45962</v>
      </c>
      <c r="C835" s="4" t="s">
        <v>749</v>
      </c>
      <c r="D835" s="4" t="s">
        <v>20</v>
      </c>
      <c r="E835" s="4" t="s">
        <v>87</v>
      </c>
      <c r="F835" s="4" t="s">
        <v>88</v>
      </c>
      <c r="G835" s="4" t="s">
        <v>23</v>
      </c>
      <c r="H835" s="4" t="s">
        <v>135</v>
      </c>
      <c r="I835" s="4">
        <v>3</v>
      </c>
      <c r="J835" s="6">
        <v>33.630000000000003</v>
      </c>
      <c r="K835" s="7">
        <v>0.15</v>
      </c>
      <c r="L835" s="6">
        <f t="shared" si="26"/>
        <v>85.756500000000017</v>
      </c>
      <c r="M835" s="6">
        <v>16.59</v>
      </c>
      <c r="N835" s="8">
        <f t="shared" si="27"/>
        <v>35.986500000000021</v>
      </c>
      <c r="O835" s="4" t="s">
        <v>84</v>
      </c>
      <c r="P835" s="4" t="s">
        <v>33</v>
      </c>
      <c r="Q835" s="4">
        <v>4</v>
      </c>
      <c r="R835" s="4" t="str">
        <f>TEXT(Table1[[#This Row],[Order Date]],"mmm")</f>
        <v>Nov</v>
      </c>
      <c r="S835" s="4" t="str">
        <f>TEXT(Table1[[#This Row],[Order Date]],"mm")</f>
        <v>11</v>
      </c>
      <c r="T835" s="4" t="str">
        <f>IF(Table1[[#This Row],[Sales]]&lt;0,"loss","profit")</f>
        <v>profit</v>
      </c>
      <c r="U835" s="4" t="str" cm="1">
        <f t="array" ref="U835">_xlfn.IFS(Table1[[#This Row],[Sales]]&gt;2000,"large",Table1[[#This Row],[Sales]]&gt;=500,"medium",Table1[[#This Row],[Sales]]&lt;500,"small")</f>
        <v>small</v>
      </c>
      <c r="V835" s="22">
        <f>Table1[[#This Row],[Profit]]/Table1[[#This Row],[Sales]]*100</f>
        <v>41.963582935404332</v>
      </c>
    </row>
    <row r="836" spans="1:22" x14ac:dyDescent="0.35">
      <c r="A836" s="4" t="s">
        <v>1256</v>
      </c>
      <c r="B836" s="5">
        <v>45962</v>
      </c>
      <c r="C836" s="4" t="s">
        <v>256</v>
      </c>
      <c r="D836" s="4" t="s">
        <v>20</v>
      </c>
      <c r="E836" s="4" t="s">
        <v>87</v>
      </c>
      <c r="F836" s="4" t="s">
        <v>124</v>
      </c>
      <c r="G836" s="4" t="s">
        <v>23</v>
      </c>
      <c r="H836" s="4" t="s">
        <v>24</v>
      </c>
      <c r="I836" s="4">
        <v>5</v>
      </c>
      <c r="J836" s="6">
        <v>72.680000000000007</v>
      </c>
      <c r="K836" s="7">
        <v>0.2</v>
      </c>
      <c r="L836" s="6">
        <f t="shared" si="26"/>
        <v>290.72000000000003</v>
      </c>
      <c r="M836" s="6">
        <v>42.11</v>
      </c>
      <c r="N836" s="8">
        <f t="shared" si="27"/>
        <v>80.170000000000016</v>
      </c>
      <c r="O836" s="4" t="s">
        <v>84</v>
      </c>
      <c r="P836" s="4" t="s">
        <v>75</v>
      </c>
      <c r="Q836" s="4">
        <v>4</v>
      </c>
      <c r="R836" s="4" t="str">
        <f>TEXT(Table1[[#This Row],[Order Date]],"mmm")</f>
        <v>Nov</v>
      </c>
      <c r="S836" s="4" t="str">
        <f>TEXT(Table1[[#This Row],[Order Date]],"mm")</f>
        <v>11</v>
      </c>
      <c r="T836" s="4" t="str">
        <f>IF(Table1[[#This Row],[Sales]]&lt;0,"loss","profit")</f>
        <v>profit</v>
      </c>
      <c r="U836" s="4" t="str" cm="1">
        <f t="array" ref="U836">_xlfn.IFS(Table1[[#This Row],[Sales]]&gt;2000,"large",Table1[[#This Row],[Sales]]&gt;=500,"medium",Table1[[#This Row],[Sales]]&lt;500,"small")</f>
        <v>small</v>
      </c>
      <c r="V836" s="22">
        <f>Table1[[#This Row],[Profit]]/Table1[[#This Row],[Sales]]*100</f>
        <v>27.576362135388006</v>
      </c>
    </row>
    <row r="837" spans="1:22" x14ac:dyDescent="0.35">
      <c r="A837" s="4" t="s">
        <v>1257</v>
      </c>
      <c r="B837" s="5">
        <v>45963</v>
      </c>
      <c r="C837" s="4" t="s">
        <v>499</v>
      </c>
      <c r="D837" s="4" t="s">
        <v>43</v>
      </c>
      <c r="E837" s="4" t="s">
        <v>36</v>
      </c>
      <c r="F837" s="4" t="s">
        <v>37</v>
      </c>
      <c r="G837" s="4" t="s">
        <v>23</v>
      </c>
      <c r="H837" s="4" t="s">
        <v>24</v>
      </c>
      <c r="I837" s="4">
        <v>2</v>
      </c>
      <c r="J837" s="6">
        <v>71.150000000000006</v>
      </c>
      <c r="K837" s="7">
        <v>0.05</v>
      </c>
      <c r="L837" s="6">
        <f t="shared" si="26"/>
        <v>135.185</v>
      </c>
      <c r="M837" s="6">
        <v>45.56</v>
      </c>
      <c r="N837" s="8">
        <f t="shared" si="27"/>
        <v>44.064999999999998</v>
      </c>
      <c r="O837" s="4" t="s">
        <v>40</v>
      </c>
      <c r="P837" s="4" t="s">
        <v>61</v>
      </c>
      <c r="Q837" s="4">
        <v>5</v>
      </c>
      <c r="R837" s="4" t="str">
        <f>TEXT(Table1[[#This Row],[Order Date]],"mmm")</f>
        <v>Nov</v>
      </c>
      <c r="S837" s="4" t="str">
        <f>TEXT(Table1[[#This Row],[Order Date]],"mm")</f>
        <v>11</v>
      </c>
      <c r="T837" s="4" t="str">
        <f>IF(Table1[[#This Row],[Sales]]&lt;0,"loss","profit")</f>
        <v>profit</v>
      </c>
      <c r="U837" s="4" t="str" cm="1">
        <f t="array" ref="U837">_xlfn.IFS(Table1[[#This Row],[Sales]]&gt;2000,"large",Table1[[#This Row],[Sales]]&gt;=500,"medium",Table1[[#This Row],[Sales]]&lt;500,"small")</f>
        <v>small</v>
      </c>
      <c r="V837" s="22">
        <f>Table1[[#This Row],[Profit]]/Table1[[#This Row],[Sales]]*100</f>
        <v>32.596072049413763</v>
      </c>
    </row>
    <row r="838" spans="1:22" x14ac:dyDescent="0.35">
      <c r="A838" s="4" t="s">
        <v>1258</v>
      </c>
      <c r="B838" s="5">
        <v>45963</v>
      </c>
      <c r="C838" s="4" t="s">
        <v>805</v>
      </c>
      <c r="D838" s="4" t="s">
        <v>47</v>
      </c>
      <c r="E838" s="4" t="s">
        <v>29</v>
      </c>
      <c r="F838" s="4" t="s">
        <v>108</v>
      </c>
      <c r="G838" s="4" t="s">
        <v>31</v>
      </c>
      <c r="H838" s="4" t="s">
        <v>64</v>
      </c>
      <c r="I838" s="4">
        <v>2</v>
      </c>
      <c r="J838" s="6">
        <v>180.27</v>
      </c>
      <c r="K838" s="7">
        <v>0.05</v>
      </c>
      <c r="L838" s="6">
        <f t="shared" si="26"/>
        <v>342.51299999999998</v>
      </c>
      <c r="M838" s="6">
        <v>117.53</v>
      </c>
      <c r="N838" s="8">
        <f t="shared" si="27"/>
        <v>107.45299999999997</v>
      </c>
      <c r="O838" s="4" t="s">
        <v>60</v>
      </c>
      <c r="P838" s="4" t="s">
        <v>33</v>
      </c>
      <c r="Q838" s="4">
        <v>4</v>
      </c>
      <c r="R838" s="4" t="str">
        <f>TEXT(Table1[[#This Row],[Order Date]],"mmm")</f>
        <v>Nov</v>
      </c>
      <c r="S838" s="4" t="str">
        <f>TEXT(Table1[[#This Row],[Order Date]],"mm")</f>
        <v>11</v>
      </c>
      <c r="T838" s="4" t="str">
        <f>IF(Table1[[#This Row],[Sales]]&lt;0,"loss","profit")</f>
        <v>profit</v>
      </c>
      <c r="U838" s="4" t="str" cm="1">
        <f t="array" ref="U838">_xlfn.IFS(Table1[[#This Row],[Sales]]&gt;2000,"large",Table1[[#This Row],[Sales]]&gt;=500,"medium",Table1[[#This Row],[Sales]]&lt;500,"small")</f>
        <v>small</v>
      </c>
      <c r="V838" s="22">
        <f>Table1[[#This Row],[Profit]]/Table1[[#This Row],[Sales]]*100</f>
        <v>31.371947926064113</v>
      </c>
    </row>
    <row r="839" spans="1:22" x14ac:dyDescent="0.35">
      <c r="A839" s="4" t="s">
        <v>1259</v>
      </c>
      <c r="B839" s="5">
        <v>45963</v>
      </c>
      <c r="C839" s="4" t="s">
        <v>217</v>
      </c>
      <c r="D839" s="4" t="s">
        <v>20</v>
      </c>
      <c r="E839" s="4" t="s">
        <v>29</v>
      </c>
      <c r="F839" s="4" t="s">
        <v>30</v>
      </c>
      <c r="G839" s="4" t="s">
        <v>23</v>
      </c>
      <c r="H839" s="4" t="s">
        <v>24</v>
      </c>
      <c r="I839" s="4">
        <v>3</v>
      </c>
      <c r="J839" s="6">
        <v>68.06</v>
      </c>
      <c r="K839" s="7">
        <v>0</v>
      </c>
      <c r="L839" s="6">
        <f t="shared" si="26"/>
        <v>204.18</v>
      </c>
      <c r="M839" s="6">
        <v>42.27</v>
      </c>
      <c r="N839" s="8">
        <f t="shared" si="27"/>
        <v>77.37</v>
      </c>
      <c r="O839" s="4" t="s">
        <v>84</v>
      </c>
      <c r="P839" s="4" t="s">
        <v>26</v>
      </c>
      <c r="Q839" s="4">
        <v>5</v>
      </c>
      <c r="R839" s="4" t="str">
        <f>TEXT(Table1[[#This Row],[Order Date]],"mmm")</f>
        <v>Nov</v>
      </c>
      <c r="S839" s="4" t="str">
        <f>TEXT(Table1[[#This Row],[Order Date]],"mm")</f>
        <v>11</v>
      </c>
      <c r="T839" s="4" t="str">
        <f>IF(Table1[[#This Row],[Sales]]&lt;0,"loss","profit")</f>
        <v>profit</v>
      </c>
      <c r="U839" s="4" t="str" cm="1">
        <f t="array" ref="U839">_xlfn.IFS(Table1[[#This Row],[Sales]]&gt;2000,"large",Table1[[#This Row],[Sales]]&gt;=500,"medium",Table1[[#This Row],[Sales]]&lt;500,"small")</f>
        <v>small</v>
      </c>
      <c r="V839" s="22">
        <f>Table1[[#This Row],[Profit]]/Table1[[#This Row],[Sales]]*100</f>
        <v>37.893035556861591</v>
      </c>
    </row>
    <row r="840" spans="1:22" x14ac:dyDescent="0.35">
      <c r="A840" s="4" t="s">
        <v>1260</v>
      </c>
      <c r="B840" s="5">
        <v>45963</v>
      </c>
      <c r="C840" s="4" t="s">
        <v>1004</v>
      </c>
      <c r="D840" s="4" t="s">
        <v>47</v>
      </c>
      <c r="E840" s="4" t="s">
        <v>36</v>
      </c>
      <c r="F840" s="4" t="s">
        <v>37</v>
      </c>
      <c r="G840" s="4" t="s">
        <v>49</v>
      </c>
      <c r="H840" s="4" t="s">
        <v>187</v>
      </c>
      <c r="I840" s="4">
        <v>1</v>
      </c>
      <c r="J840" s="6">
        <v>133.08000000000001</v>
      </c>
      <c r="K840" s="7">
        <v>0.15</v>
      </c>
      <c r="L840" s="6">
        <f t="shared" si="26"/>
        <v>113.11800000000001</v>
      </c>
      <c r="M840" s="6">
        <v>99.04</v>
      </c>
      <c r="N840" s="8">
        <f t="shared" si="27"/>
        <v>14.078000000000003</v>
      </c>
      <c r="O840" s="4" t="s">
        <v>51</v>
      </c>
      <c r="P840" s="4" t="s">
        <v>118</v>
      </c>
      <c r="Q840" s="4">
        <v>3</v>
      </c>
      <c r="R840" s="4" t="str">
        <f>TEXT(Table1[[#This Row],[Order Date]],"mmm")</f>
        <v>Nov</v>
      </c>
      <c r="S840" s="4" t="str">
        <f>TEXT(Table1[[#This Row],[Order Date]],"mm")</f>
        <v>11</v>
      </c>
      <c r="T840" s="4" t="str">
        <f>IF(Table1[[#This Row],[Sales]]&lt;0,"loss","profit")</f>
        <v>profit</v>
      </c>
      <c r="U840" s="4" t="str" cm="1">
        <f t="array" ref="U840">_xlfn.IFS(Table1[[#This Row],[Sales]]&gt;2000,"large",Table1[[#This Row],[Sales]]&gt;=500,"medium",Table1[[#This Row],[Sales]]&lt;500,"small")</f>
        <v>small</v>
      </c>
      <c r="V840" s="22">
        <f>Table1[[#This Row],[Profit]]/Table1[[#This Row],[Sales]]*100</f>
        <v>12.445410986757194</v>
      </c>
    </row>
    <row r="841" spans="1:22" x14ac:dyDescent="0.35">
      <c r="A841" s="4" t="s">
        <v>1261</v>
      </c>
      <c r="B841" s="5">
        <v>45963</v>
      </c>
      <c r="C841" s="4" t="s">
        <v>137</v>
      </c>
      <c r="D841" s="4" t="s">
        <v>20</v>
      </c>
      <c r="E841" s="4" t="s">
        <v>36</v>
      </c>
      <c r="F841" s="4" t="s">
        <v>48</v>
      </c>
      <c r="G841" s="4" t="s">
        <v>67</v>
      </c>
      <c r="H841" s="4" t="s">
        <v>68</v>
      </c>
      <c r="I841" s="4">
        <v>1</v>
      </c>
      <c r="J841" s="6">
        <v>1028.1300000000001</v>
      </c>
      <c r="K841" s="7">
        <v>0.1</v>
      </c>
      <c r="L841" s="6">
        <f t="shared" si="26"/>
        <v>925.31700000000012</v>
      </c>
      <c r="M841" s="6">
        <v>735.07</v>
      </c>
      <c r="N841" s="8">
        <f t="shared" si="27"/>
        <v>190.24700000000007</v>
      </c>
      <c r="O841" s="4" t="s">
        <v>60</v>
      </c>
      <c r="P841" s="4" t="s">
        <v>33</v>
      </c>
      <c r="Q841" s="4">
        <v>4</v>
      </c>
      <c r="R841" s="4" t="str">
        <f>TEXT(Table1[[#This Row],[Order Date]],"mmm")</f>
        <v>Nov</v>
      </c>
      <c r="S841" s="4" t="str">
        <f>TEXT(Table1[[#This Row],[Order Date]],"mm")</f>
        <v>11</v>
      </c>
      <c r="T841" s="4" t="str">
        <f>IF(Table1[[#This Row],[Sales]]&lt;0,"loss","profit")</f>
        <v>profit</v>
      </c>
      <c r="U841" s="4" t="str" cm="1">
        <f t="array" ref="U841">_xlfn.IFS(Table1[[#This Row],[Sales]]&gt;2000,"large",Table1[[#This Row],[Sales]]&gt;=500,"medium",Table1[[#This Row],[Sales]]&lt;500,"small")</f>
        <v>medium</v>
      </c>
      <c r="V841" s="22">
        <f>Table1[[#This Row],[Profit]]/Table1[[#This Row],[Sales]]*100</f>
        <v>20.560197208091935</v>
      </c>
    </row>
    <row r="842" spans="1:22" x14ac:dyDescent="0.35">
      <c r="A842" s="4" t="s">
        <v>1262</v>
      </c>
      <c r="B842" s="5">
        <v>45963</v>
      </c>
      <c r="C842" s="4" t="s">
        <v>313</v>
      </c>
      <c r="D842" s="4" t="s">
        <v>47</v>
      </c>
      <c r="E842" s="4" t="s">
        <v>21</v>
      </c>
      <c r="F842" s="4" t="s">
        <v>59</v>
      </c>
      <c r="G842" s="4" t="s">
        <v>38</v>
      </c>
      <c r="H842" s="4" t="s">
        <v>109</v>
      </c>
      <c r="I842" s="4">
        <v>3</v>
      </c>
      <c r="J842" s="6">
        <v>728.81</v>
      </c>
      <c r="K842" s="7">
        <v>0</v>
      </c>
      <c r="L842" s="6">
        <f t="shared" si="26"/>
        <v>2186.4299999999998</v>
      </c>
      <c r="M842" s="6">
        <v>570.71</v>
      </c>
      <c r="N842" s="8">
        <f t="shared" si="27"/>
        <v>474.29999999999973</v>
      </c>
      <c r="O842" s="4" t="s">
        <v>60</v>
      </c>
      <c r="P842" s="4" t="s">
        <v>97</v>
      </c>
      <c r="Q842" s="4">
        <v>2</v>
      </c>
      <c r="R842" s="4" t="str">
        <f>TEXT(Table1[[#This Row],[Order Date]],"mmm")</f>
        <v>Nov</v>
      </c>
      <c r="S842" s="4" t="str">
        <f>TEXT(Table1[[#This Row],[Order Date]],"mm")</f>
        <v>11</v>
      </c>
      <c r="T842" s="4" t="str">
        <f>IF(Table1[[#This Row],[Sales]]&lt;0,"loss","profit")</f>
        <v>profit</v>
      </c>
      <c r="U842" s="4" t="str" cm="1">
        <f t="array" ref="U842">_xlfn.IFS(Table1[[#This Row],[Sales]]&gt;2000,"large",Table1[[#This Row],[Sales]]&gt;=500,"medium",Table1[[#This Row],[Sales]]&lt;500,"small")</f>
        <v>large</v>
      </c>
      <c r="V842" s="22">
        <f>Table1[[#This Row],[Profit]]/Table1[[#This Row],[Sales]]*100</f>
        <v>21.692896639727767</v>
      </c>
    </row>
    <row r="843" spans="1:22" x14ac:dyDescent="0.35">
      <c r="A843" s="4" t="s">
        <v>1263</v>
      </c>
      <c r="B843" s="5">
        <v>45964</v>
      </c>
      <c r="C843" s="4" t="s">
        <v>254</v>
      </c>
      <c r="D843" s="4" t="s">
        <v>20</v>
      </c>
      <c r="E843" s="4" t="s">
        <v>21</v>
      </c>
      <c r="F843" s="4" t="s">
        <v>59</v>
      </c>
      <c r="G843" s="4" t="s">
        <v>31</v>
      </c>
      <c r="H843" s="4" t="s">
        <v>64</v>
      </c>
      <c r="I843" s="4">
        <v>1</v>
      </c>
      <c r="J843" s="6">
        <v>201.04</v>
      </c>
      <c r="K843" s="7">
        <v>0.05</v>
      </c>
      <c r="L843" s="6">
        <f t="shared" si="26"/>
        <v>190.98799999999997</v>
      </c>
      <c r="M843" s="6">
        <v>128.55000000000001</v>
      </c>
      <c r="N843" s="8">
        <f t="shared" si="27"/>
        <v>62.43799999999996</v>
      </c>
      <c r="O843" s="4" t="s">
        <v>40</v>
      </c>
      <c r="P843" s="4" t="s">
        <v>72</v>
      </c>
      <c r="Q843" s="4">
        <v>3</v>
      </c>
      <c r="R843" s="4" t="str">
        <f>TEXT(Table1[[#This Row],[Order Date]],"mmm")</f>
        <v>Nov</v>
      </c>
      <c r="S843" s="4" t="str">
        <f>TEXT(Table1[[#This Row],[Order Date]],"mm")</f>
        <v>11</v>
      </c>
      <c r="T843" s="4" t="str">
        <f>IF(Table1[[#This Row],[Sales]]&lt;0,"loss","profit")</f>
        <v>profit</v>
      </c>
      <c r="U843" s="4" t="str" cm="1">
        <f t="array" ref="U843">_xlfn.IFS(Table1[[#This Row],[Sales]]&gt;2000,"large",Table1[[#This Row],[Sales]]&gt;=500,"medium",Table1[[#This Row],[Sales]]&lt;500,"small")</f>
        <v>small</v>
      </c>
      <c r="V843" s="22">
        <f>Table1[[#This Row],[Profit]]/Table1[[#This Row],[Sales]]*100</f>
        <v>32.692106310344087</v>
      </c>
    </row>
    <row r="844" spans="1:22" x14ac:dyDescent="0.35">
      <c r="A844" s="4" t="s">
        <v>1264</v>
      </c>
      <c r="B844" s="5">
        <v>45965</v>
      </c>
      <c r="C844" s="4" t="s">
        <v>413</v>
      </c>
      <c r="D844" s="4" t="s">
        <v>47</v>
      </c>
      <c r="E844" s="4" t="s">
        <v>87</v>
      </c>
      <c r="F844" s="4" t="s">
        <v>88</v>
      </c>
      <c r="G844" s="4" t="s">
        <v>38</v>
      </c>
      <c r="H844" s="4" t="s">
        <v>55</v>
      </c>
      <c r="I844" s="4">
        <v>1</v>
      </c>
      <c r="J844" s="6">
        <v>119.51</v>
      </c>
      <c r="K844" s="7">
        <v>0</v>
      </c>
      <c r="L844" s="6">
        <f t="shared" si="26"/>
        <v>119.51</v>
      </c>
      <c r="M844" s="6">
        <v>103.69</v>
      </c>
      <c r="N844" s="8">
        <f t="shared" si="27"/>
        <v>15.820000000000007</v>
      </c>
      <c r="O844" s="4" t="s">
        <v>51</v>
      </c>
      <c r="P844" s="4" t="s">
        <v>97</v>
      </c>
      <c r="Q844" s="4">
        <v>5</v>
      </c>
      <c r="R844" s="4" t="str">
        <f>TEXT(Table1[[#This Row],[Order Date]],"mmm")</f>
        <v>Nov</v>
      </c>
      <c r="S844" s="4" t="str">
        <f>TEXT(Table1[[#This Row],[Order Date]],"mm")</f>
        <v>11</v>
      </c>
      <c r="T844" s="4" t="str">
        <f>IF(Table1[[#This Row],[Sales]]&lt;0,"loss","profit")</f>
        <v>profit</v>
      </c>
      <c r="U844" s="4" t="str" cm="1">
        <f t="array" ref="U844">_xlfn.IFS(Table1[[#This Row],[Sales]]&gt;2000,"large",Table1[[#This Row],[Sales]]&gt;=500,"medium",Table1[[#This Row],[Sales]]&lt;500,"small")</f>
        <v>small</v>
      </c>
      <c r="V844" s="22">
        <f>Table1[[#This Row],[Profit]]/Table1[[#This Row],[Sales]]*100</f>
        <v>13.237385992803954</v>
      </c>
    </row>
    <row r="845" spans="1:22" x14ac:dyDescent="0.35">
      <c r="A845" s="4" t="s">
        <v>1265</v>
      </c>
      <c r="B845" s="5">
        <v>45966</v>
      </c>
      <c r="C845" s="4" t="s">
        <v>1015</v>
      </c>
      <c r="D845" s="4" t="s">
        <v>20</v>
      </c>
      <c r="E845" s="4" t="s">
        <v>87</v>
      </c>
      <c r="F845" s="4" t="s">
        <v>88</v>
      </c>
      <c r="G845" s="4" t="s">
        <v>38</v>
      </c>
      <c r="H845" s="4" t="s">
        <v>55</v>
      </c>
      <c r="I845" s="4">
        <v>1</v>
      </c>
      <c r="J845" s="6">
        <v>111.4</v>
      </c>
      <c r="K845" s="7">
        <v>0</v>
      </c>
      <c r="L845" s="6">
        <f t="shared" si="26"/>
        <v>111.4</v>
      </c>
      <c r="M845" s="6">
        <v>96.42</v>
      </c>
      <c r="N845" s="8">
        <f t="shared" si="27"/>
        <v>14.980000000000004</v>
      </c>
      <c r="O845" s="4" t="s">
        <v>40</v>
      </c>
      <c r="P845" s="4" t="s">
        <v>61</v>
      </c>
      <c r="Q845" s="4">
        <v>5</v>
      </c>
      <c r="R845" s="4" t="str">
        <f>TEXT(Table1[[#This Row],[Order Date]],"mmm")</f>
        <v>Nov</v>
      </c>
      <c r="S845" s="4" t="str">
        <f>TEXT(Table1[[#This Row],[Order Date]],"mm")</f>
        <v>11</v>
      </c>
      <c r="T845" s="4" t="str">
        <f>IF(Table1[[#This Row],[Sales]]&lt;0,"loss","profit")</f>
        <v>profit</v>
      </c>
      <c r="U845" s="4" t="str" cm="1">
        <f t="array" ref="U845">_xlfn.IFS(Table1[[#This Row],[Sales]]&gt;2000,"large",Table1[[#This Row],[Sales]]&gt;=500,"medium",Table1[[#This Row],[Sales]]&lt;500,"small")</f>
        <v>small</v>
      </c>
      <c r="V845" s="22">
        <f>Table1[[#This Row],[Profit]]/Table1[[#This Row],[Sales]]*100</f>
        <v>13.447037701974867</v>
      </c>
    </row>
    <row r="846" spans="1:22" x14ac:dyDescent="0.35">
      <c r="A846" s="4" t="s">
        <v>1266</v>
      </c>
      <c r="B846" s="5">
        <v>45966</v>
      </c>
      <c r="C846" s="4" t="s">
        <v>1267</v>
      </c>
      <c r="D846" s="4" t="s">
        <v>47</v>
      </c>
      <c r="E846" s="4" t="s">
        <v>29</v>
      </c>
      <c r="F846" s="4" t="s">
        <v>54</v>
      </c>
      <c r="G846" s="4" t="s">
        <v>49</v>
      </c>
      <c r="H846" s="4" t="s">
        <v>50</v>
      </c>
      <c r="I846" s="4">
        <v>1</v>
      </c>
      <c r="J846" s="6">
        <v>14.91</v>
      </c>
      <c r="K846" s="7">
        <v>0.15</v>
      </c>
      <c r="L846" s="6">
        <f t="shared" si="26"/>
        <v>12.673500000000001</v>
      </c>
      <c r="M846" s="6">
        <v>9.68</v>
      </c>
      <c r="N846" s="8">
        <f t="shared" si="27"/>
        <v>2.9935000000000009</v>
      </c>
      <c r="O846" s="4" t="s">
        <v>60</v>
      </c>
      <c r="P846" s="4" t="s">
        <v>97</v>
      </c>
      <c r="Q846" s="4">
        <v>3</v>
      </c>
      <c r="R846" s="4" t="str">
        <f>TEXT(Table1[[#This Row],[Order Date]],"mmm")</f>
        <v>Nov</v>
      </c>
      <c r="S846" s="4" t="str">
        <f>TEXT(Table1[[#This Row],[Order Date]],"mm")</f>
        <v>11</v>
      </c>
      <c r="T846" s="4" t="str">
        <f>IF(Table1[[#This Row],[Sales]]&lt;0,"loss","profit")</f>
        <v>profit</v>
      </c>
      <c r="U846" s="4" t="str" cm="1">
        <f t="array" ref="U846">_xlfn.IFS(Table1[[#This Row],[Sales]]&gt;2000,"large",Table1[[#This Row],[Sales]]&gt;=500,"medium",Table1[[#This Row],[Sales]]&lt;500,"small")</f>
        <v>small</v>
      </c>
      <c r="V846" s="22">
        <f>Table1[[#This Row],[Profit]]/Table1[[#This Row],[Sales]]*100</f>
        <v>23.620152286266627</v>
      </c>
    </row>
    <row r="847" spans="1:22" x14ac:dyDescent="0.35">
      <c r="A847" s="4" t="s">
        <v>1268</v>
      </c>
      <c r="B847" s="5">
        <v>45967</v>
      </c>
      <c r="C847" s="4" t="s">
        <v>521</v>
      </c>
      <c r="D847" s="4" t="s">
        <v>20</v>
      </c>
      <c r="E847" s="4" t="s">
        <v>21</v>
      </c>
      <c r="F847" s="4" t="s">
        <v>81</v>
      </c>
      <c r="G847" s="4" t="s">
        <v>23</v>
      </c>
      <c r="H847" s="4" t="s">
        <v>71</v>
      </c>
      <c r="I847" s="4">
        <v>1</v>
      </c>
      <c r="J847" s="6">
        <v>182.34</v>
      </c>
      <c r="K847" s="7">
        <v>0</v>
      </c>
      <c r="L847" s="6">
        <f t="shared" si="26"/>
        <v>182.34</v>
      </c>
      <c r="M847" s="6">
        <v>99.14</v>
      </c>
      <c r="N847" s="8">
        <f t="shared" si="27"/>
        <v>83.2</v>
      </c>
      <c r="O847" s="4" t="s">
        <v>51</v>
      </c>
      <c r="P847" s="4" t="s">
        <v>26</v>
      </c>
      <c r="Q847" s="4">
        <v>4</v>
      </c>
      <c r="R847" s="4" t="str">
        <f>TEXT(Table1[[#This Row],[Order Date]],"mmm")</f>
        <v>Nov</v>
      </c>
      <c r="S847" s="4" t="str">
        <f>TEXT(Table1[[#This Row],[Order Date]],"mm")</f>
        <v>11</v>
      </c>
      <c r="T847" s="4" t="str">
        <f>IF(Table1[[#This Row],[Sales]]&lt;0,"loss","profit")</f>
        <v>profit</v>
      </c>
      <c r="U847" s="4" t="str" cm="1">
        <f t="array" ref="U847">_xlfn.IFS(Table1[[#This Row],[Sales]]&gt;2000,"large",Table1[[#This Row],[Sales]]&gt;=500,"medium",Table1[[#This Row],[Sales]]&lt;500,"small")</f>
        <v>small</v>
      </c>
      <c r="V847" s="22">
        <f>Table1[[#This Row],[Profit]]/Table1[[#This Row],[Sales]]*100</f>
        <v>45.629044641877812</v>
      </c>
    </row>
    <row r="848" spans="1:22" x14ac:dyDescent="0.35">
      <c r="A848" s="4" t="s">
        <v>1269</v>
      </c>
      <c r="B848" s="5">
        <v>45967</v>
      </c>
      <c r="C848" s="4" t="s">
        <v>958</v>
      </c>
      <c r="D848" s="4" t="s">
        <v>43</v>
      </c>
      <c r="E848" s="4" t="s">
        <v>29</v>
      </c>
      <c r="F848" s="4" t="s">
        <v>30</v>
      </c>
      <c r="G848" s="4" t="s">
        <v>23</v>
      </c>
      <c r="H848" s="4" t="s">
        <v>24</v>
      </c>
      <c r="I848" s="4">
        <v>6</v>
      </c>
      <c r="J848" s="6">
        <v>87.85</v>
      </c>
      <c r="K848" s="7">
        <v>0.05</v>
      </c>
      <c r="L848" s="6">
        <f t="shared" si="26"/>
        <v>500.74499999999989</v>
      </c>
      <c r="M848" s="6">
        <v>44.78</v>
      </c>
      <c r="N848" s="8">
        <f t="shared" si="27"/>
        <v>232.06499999999988</v>
      </c>
      <c r="O848" s="4" t="s">
        <v>60</v>
      </c>
      <c r="P848" s="4" t="s">
        <v>26</v>
      </c>
      <c r="Q848" s="4">
        <v>5</v>
      </c>
      <c r="R848" s="4" t="str">
        <f>TEXT(Table1[[#This Row],[Order Date]],"mmm")</f>
        <v>Nov</v>
      </c>
      <c r="S848" s="4" t="str">
        <f>TEXT(Table1[[#This Row],[Order Date]],"mm")</f>
        <v>11</v>
      </c>
      <c r="T848" s="4" t="str">
        <f>IF(Table1[[#This Row],[Sales]]&lt;0,"loss","profit")</f>
        <v>profit</v>
      </c>
      <c r="U848" s="4" t="str" cm="1">
        <f t="array" ref="U848">_xlfn.IFS(Table1[[#This Row],[Sales]]&gt;2000,"large",Table1[[#This Row],[Sales]]&gt;=500,"medium",Table1[[#This Row],[Sales]]&lt;500,"small")</f>
        <v>medium</v>
      </c>
      <c r="V848" s="22">
        <f>Table1[[#This Row],[Profit]]/Table1[[#This Row],[Sales]]*100</f>
        <v>46.343947518197872</v>
      </c>
    </row>
    <row r="849" spans="1:22" x14ac:dyDescent="0.35">
      <c r="A849" s="4" t="s">
        <v>1270</v>
      </c>
      <c r="B849" s="5">
        <v>45968</v>
      </c>
      <c r="C849" s="4" t="s">
        <v>1271</v>
      </c>
      <c r="D849" s="4" t="s">
        <v>20</v>
      </c>
      <c r="E849" s="4" t="s">
        <v>21</v>
      </c>
      <c r="F849" s="4" t="s">
        <v>81</v>
      </c>
      <c r="G849" s="4" t="s">
        <v>49</v>
      </c>
      <c r="H849" s="4" t="s">
        <v>50</v>
      </c>
      <c r="I849" s="4">
        <v>4</v>
      </c>
      <c r="J849" s="6">
        <v>29.19</v>
      </c>
      <c r="K849" s="7">
        <v>0.05</v>
      </c>
      <c r="L849" s="6">
        <f t="shared" si="26"/>
        <v>110.922</v>
      </c>
      <c r="M849" s="6">
        <v>18.52</v>
      </c>
      <c r="N849" s="8">
        <f t="shared" si="27"/>
        <v>36.841999999999999</v>
      </c>
      <c r="O849" s="4" t="s">
        <v>60</v>
      </c>
      <c r="P849" s="4" t="s">
        <v>33</v>
      </c>
      <c r="Q849" s="4">
        <v>4</v>
      </c>
      <c r="R849" s="4" t="str">
        <f>TEXT(Table1[[#This Row],[Order Date]],"mmm")</f>
        <v>Nov</v>
      </c>
      <c r="S849" s="4" t="str">
        <f>TEXT(Table1[[#This Row],[Order Date]],"mm")</f>
        <v>11</v>
      </c>
      <c r="T849" s="4" t="str">
        <f>IF(Table1[[#This Row],[Sales]]&lt;0,"loss","profit")</f>
        <v>profit</v>
      </c>
      <c r="U849" s="4" t="str" cm="1">
        <f t="array" ref="U849">_xlfn.IFS(Table1[[#This Row],[Sales]]&gt;2000,"large",Table1[[#This Row],[Sales]]&gt;=500,"medium",Table1[[#This Row],[Sales]]&lt;500,"small")</f>
        <v>small</v>
      </c>
      <c r="V849" s="22">
        <f>Table1[[#This Row],[Profit]]/Table1[[#This Row],[Sales]]*100</f>
        <v>33.21433079100629</v>
      </c>
    </row>
    <row r="850" spans="1:22" x14ac:dyDescent="0.35">
      <c r="A850" s="4" t="s">
        <v>1272</v>
      </c>
      <c r="B850" s="5">
        <v>45968</v>
      </c>
      <c r="C850" s="4" t="s">
        <v>357</v>
      </c>
      <c r="D850" s="4" t="s">
        <v>43</v>
      </c>
      <c r="E850" s="4" t="s">
        <v>29</v>
      </c>
      <c r="F850" s="4" t="s">
        <v>108</v>
      </c>
      <c r="G850" s="4" t="s">
        <v>31</v>
      </c>
      <c r="H850" s="4" t="s">
        <v>147</v>
      </c>
      <c r="I850" s="4">
        <v>1</v>
      </c>
      <c r="J850" s="6">
        <v>34.06</v>
      </c>
      <c r="K850" s="7">
        <v>0</v>
      </c>
      <c r="L850" s="6">
        <f t="shared" si="26"/>
        <v>34.06</v>
      </c>
      <c r="M850" s="6">
        <v>24.39</v>
      </c>
      <c r="N850" s="8">
        <f t="shared" si="27"/>
        <v>9.6700000000000017</v>
      </c>
      <c r="O850" s="4" t="s">
        <v>51</v>
      </c>
      <c r="P850" s="4" t="s">
        <v>72</v>
      </c>
      <c r="Q850" s="4">
        <v>2</v>
      </c>
      <c r="R850" s="4" t="str">
        <f>TEXT(Table1[[#This Row],[Order Date]],"mmm")</f>
        <v>Nov</v>
      </c>
      <c r="S850" s="4" t="str">
        <f>TEXT(Table1[[#This Row],[Order Date]],"mm")</f>
        <v>11</v>
      </c>
      <c r="T850" s="4" t="str">
        <f>IF(Table1[[#This Row],[Sales]]&lt;0,"loss","profit")</f>
        <v>profit</v>
      </c>
      <c r="U850" s="4" t="str" cm="1">
        <f t="array" ref="U850">_xlfn.IFS(Table1[[#This Row],[Sales]]&gt;2000,"large",Table1[[#This Row],[Sales]]&gt;=500,"medium",Table1[[#This Row],[Sales]]&lt;500,"small")</f>
        <v>small</v>
      </c>
      <c r="V850" s="22">
        <f>Table1[[#This Row],[Profit]]/Table1[[#This Row],[Sales]]*100</f>
        <v>28.391074574280683</v>
      </c>
    </row>
    <row r="851" spans="1:22" x14ac:dyDescent="0.35">
      <c r="A851" s="4" t="s">
        <v>1273</v>
      </c>
      <c r="B851" s="5">
        <v>45968</v>
      </c>
      <c r="C851" s="4" t="s">
        <v>532</v>
      </c>
      <c r="D851" s="4" t="s">
        <v>47</v>
      </c>
      <c r="E851" s="4" t="s">
        <v>87</v>
      </c>
      <c r="F851" s="4" t="s">
        <v>88</v>
      </c>
      <c r="G851" s="4" t="s">
        <v>23</v>
      </c>
      <c r="H851" s="4" t="s">
        <v>44</v>
      </c>
      <c r="I851" s="4">
        <v>2</v>
      </c>
      <c r="J851" s="6">
        <v>77.37</v>
      </c>
      <c r="K851" s="7">
        <v>0.05</v>
      </c>
      <c r="L851" s="6">
        <f t="shared" si="26"/>
        <v>147.00300000000001</v>
      </c>
      <c r="M851" s="6">
        <v>43.76</v>
      </c>
      <c r="N851" s="8">
        <f t="shared" si="27"/>
        <v>59.483000000000018</v>
      </c>
      <c r="O851" s="4" t="s">
        <v>25</v>
      </c>
      <c r="P851" s="4" t="s">
        <v>72</v>
      </c>
      <c r="Q851" s="4">
        <v>5</v>
      </c>
      <c r="R851" s="4" t="str">
        <f>TEXT(Table1[[#This Row],[Order Date]],"mmm")</f>
        <v>Nov</v>
      </c>
      <c r="S851" s="4" t="str">
        <f>TEXT(Table1[[#This Row],[Order Date]],"mm")</f>
        <v>11</v>
      </c>
      <c r="T851" s="4" t="str">
        <f>IF(Table1[[#This Row],[Sales]]&lt;0,"loss","profit")</f>
        <v>profit</v>
      </c>
      <c r="U851" s="4" t="str" cm="1">
        <f t="array" ref="U851">_xlfn.IFS(Table1[[#This Row],[Sales]]&gt;2000,"large",Table1[[#This Row],[Sales]]&gt;=500,"medium",Table1[[#This Row],[Sales]]&lt;500,"small")</f>
        <v>small</v>
      </c>
      <c r="V851" s="22">
        <f>Table1[[#This Row],[Profit]]/Table1[[#This Row],[Sales]]*100</f>
        <v>40.463800058502216</v>
      </c>
    </row>
    <row r="852" spans="1:22" x14ac:dyDescent="0.35">
      <c r="A852" s="4" t="s">
        <v>1274</v>
      </c>
      <c r="B852" s="5">
        <v>45968</v>
      </c>
      <c r="C852" s="4" t="s">
        <v>176</v>
      </c>
      <c r="D852" s="4" t="s">
        <v>20</v>
      </c>
      <c r="E852" s="4" t="s">
        <v>36</v>
      </c>
      <c r="F852" s="4" t="s">
        <v>201</v>
      </c>
      <c r="G852" s="4" t="s">
        <v>31</v>
      </c>
      <c r="H852" s="4" t="s">
        <v>32</v>
      </c>
      <c r="I852" s="4">
        <v>4</v>
      </c>
      <c r="J852" s="6">
        <v>173.3</v>
      </c>
      <c r="K852" s="7">
        <v>0.05</v>
      </c>
      <c r="L852" s="6">
        <f t="shared" si="26"/>
        <v>658.54</v>
      </c>
      <c r="M852" s="6">
        <v>107.38</v>
      </c>
      <c r="N852" s="8">
        <f t="shared" si="27"/>
        <v>229.01999999999998</v>
      </c>
      <c r="O852" s="4" t="s">
        <v>60</v>
      </c>
      <c r="P852" s="4" t="s">
        <v>56</v>
      </c>
      <c r="Q852" s="4">
        <v>4</v>
      </c>
      <c r="R852" s="4" t="str">
        <f>TEXT(Table1[[#This Row],[Order Date]],"mmm")</f>
        <v>Nov</v>
      </c>
      <c r="S852" s="4" t="str">
        <f>TEXT(Table1[[#This Row],[Order Date]],"mm")</f>
        <v>11</v>
      </c>
      <c r="T852" s="4" t="str">
        <f>IF(Table1[[#This Row],[Sales]]&lt;0,"loss","profit")</f>
        <v>profit</v>
      </c>
      <c r="U852" s="4" t="str" cm="1">
        <f t="array" ref="U852">_xlfn.IFS(Table1[[#This Row],[Sales]]&gt;2000,"large",Table1[[#This Row],[Sales]]&gt;=500,"medium",Table1[[#This Row],[Sales]]&lt;500,"small")</f>
        <v>medium</v>
      </c>
      <c r="V852" s="22">
        <f>Table1[[#This Row],[Profit]]/Table1[[#This Row],[Sales]]*100</f>
        <v>34.776930786284808</v>
      </c>
    </row>
    <row r="853" spans="1:22" x14ac:dyDescent="0.35">
      <c r="A853" s="4" t="s">
        <v>1275</v>
      </c>
      <c r="B853" s="5">
        <v>45968</v>
      </c>
      <c r="C853" s="4" t="s">
        <v>58</v>
      </c>
      <c r="D853" s="4" t="s">
        <v>47</v>
      </c>
      <c r="E853" s="4" t="s">
        <v>21</v>
      </c>
      <c r="F853" s="4" t="s">
        <v>22</v>
      </c>
      <c r="G853" s="4" t="s">
        <v>38</v>
      </c>
      <c r="H853" s="4" t="s">
        <v>109</v>
      </c>
      <c r="I853" s="4">
        <v>1</v>
      </c>
      <c r="J853" s="6">
        <v>905.51</v>
      </c>
      <c r="K853" s="7">
        <v>0.15</v>
      </c>
      <c r="L853" s="6">
        <f t="shared" si="26"/>
        <v>769.68349999999998</v>
      </c>
      <c r="M853" s="6">
        <v>792.94</v>
      </c>
      <c r="N853" s="8">
        <f t="shared" si="27"/>
        <v>-23.256500000000074</v>
      </c>
      <c r="O853" s="4" t="s">
        <v>40</v>
      </c>
      <c r="P853" s="4" t="s">
        <v>26</v>
      </c>
      <c r="Q853" s="4">
        <v>3</v>
      </c>
      <c r="R853" s="4" t="str">
        <f>TEXT(Table1[[#This Row],[Order Date]],"mmm")</f>
        <v>Nov</v>
      </c>
      <c r="S853" s="4" t="str">
        <f>TEXT(Table1[[#This Row],[Order Date]],"mm")</f>
        <v>11</v>
      </c>
      <c r="T853" s="4" t="str">
        <f>IF(Table1[[#This Row],[Sales]]&lt;0,"loss","profit")</f>
        <v>profit</v>
      </c>
      <c r="U853" s="4" t="str" cm="1">
        <f t="array" ref="U853">_xlfn.IFS(Table1[[#This Row],[Sales]]&gt;2000,"large",Table1[[#This Row],[Sales]]&gt;=500,"medium",Table1[[#This Row],[Sales]]&lt;500,"small")</f>
        <v>medium</v>
      </c>
      <c r="V853" s="22">
        <f>Table1[[#This Row],[Profit]]/Table1[[#This Row],[Sales]]*100</f>
        <v>-3.0215666569440653</v>
      </c>
    </row>
    <row r="854" spans="1:22" x14ac:dyDescent="0.35">
      <c r="A854" s="4" t="s">
        <v>1276</v>
      </c>
      <c r="B854" s="5">
        <v>45968</v>
      </c>
      <c r="C854" s="4" t="s">
        <v>719</v>
      </c>
      <c r="D854" s="4" t="s">
        <v>20</v>
      </c>
      <c r="E854" s="4" t="s">
        <v>29</v>
      </c>
      <c r="F854" s="4" t="s">
        <v>30</v>
      </c>
      <c r="G854" s="4" t="s">
        <v>31</v>
      </c>
      <c r="H854" s="4" t="s">
        <v>32</v>
      </c>
      <c r="I854" s="4">
        <v>1</v>
      </c>
      <c r="J854" s="6">
        <v>116.16</v>
      </c>
      <c r="K854" s="7">
        <v>0</v>
      </c>
      <c r="L854" s="6">
        <f t="shared" si="26"/>
        <v>116.16</v>
      </c>
      <c r="M854" s="6">
        <v>66.81</v>
      </c>
      <c r="N854" s="8">
        <f t="shared" si="27"/>
        <v>49.349999999999994</v>
      </c>
      <c r="O854" s="4" t="s">
        <v>25</v>
      </c>
      <c r="P854" s="4" t="s">
        <v>118</v>
      </c>
      <c r="Q854" s="4">
        <v>4</v>
      </c>
      <c r="R854" s="4" t="str">
        <f>TEXT(Table1[[#This Row],[Order Date]],"mmm")</f>
        <v>Nov</v>
      </c>
      <c r="S854" s="4" t="str">
        <f>TEXT(Table1[[#This Row],[Order Date]],"mm")</f>
        <v>11</v>
      </c>
      <c r="T854" s="4" t="str">
        <f>IF(Table1[[#This Row],[Sales]]&lt;0,"loss","profit")</f>
        <v>profit</v>
      </c>
      <c r="U854" s="4" t="str" cm="1">
        <f t="array" ref="U854">_xlfn.IFS(Table1[[#This Row],[Sales]]&gt;2000,"large",Table1[[#This Row],[Sales]]&gt;=500,"medium",Table1[[#This Row],[Sales]]&lt;500,"small")</f>
        <v>small</v>
      </c>
      <c r="V854" s="22">
        <f>Table1[[#This Row],[Profit]]/Table1[[#This Row],[Sales]]*100</f>
        <v>42.4845041322314</v>
      </c>
    </row>
    <row r="855" spans="1:22" x14ac:dyDescent="0.35">
      <c r="A855" s="4" t="s">
        <v>1277</v>
      </c>
      <c r="B855" s="5">
        <v>45969</v>
      </c>
      <c r="C855" s="4" t="s">
        <v>1267</v>
      </c>
      <c r="D855" s="4" t="s">
        <v>43</v>
      </c>
      <c r="E855" s="4" t="s">
        <v>87</v>
      </c>
      <c r="F855" s="4" t="s">
        <v>124</v>
      </c>
      <c r="G855" s="4" t="s">
        <v>67</v>
      </c>
      <c r="H855" s="4" t="s">
        <v>93</v>
      </c>
      <c r="I855" s="4">
        <v>8</v>
      </c>
      <c r="J855" s="6">
        <v>187.93</v>
      </c>
      <c r="K855" s="7">
        <v>0</v>
      </c>
      <c r="L855" s="6">
        <f t="shared" si="26"/>
        <v>1503.44</v>
      </c>
      <c r="M855" s="6">
        <v>130.68</v>
      </c>
      <c r="N855" s="8">
        <f t="shared" si="27"/>
        <v>458</v>
      </c>
      <c r="O855" s="4" t="s">
        <v>40</v>
      </c>
      <c r="P855" s="4" t="s">
        <v>26</v>
      </c>
      <c r="Q855" s="4">
        <v>3</v>
      </c>
      <c r="R855" s="4" t="str">
        <f>TEXT(Table1[[#This Row],[Order Date]],"mmm")</f>
        <v>Nov</v>
      </c>
      <c r="S855" s="4" t="str">
        <f>TEXT(Table1[[#This Row],[Order Date]],"mm")</f>
        <v>11</v>
      </c>
      <c r="T855" s="4" t="str">
        <f>IF(Table1[[#This Row],[Sales]]&lt;0,"loss","profit")</f>
        <v>profit</v>
      </c>
      <c r="U855" s="4" t="str" cm="1">
        <f t="array" ref="U855">_xlfn.IFS(Table1[[#This Row],[Sales]]&gt;2000,"large",Table1[[#This Row],[Sales]]&gt;=500,"medium",Table1[[#This Row],[Sales]]&lt;500,"small")</f>
        <v>medium</v>
      </c>
      <c r="V855" s="22">
        <f>Table1[[#This Row],[Profit]]/Table1[[#This Row],[Sales]]*100</f>
        <v>30.463470441121693</v>
      </c>
    </row>
    <row r="856" spans="1:22" x14ac:dyDescent="0.35">
      <c r="A856" s="4" t="s">
        <v>1278</v>
      </c>
      <c r="B856" s="5">
        <v>45969</v>
      </c>
      <c r="C856" s="4" t="s">
        <v>35</v>
      </c>
      <c r="D856" s="4" t="s">
        <v>47</v>
      </c>
      <c r="E856" s="4" t="s">
        <v>29</v>
      </c>
      <c r="F856" s="4" t="s">
        <v>54</v>
      </c>
      <c r="G856" s="4" t="s">
        <v>67</v>
      </c>
      <c r="H856" s="4" t="s">
        <v>93</v>
      </c>
      <c r="I856" s="4">
        <v>2</v>
      </c>
      <c r="J856" s="6">
        <v>198.83</v>
      </c>
      <c r="K856" s="7">
        <v>0</v>
      </c>
      <c r="L856" s="6">
        <f t="shared" si="26"/>
        <v>397.66</v>
      </c>
      <c r="M856" s="6">
        <v>130.63</v>
      </c>
      <c r="N856" s="8">
        <f t="shared" si="27"/>
        <v>136.40000000000003</v>
      </c>
      <c r="O856" s="4" t="s">
        <v>60</v>
      </c>
      <c r="P856" s="4" t="s">
        <v>33</v>
      </c>
      <c r="Q856" s="4">
        <v>5</v>
      </c>
      <c r="R856" s="4" t="str">
        <f>TEXT(Table1[[#This Row],[Order Date]],"mmm")</f>
        <v>Nov</v>
      </c>
      <c r="S856" s="4" t="str">
        <f>TEXT(Table1[[#This Row],[Order Date]],"mm")</f>
        <v>11</v>
      </c>
      <c r="T856" s="4" t="str">
        <f>IF(Table1[[#This Row],[Sales]]&lt;0,"loss","profit")</f>
        <v>profit</v>
      </c>
      <c r="U856" s="4" t="str" cm="1">
        <f t="array" ref="U856">_xlfn.IFS(Table1[[#This Row],[Sales]]&gt;2000,"large",Table1[[#This Row],[Sales]]&gt;=500,"medium",Table1[[#This Row],[Sales]]&lt;500,"small")</f>
        <v>small</v>
      </c>
      <c r="V856" s="22">
        <f>Table1[[#This Row],[Profit]]/Table1[[#This Row],[Sales]]*100</f>
        <v>34.300658854297652</v>
      </c>
    </row>
    <row r="857" spans="1:22" x14ac:dyDescent="0.35">
      <c r="A857" s="4" t="s">
        <v>1279</v>
      </c>
      <c r="B857" s="5">
        <v>45970</v>
      </c>
      <c r="C857" s="4" t="s">
        <v>174</v>
      </c>
      <c r="D857" s="4" t="s">
        <v>20</v>
      </c>
      <c r="E857" s="4" t="s">
        <v>21</v>
      </c>
      <c r="F857" s="4" t="s">
        <v>59</v>
      </c>
      <c r="G857" s="4" t="s">
        <v>38</v>
      </c>
      <c r="H857" s="4" t="s">
        <v>89</v>
      </c>
      <c r="I857" s="4">
        <v>2</v>
      </c>
      <c r="J857" s="6">
        <v>1053.3</v>
      </c>
      <c r="K857" s="7">
        <v>0</v>
      </c>
      <c r="L857" s="6">
        <f t="shared" si="26"/>
        <v>2106.6</v>
      </c>
      <c r="M857" s="6">
        <v>895.67</v>
      </c>
      <c r="N857" s="8">
        <f t="shared" si="27"/>
        <v>315.26</v>
      </c>
      <c r="O857" s="4" t="s">
        <v>51</v>
      </c>
      <c r="P857" s="4" t="s">
        <v>72</v>
      </c>
      <c r="Q857" s="4">
        <v>4</v>
      </c>
      <c r="R857" s="4" t="str">
        <f>TEXT(Table1[[#This Row],[Order Date]],"mmm")</f>
        <v>Nov</v>
      </c>
      <c r="S857" s="4" t="str">
        <f>TEXT(Table1[[#This Row],[Order Date]],"mm")</f>
        <v>11</v>
      </c>
      <c r="T857" s="4" t="str">
        <f>IF(Table1[[#This Row],[Sales]]&lt;0,"loss","profit")</f>
        <v>profit</v>
      </c>
      <c r="U857" s="4" t="str" cm="1">
        <f t="array" ref="U857">_xlfn.IFS(Table1[[#This Row],[Sales]]&gt;2000,"large",Table1[[#This Row],[Sales]]&gt;=500,"medium",Table1[[#This Row],[Sales]]&lt;500,"small")</f>
        <v>large</v>
      </c>
      <c r="V857" s="22">
        <f>Table1[[#This Row],[Profit]]/Table1[[#This Row],[Sales]]*100</f>
        <v>14.965347004652047</v>
      </c>
    </row>
    <row r="858" spans="1:22" x14ac:dyDescent="0.35">
      <c r="A858" s="4" t="s">
        <v>1280</v>
      </c>
      <c r="B858" s="5">
        <v>45970</v>
      </c>
      <c r="C858" s="4" t="s">
        <v>493</v>
      </c>
      <c r="D858" s="4" t="s">
        <v>43</v>
      </c>
      <c r="E858" s="4" t="s">
        <v>29</v>
      </c>
      <c r="F858" s="4" t="s">
        <v>108</v>
      </c>
      <c r="G858" s="4" t="s">
        <v>38</v>
      </c>
      <c r="H858" s="4" t="s">
        <v>109</v>
      </c>
      <c r="I858" s="4">
        <v>4</v>
      </c>
      <c r="J858" s="6">
        <v>519.66</v>
      </c>
      <c r="K858" s="7">
        <v>0</v>
      </c>
      <c r="L858" s="6">
        <f t="shared" si="26"/>
        <v>2078.64</v>
      </c>
      <c r="M858" s="6">
        <v>403.72</v>
      </c>
      <c r="N858" s="8">
        <f t="shared" si="27"/>
        <v>463.75999999999976</v>
      </c>
      <c r="O858" s="4" t="s">
        <v>25</v>
      </c>
      <c r="P858" s="4" t="s">
        <v>72</v>
      </c>
      <c r="Q858" s="4">
        <v>2</v>
      </c>
      <c r="R858" s="4" t="str">
        <f>TEXT(Table1[[#This Row],[Order Date]],"mmm")</f>
        <v>Nov</v>
      </c>
      <c r="S858" s="4" t="str">
        <f>TEXT(Table1[[#This Row],[Order Date]],"mm")</f>
        <v>11</v>
      </c>
      <c r="T858" s="4" t="str">
        <f>IF(Table1[[#This Row],[Sales]]&lt;0,"loss","profit")</f>
        <v>profit</v>
      </c>
      <c r="U858" s="4" t="str" cm="1">
        <f t="array" ref="U858">_xlfn.IFS(Table1[[#This Row],[Sales]]&gt;2000,"large",Table1[[#This Row],[Sales]]&gt;=500,"medium",Table1[[#This Row],[Sales]]&lt;500,"small")</f>
        <v>large</v>
      </c>
      <c r="V858" s="22">
        <f>Table1[[#This Row],[Profit]]/Table1[[#This Row],[Sales]]*100</f>
        <v>22.310741638763798</v>
      </c>
    </row>
    <row r="859" spans="1:22" x14ac:dyDescent="0.35">
      <c r="A859" s="4" t="s">
        <v>1281</v>
      </c>
      <c r="B859" s="5">
        <v>45970</v>
      </c>
      <c r="C859" s="4" t="s">
        <v>493</v>
      </c>
      <c r="D859" s="4" t="s">
        <v>43</v>
      </c>
      <c r="E859" s="4" t="s">
        <v>21</v>
      </c>
      <c r="F859" s="4" t="s">
        <v>22</v>
      </c>
      <c r="G859" s="4" t="s">
        <v>38</v>
      </c>
      <c r="H859" s="4" t="s">
        <v>109</v>
      </c>
      <c r="I859" s="4">
        <v>4</v>
      </c>
      <c r="J859" s="6">
        <v>523.99</v>
      </c>
      <c r="K859" s="7">
        <v>0.05</v>
      </c>
      <c r="L859" s="6">
        <f t="shared" si="26"/>
        <v>1991.162</v>
      </c>
      <c r="M859" s="6">
        <v>450.92</v>
      </c>
      <c r="N859" s="8">
        <f t="shared" si="27"/>
        <v>187.48199999999997</v>
      </c>
      <c r="O859" s="4" t="s">
        <v>25</v>
      </c>
      <c r="P859" s="4" t="s">
        <v>33</v>
      </c>
      <c r="Q859" s="4">
        <v>5</v>
      </c>
      <c r="R859" s="4" t="str">
        <f>TEXT(Table1[[#This Row],[Order Date]],"mmm")</f>
        <v>Nov</v>
      </c>
      <c r="S859" s="4" t="str">
        <f>TEXT(Table1[[#This Row],[Order Date]],"mm")</f>
        <v>11</v>
      </c>
      <c r="T859" s="4" t="str">
        <f>IF(Table1[[#This Row],[Sales]]&lt;0,"loss","profit")</f>
        <v>profit</v>
      </c>
      <c r="U859" s="4" t="str" cm="1">
        <f t="array" ref="U859">_xlfn.IFS(Table1[[#This Row],[Sales]]&gt;2000,"large",Table1[[#This Row],[Sales]]&gt;=500,"medium",Table1[[#This Row],[Sales]]&lt;500,"small")</f>
        <v>medium</v>
      </c>
      <c r="V859" s="22">
        <f>Table1[[#This Row],[Profit]]/Table1[[#This Row],[Sales]]*100</f>
        <v>9.4157080137125941</v>
      </c>
    </row>
    <row r="860" spans="1:22" x14ac:dyDescent="0.35">
      <c r="A860" s="4" t="s">
        <v>1282</v>
      </c>
      <c r="B860" s="5">
        <v>45971</v>
      </c>
      <c r="C860" s="4" t="s">
        <v>1283</v>
      </c>
      <c r="D860" s="4" t="s">
        <v>47</v>
      </c>
      <c r="E860" s="4" t="s">
        <v>87</v>
      </c>
      <c r="F860" s="4" t="s">
        <v>88</v>
      </c>
      <c r="G860" s="4" t="s">
        <v>31</v>
      </c>
      <c r="H860" s="4" t="s">
        <v>32</v>
      </c>
      <c r="I860" s="4">
        <v>1</v>
      </c>
      <c r="J860" s="6">
        <v>139.07</v>
      </c>
      <c r="K860" s="7">
        <v>0.15</v>
      </c>
      <c r="L860" s="6">
        <f t="shared" si="26"/>
        <v>118.20949999999999</v>
      </c>
      <c r="M860" s="6">
        <v>104.23</v>
      </c>
      <c r="N860" s="8">
        <f t="shared" si="27"/>
        <v>13.979499999999987</v>
      </c>
      <c r="O860" s="4" t="s">
        <v>84</v>
      </c>
      <c r="P860" s="4" t="s">
        <v>26</v>
      </c>
      <c r="Q860" s="4">
        <v>5</v>
      </c>
      <c r="R860" s="4" t="str">
        <f>TEXT(Table1[[#This Row],[Order Date]],"mmm")</f>
        <v>Nov</v>
      </c>
      <c r="S860" s="4" t="str">
        <f>TEXT(Table1[[#This Row],[Order Date]],"mm")</f>
        <v>11</v>
      </c>
      <c r="T860" s="4" t="str">
        <f>IF(Table1[[#This Row],[Sales]]&lt;0,"loss","profit")</f>
        <v>profit</v>
      </c>
      <c r="U860" s="4" t="str" cm="1">
        <f t="array" ref="U860">_xlfn.IFS(Table1[[#This Row],[Sales]]&gt;2000,"large",Table1[[#This Row],[Sales]]&gt;=500,"medium",Table1[[#This Row],[Sales]]&lt;500,"small")</f>
        <v>small</v>
      </c>
      <c r="V860" s="22">
        <f>Table1[[#This Row],[Profit]]/Table1[[#This Row],[Sales]]*100</f>
        <v>11.826037670407191</v>
      </c>
    </row>
    <row r="861" spans="1:22" x14ac:dyDescent="0.35">
      <c r="A861" s="4" t="s">
        <v>1284</v>
      </c>
      <c r="B861" s="5">
        <v>45971</v>
      </c>
      <c r="C861" s="4" t="s">
        <v>296</v>
      </c>
      <c r="D861" s="4" t="s">
        <v>47</v>
      </c>
      <c r="E861" s="4" t="s">
        <v>29</v>
      </c>
      <c r="F861" s="4" t="s">
        <v>108</v>
      </c>
      <c r="G861" s="4" t="s">
        <v>67</v>
      </c>
      <c r="H861" s="4" t="s">
        <v>121</v>
      </c>
      <c r="I861" s="4">
        <v>2</v>
      </c>
      <c r="J861" s="6">
        <v>130.68</v>
      </c>
      <c r="K861" s="7">
        <v>0</v>
      </c>
      <c r="L861" s="6">
        <f t="shared" si="26"/>
        <v>261.36</v>
      </c>
      <c r="M861" s="6">
        <v>83.45</v>
      </c>
      <c r="N861" s="8">
        <f t="shared" si="27"/>
        <v>94.460000000000008</v>
      </c>
      <c r="O861" s="4" t="s">
        <v>84</v>
      </c>
      <c r="P861" s="4" t="s">
        <v>97</v>
      </c>
      <c r="Q861" s="4">
        <v>4</v>
      </c>
      <c r="R861" s="4" t="str">
        <f>TEXT(Table1[[#This Row],[Order Date]],"mmm")</f>
        <v>Nov</v>
      </c>
      <c r="S861" s="4" t="str">
        <f>TEXT(Table1[[#This Row],[Order Date]],"mm")</f>
        <v>11</v>
      </c>
      <c r="T861" s="4" t="str">
        <f>IF(Table1[[#This Row],[Sales]]&lt;0,"loss","profit")</f>
        <v>profit</v>
      </c>
      <c r="U861" s="4" t="str" cm="1">
        <f t="array" ref="U861">_xlfn.IFS(Table1[[#This Row],[Sales]]&gt;2000,"large",Table1[[#This Row],[Sales]]&gt;=500,"medium",Table1[[#This Row],[Sales]]&lt;500,"small")</f>
        <v>small</v>
      </c>
      <c r="V861" s="22">
        <f>Table1[[#This Row],[Profit]]/Table1[[#This Row],[Sales]]*100</f>
        <v>36.141720232629325</v>
      </c>
    </row>
    <row r="862" spans="1:22" x14ac:dyDescent="0.35">
      <c r="A862" s="4" t="s">
        <v>1285</v>
      </c>
      <c r="B862" s="5">
        <v>45973</v>
      </c>
      <c r="C862" s="4" t="s">
        <v>1065</v>
      </c>
      <c r="D862" s="4" t="s">
        <v>47</v>
      </c>
      <c r="E862" s="4" t="s">
        <v>36</v>
      </c>
      <c r="F862" s="4" t="s">
        <v>37</v>
      </c>
      <c r="G862" s="4" t="s">
        <v>67</v>
      </c>
      <c r="H862" s="4" t="s">
        <v>68</v>
      </c>
      <c r="I862" s="4">
        <v>1</v>
      </c>
      <c r="J862" s="6">
        <v>619.49</v>
      </c>
      <c r="K862" s="7">
        <v>0.1</v>
      </c>
      <c r="L862" s="6">
        <f t="shared" si="26"/>
        <v>557.54100000000005</v>
      </c>
      <c r="M862" s="6">
        <v>391.69</v>
      </c>
      <c r="N862" s="8">
        <f t="shared" si="27"/>
        <v>165.85100000000006</v>
      </c>
      <c r="O862" s="4" t="s">
        <v>25</v>
      </c>
      <c r="P862" s="4" t="s">
        <v>61</v>
      </c>
      <c r="Q862" s="4">
        <v>5</v>
      </c>
      <c r="R862" s="4" t="str">
        <f>TEXT(Table1[[#This Row],[Order Date]],"mmm")</f>
        <v>Nov</v>
      </c>
      <c r="S862" s="4" t="str">
        <f>TEXT(Table1[[#This Row],[Order Date]],"mm")</f>
        <v>11</v>
      </c>
      <c r="T862" s="4" t="str">
        <f>IF(Table1[[#This Row],[Sales]]&lt;0,"loss","profit")</f>
        <v>profit</v>
      </c>
      <c r="U862" s="4" t="str" cm="1">
        <f t="array" ref="U862">_xlfn.IFS(Table1[[#This Row],[Sales]]&gt;2000,"large",Table1[[#This Row],[Sales]]&gt;=500,"medium",Table1[[#This Row],[Sales]]&lt;500,"small")</f>
        <v>medium</v>
      </c>
      <c r="V862" s="22">
        <f>Table1[[#This Row],[Profit]]/Table1[[#This Row],[Sales]]*100</f>
        <v>29.746870633729184</v>
      </c>
    </row>
    <row r="863" spans="1:22" x14ac:dyDescent="0.35">
      <c r="A863" s="4" t="s">
        <v>1286</v>
      </c>
      <c r="B863" s="5">
        <v>45973</v>
      </c>
      <c r="C863" s="4" t="s">
        <v>670</v>
      </c>
      <c r="D863" s="4" t="s">
        <v>47</v>
      </c>
      <c r="E863" s="4" t="s">
        <v>21</v>
      </c>
      <c r="F863" s="4" t="s">
        <v>59</v>
      </c>
      <c r="G863" s="4" t="s">
        <v>23</v>
      </c>
      <c r="H863" s="4" t="s">
        <v>44</v>
      </c>
      <c r="I863" s="4">
        <v>6</v>
      </c>
      <c r="J863" s="6">
        <v>123.41</v>
      </c>
      <c r="K863" s="7">
        <v>0.1</v>
      </c>
      <c r="L863" s="6">
        <f t="shared" si="26"/>
        <v>666.4140000000001</v>
      </c>
      <c r="M863" s="6">
        <v>72.489999999999995</v>
      </c>
      <c r="N863" s="8">
        <f t="shared" si="27"/>
        <v>231.47400000000016</v>
      </c>
      <c r="O863" s="4" t="s">
        <v>25</v>
      </c>
      <c r="P863" s="4" t="s">
        <v>26</v>
      </c>
      <c r="Q863" s="4">
        <v>5</v>
      </c>
      <c r="R863" s="4" t="str">
        <f>TEXT(Table1[[#This Row],[Order Date]],"mmm")</f>
        <v>Nov</v>
      </c>
      <c r="S863" s="4" t="str">
        <f>TEXT(Table1[[#This Row],[Order Date]],"mm")</f>
        <v>11</v>
      </c>
      <c r="T863" s="4" t="str">
        <f>IF(Table1[[#This Row],[Sales]]&lt;0,"loss","profit")</f>
        <v>profit</v>
      </c>
      <c r="U863" s="4" t="str" cm="1">
        <f t="array" ref="U863">_xlfn.IFS(Table1[[#This Row],[Sales]]&gt;2000,"large",Table1[[#This Row],[Sales]]&gt;=500,"medium",Table1[[#This Row],[Sales]]&lt;500,"small")</f>
        <v>medium</v>
      </c>
      <c r="V863" s="22">
        <f>Table1[[#This Row],[Profit]]/Table1[[#This Row],[Sales]]*100</f>
        <v>34.734264286164475</v>
      </c>
    </row>
    <row r="864" spans="1:22" x14ac:dyDescent="0.35">
      <c r="A864" s="4" t="s">
        <v>1287</v>
      </c>
      <c r="B864" s="5">
        <v>45974</v>
      </c>
      <c r="C864" s="4" t="s">
        <v>640</v>
      </c>
      <c r="D864" s="4" t="s">
        <v>47</v>
      </c>
      <c r="E864" s="4" t="s">
        <v>87</v>
      </c>
      <c r="F864" s="4" t="s">
        <v>92</v>
      </c>
      <c r="G864" s="4" t="s">
        <v>67</v>
      </c>
      <c r="H864" s="4" t="s">
        <v>68</v>
      </c>
      <c r="I864" s="4">
        <v>2</v>
      </c>
      <c r="J864" s="6">
        <v>492.4</v>
      </c>
      <c r="K864" s="7">
        <v>0.2</v>
      </c>
      <c r="L864" s="6">
        <f t="shared" si="26"/>
        <v>787.84</v>
      </c>
      <c r="M864" s="6">
        <v>338.79</v>
      </c>
      <c r="N864" s="8">
        <f t="shared" si="27"/>
        <v>110.25999999999999</v>
      </c>
      <c r="O864" s="4" t="s">
        <v>40</v>
      </c>
      <c r="P864" s="4" t="s">
        <v>118</v>
      </c>
      <c r="Q864" s="4">
        <v>4</v>
      </c>
      <c r="R864" s="4" t="str">
        <f>TEXT(Table1[[#This Row],[Order Date]],"mmm")</f>
        <v>Nov</v>
      </c>
      <c r="S864" s="4" t="str">
        <f>TEXT(Table1[[#This Row],[Order Date]],"mm")</f>
        <v>11</v>
      </c>
      <c r="T864" s="4" t="str">
        <f>IF(Table1[[#This Row],[Sales]]&lt;0,"loss","profit")</f>
        <v>profit</v>
      </c>
      <c r="U864" s="4" t="str" cm="1">
        <f t="array" ref="U864">_xlfn.IFS(Table1[[#This Row],[Sales]]&gt;2000,"large",Table1[[#This Row],[Sales]]&gt;=500,"medium",Table1[[#This Row],[Sales]]&lt;500,"small")</f>
        <v>medium</v>
      </c>
      <c r="V864" s="22">
        <f>Table1[[#This Row],[Profit]]/Table1[[#This Row],[Sales]]*100</f>
        <v>13.995227457351744</v>
      </c>
    </row>
    <row r="865" spans="1:22" x14ac:dyDescent="0.35">
      <c r="A865" s="4" t="s">
        <v>1288</v>
      </c>
      <c r="B865" s="5">
        <v>45974</v>
      </c>
      <c r="C865" s="4" t="s">
        <v>411</v>
      </c>
      <c r="D865" s="4" t="s">
        <v>20</v>
      </c>
      <c r="E865" s="4" t="s">
        <v>36</v>
      </c>
      <c r="F865" s="4" t="s">
        <v>37</v>
      </c>
      <c r="G865" s="4" t="s">
        <v>38</v>
      </c>
      <c r="H865" s="4" t="s">
        <v>55</v>
      </c>
      <c r="I865" s="4">
        <v>6</v>
      </c>
      <c r="J865" s="6">
        <v>118.68</v>
      </c>
      <c r="K865" s="7">
        <v>0.1</v>
      </c>
      <c r="L865" s="6">
        <f t="shared" si="26"/>
        <v>640.87200000000007</v>
      </c>
      <c r="M865" s="6">
        <v>90.59</v>
      </c>
      <c r="N865" s="8">
        <f t="shared" si="27"/>
        <v>97.332000000000107</v>
      </c>
      <c r="O865" s="4" t="s">
        <v>25</v>
      </c>
      <c r="P865" s="4" t="s">
        <v>26</v>
      </c>
      <c r="Q865" s="4">
        <v>4</v>
      </c>
      <c r="R865" s="4" t="str">
        <f>TEXT(Table1[[#This Row],[Order Date]],"mmm")</f>
        <v>Nov</v>
      </c>
      <c r="S865" s="4" t="str">
        <f>TEXT(Table1[[#This Row],[Order Date]],"mm")</f>
        <v>11</v>
      </c>
      <c r="T865" s="4" t="str">
        <f>IF(Table1[[#This Row],[Sales]]&lt;0,"loss","profit")</f>
        <v>profit</v>
      </c>
      <c r="U865" s="4" t="str" cm="1">
        <f t="array" ref="U865">_xlfn.IFS(Table1[[#This Row],[Sales]]&gt;2000,"large",Table1[[#This Row],[Sales]]&gt;=500,"medium",Table1[[#This Row],[Sales]]&lt;500,"small")</f>
        <v>medium</v>
      </c>
      <c r="V865" s="22">
        <f>Table1[[#This Row],[Profit]]/Table1[[#This Row],[Sales]]*100</f>
        <v>15.187432123731432</v>
      </c>
    </row>
    <row r="866" spans="1:22" x14ac:dyDescent="0.35">
      <c r="A866" s="4" t="s">
        <v>1289</v>
      </c>
      <c r="B866" s="5">
        <v>45975</v>
      </c>
      <c r="C866" s="4" t="s">
        <v>172</v>
      </c>
      <c r="D866" s="4" t="s">
        <v>43</v>
      </c>
      <c r="E866" s="4" t="s">
        <v>21</v>
      </c>
      <c r="F866" s="4" t="s">
        <v>59</v>
      </c>
      <c r="G866" s="4" t="s">
        <v>49</v>
      </c>
      <c r="H866" s="4" t="s">
        <v>78</v>
      </c>
      <c r="I866" s="4">
        <v>6</v>
      </c>
      <c r="J866" s="6">
        <v>328.21</v>
      </c>
      <c r="K866" s="7">
        <v>0.2</v>
      </c>
      <c r="L866" s="6">
        <f t="shared" si="26"/>
        <v>1575.4079999999999</v>
      </c>
      <c r="M866" s="6">
        <v>242.4</v>
      </c>
      <c r="N866" s="8">
        <f t="shared" si="27"/>
        <v>121.00799999999981</v>
      </c>
      <c r="O866" s="4" t="s">
        <v>40</v>
      </c>
      <c r="P866" s="4" t="s">
        <v>61</v>
      </c>
      <c r="Q866" s="4">
        <v>4</v>
      </c>
      <c r="R866" s="4" t="str">
        <f>TEXT(Table1[[#This Row],[Order Date]],"mmm")</f>
        <v>Nov</v>
      </c>
      <c r="S866" s="4" t="str">
        <f>TEXT(Table1[[#This Row],[Order Date]],"mm")</f>
        <v>11</v>
      </c>
      <c r="T866" s="4" t="str">
        <f>IF(Table1[[#This Row],[Sales]]&lt;0,"loss","profit")</f>
        <v>profit</v>
      </c>
      <c r="U866" s="4" t="str" cm="1">
        <f t="array" ref="U866">_xlfn.IFS(Table1[[#This Row],[Sales]]&gt;2000,"large",Table1[[#This Row],[Sales]]&gt;=500,"medium",Table1[[#This Row],[Sales]]&lt;500,"small")</f>
        <v>medium</v>
      </c>
      <c r="V866" s="22">
        <f>Table1[[#This Row],[Profit]]/Table1[[#This Row],[Sales]]*100</f>
        <v>7.6810578592973897</v>
      </c>
    </row>
    <row r="867" spans="1:22" x14ac:dyDescent="0.35">
      <c r="A867" s="4" t="s">
        <v>1290</v>
      </c>
      <c r="B867" s="5">
        <v>45975</v>
      </c>
      <c r="C867" s="4" t="s">
        <v>478</v>
      </c>
      <c r="D867" s="4" t="s">
        <v>47</v>
      </c>
      <c r="E867" s="4" t="s">
        <v>87</v>
      </c>
      <c r="F867" s="4" t="s">
        <v>124</v>
      </c>
      <c r="G867" s="4" t="s">
        <v>49</v>
      </c>
      <c r="H867" s="4" t="s">
        <v>50</v>
      </c>
      <c r="I867" s="4">
        <v>4</v>
      </c>
      <c r="J867" s="6">
        <v>13.45</v>
      </c>
      <c r="K867" s="7">
        <v>0.15</v>
      </c>
      <c r="L867" s="6">
        <f t="shared" si="26"/>
        <v>45.73</v>
      </c>
      <c r="M867" s="6">
        <v>10.01</v>
      </c>
      <c r="N867" s="8">
        <f t="shared" si="27"/>
        <v>5.6899999999999977</v>
      </c>
      <c r="O867" s="4" t="s">
        <v>40</v>
      </c>
      <c r="P867" s="4" t="s">
        <v>56</v>
      </c>
      <c r="Q867" s="4">
        <v>2</v>
      </c>
      <c r="R867" s="4" t="str">
        <f>TEXT(Table1[[#This Row],[Order Date]],"mmm")</f>
        <v>Nov</v>
      </c>
      <c r="S867" s="4" t="str">
        <f>TEXT(Table1[[#This Row],[Order Date]],"mm")</f>
        <v>11</v>
      </c>
      <c r="T867" s="4" t="str">
        <f>IF(Table1[[#This Row],[Sales]]&lt;0,"loss","profit")</f>
        <v>profit</v>
      </c>
      <c r="U867" s="4" t="str" cm="1">
        <f t="array" ref="U867">_xlfn.IFS(Table1[[#This Row],[Sales]]&gt;2000,"large",Table1[[#This Row],[Sales]]&gt;=500,"medium",Table1[[#This Row],[Sales]]&lt;500,"small")</f>
        <v>small</v>
      </c>
      <c r="V867" s="22">
        <f>Table1[[#This Row],[Profit]]/Table1[[#This Row],[Sales]]*100</f>
        <v>12.442597856986657</v>
      </c>
    </row>
    <row r="868" spans="1:22" x14ac:dyDescent="0.35">
      <c r="A868" s="4" t="s">
        <v>1291</v>
      </c>
      <c r="B868" s="5">
        <v>45975</v>
      </c>
      <c r="C868" s="4" t="s">
        <v>655</v>
      </c>
      <c r="D868" s="4" t="s">
        <v>20</v>
      </c>
      <c r="E868" s="4" t="s">
        <v>36</v>
      </c>
      <c r="F868" s="4" t="s">
        <v>48</v>
      </c>
      <c r="G868" s="4" t="s">
        <v>23</v>
      </c>
      <c r="H868" s="4" t="s">
        <v>135</v>
      </c>
      <c r="I868" s="4">
        <v>3</v>
      </c>
      <c r="J868" s="6">
        <v>16.48</v>
      </c>
      <c r="K868" s="7">
        <v>0.1</v>
      </c>
      <c r="L868" s="6">
        <f t="shared" si="26"/>
        <v>44.496000000000002</v>
      </c>
      <c r="M868" s="6">
        <v>7.18</v>
      </c>
      <c r="N868" s="8">
        <f t="shared" si="27"/>
        <v>22.956000000000003</v>
      </c>
      <c r="O868" s="4" t="s">
        <v>25</v>
      </c>
      <c r="P868" s="4" t="s">
        <v>61</v>
      </c>
      <c r="Q868" s="4">
        <v>5</v>
      </c>
      <c r="R868" s="4" t="str">
        <f>TEXT(Table1[[#This Row],[Order Date]],"mmm")</f>
        <v>Nov</v>
      </c>
      <c r="S868" s="4" t="str">
        <f>TEXT(Table1[[#This Row],[Order Date]],"mm")</f>
        <v>11</v>
      </c>
      <c r="T868" s="4" t="str">
        <f>IF(Table1[[#This Row],[Sales]]&lt;0,"loss","profit")</f>
        <v>profit</v>
      </c>
      <c r="U868" s="4" t="str" cm="1">
        <f t="array" ref="U868">_xlfn.IFS(Table1[[#This Row],[Sales]]&gt;2000,"large",Table1[[#This Row],[Sales]]&gt;=500,"medium",Table1[[#This Row],[Sales]]&lt;500,"small")</f>
        <v>small</v>
      </c>
      <c r="V868" s="22">
        <f>Table1[[#This Row],[Profit]]/Table1[[#This Row],[Sales]]*100</f>
        <v>51.591154261057184</v>
      </c>
    </row>
    <row r="869" spans="1:22" x14ac:dyDescent="0.35">
      <c r="A869" s="4" t="s">
        <v>1292</v>
      </c>
      <c r="B869" s="5">
        <v>45975</v>
      </c>
      <c r="C869" s="4" t="s">
        <v>1293</v>
      </c>
      <c r="D869" s="4" t="s">
        <v>47</v>
      </c>
      <c r="E869" s="4" t="s">
        <v>29</v>
      </c>
      <c r="F869" s="4" t="s">
        <v>30</v>
      </c>
      <c r="G869" s="4" t="s">
        <v>23</v>
      </c>
      <c r="H869" s="4" t="s">
        <v>71</v>
      </c>
      <c r="I869" s="4">
        <v>5</v>
      </c>
      <c r="J869" s="6">
        <v>135.36000000000001</v>
      </c>
      <c r="K869" s="7">
        <v>0.1</v>
      </c>
      <c r="L869" s="6">
        <f t="shared" si="26"/>
        <v>609.12000000000012</v>
      </c>
      <c r="M869" s="6">
        <v>56.16</v>
      </c>
      <c r="N869" s="8">
        <f t="shared" si="27"/>
        <v>328.32000000000016</v>
      </c>
      <c r="O869" s="4" t="s">
        <v>51</v>
      </c>
      <c r="P869" s="4" t="s">
        <v>61</v>
      </c>
      <c r="Q869" s="4">
        <v>5</v>
      </c>
      <c r="R869" s="4" t="str">
        <f>TEXT(Table1[[#This Row],[Order Date]],"mmm")</f>
        <v>Nov</v>
      </c>
      <c r="S869" s="4" t="str">
        <f>TEXT(Table1[[#This Row],[Order Date]],"mm")</f>
        <v>11</v>
      </c>
      <c r="T869" s="4" t="str">
        <f>IF(Table1[[#This Row],[Sales]]&lt;0,"loss","profit")</f>
        <v>profit</v>
      </c>
      <c r="U869" s="4" t="str" cm="1">
        <f t="array" ref="U869">_xlfn.IFS(Table1[[#This Row],[Sales]]&gt;2000,"large",Table1[[#This Row],[Sales]]&gt;=500,"medium",Table1[[#This Row],[Sales]]&lt;500,"small")</f>
        <v>medium</v>
      </c>
      <c r="V869" s="22">
        <f>Table1[[#This Row],[Profit]]/Table1[[#This Row],[Sales]]*100</f>
        <v>53.900709219858165</v>
      </c>
    </row>
    <row r="870" spans="1:22" x14ac:dyDescent="0.35">
      <c r="A870" s="4" t="s">
        <v>1294</v>
      </c>
      <c r="B870" s="5">
        <v>45976</v>
      </c>
      <c r="C870" s="4" t="s">
        <v>1019</v>
      </c>
      <c r="D870" s="4" t="s">
        <v>43</v>
      </c>
      <c r="E870" s="4" t="s">
        <v>29</v>
      </c>
      <c r="F870" s="4" t="s">
        <v>54</v>
      </c>
      <c r="G870" s="4" t="s">
        <v>38</v>
      </c>
      <c r="H870" s="4" t="s">
        <v>96</v>
      </c>
      <c r="I870" s="4">
        <v>3</v>
      </c>
      <c r="J870" s="6">
        <v>174.48</v>
      </c>
      <c r="K870" s="7">
        <v>0.15</v>
      </c>
      <c r="L870" s="6">
        <f t="shared" si="26"/>
        <v>444.92399999999992</v>
      </c>
      <c r="M870" s="6">
        <v>141.11000000000001</v>
      </c>
      <c r="N870" s="8">
        <f t="shared" si="27"/>
        <v>21.59399999999988</v>
      </c>
      <c r="O870" s="4" t="s">
        <v>25</v>
      </c>
      <c r="P870" s="4" t="s">
        <v>118</v>
      </c>
      <c r="Q870" s="4">
        <v>2</v>
      </c>
      <c r="R870" s="4" t="str">
        <f>TEXT(Table1[[#This Row],[Order Date]],"mmm")</f>
        <v>Nov</v>
      </c>
      <c r="S870" s="4" t="str">
        <f>TEXT(Table1[[#This Row],[Order Date]],"mm")</f>
        <v>11</v>
      </c>
      <c r="T870" s="4" t="str">
        <f>IF(Table1[[#This Row],[Sales]]&lt;0,"loss","profit")</f>
        <v>profit</v>
      </c>
      <c r="U870" s="4" t="str" cm="1">
        <f t="array" ref="U870">_xlfn.IFS(Table1[[#This Row],[Sales]]&gt;2000,"large",Table1[[#This Row],[Sales]]&gt;=500,"medium",Table1[[#This Row],[Sales]]&lt;500,"small")</f>
        <v>small</v>
      </c>
      <c r="V870" s="22">
        <f>Table1[[#This Row],[Profit]]/Table1[[#This Row],[Sales]]*100</f>
        <v>4.8534131671925733</v>
      </c>
    </row>
    <row r="871" spans="1:22" x14ac:dyDescent="0.35">
      <c r="A871" s="4" t="s">
        <v>1295</v>
      </c>
      <c r="B871" s="5">
        <v>45976</v>
      </c>
      <c r="C871" s="4" t="s">
        <v>1296</v>
      </c>
      <c r="D871" s="4" t="s">
        <v>20</v>
      </c>
      <c r="E871" s="4" t="s">
        <v>21</v>
      </c>
      <c r="F871" s="4" t="s">
        <v>22</v>
      </c>
      <c r="G871" s="4" t="s">
        <v>23</v>
      </c>
      <c r="H871" s="4" t="s">
        <v>135</v>
      </c>
      <c r="I871" s="4">
        <v>1</v>
      </c>
      <c r="J871" s="6">
        <v>23.29</v>
      </c>
      <c r="K871" s="7">
        <v>0</v>
      </c>
      <c r="L871" s="6">
        <f t="shared" si="26"/>
        <v>23.29</v>
      </c>
      <c r="M871" s="6">
        <v>12.44</v>
      </c>
      <c r="N871" s="8">
        <f t="shared" si="27"/>
        <v>10.85</v>
      </c>
      <c r="O871" s="4" t="s">
        <v>60</v>
      </c>
      <c r="P871" s="4" t="s">
        <v>61</v>
      </c>
      <c r="Q871" s="4">
        <v>5</v>
      </c>
      <c r="R871" s="4" t="str">
        <f>TEXT(Table1[[#This Row],[Order Date]],"mmm")</f>
        <v>Nov</v>
      </c>
      <c r="S871" s="4" t="str">
        <f>TEXT(Table1[[#This Row],[Order Date]],"mm")</f>
        <v>11</v>
      </c>
      <c r="T871" s="4" t="str">
        <f>IF(Table1[[#This Row],[Sales]]&lt;0,"loss","profit")</f>
        <v>profit</v>
      </c>
      <c r="U871" s="4" t="str" cm="1">
        <f t="array" ref="U871">_xlfn.IFS(Table1[[#This Row],[Sales]]&gt;2000,"large",Table1[[#This Row],[Sales]]&gt;=500,"medium",Table1[[#This Row],[Sales]]&lt;500,"small")</f>
        <v>small</v>
      </c>
      <c r="V871" s="22">
        <f>Table1[[#This Row],[Profit]]/Table1[[#This Row],[Sales]]*100</f>
        <v>46.586517818806357</v>
      </c>
    </row>
    <row r="872" spans="1:22" x14ac:dyDescent="0.35">
      <c r="A872" s="4" t="s">
        <v>1297</v>
      </c>
      <c r="B872" s="5">
        <v>45976</v>
      </c>
      <c r="C872" s="4" t="s">
        <v>63</v>
      </c>
      <c r="D872" s="4" t="s">
        <v>20</v>
      </c>
      <c r="E872" s="4" t="s">
        <v>87</v>
      </c>
      <c r="F872" s="4" t="s">
        <v>92</v>
      </c>
      <c r="G872" s="4" t="s">
        <v>38</v>
      </c>
      <c r="H872" s="4" t="s">
        <v>55</v>
      </c>
      <c r="I872" s="4">
        <v>5</v>
      </c>
      <c r="J872" s="6">
        <v>154.29</v>
      </c>
      <c r="K872" s="7">
        <v>0.1</v>
      </c>
      <c r="L872" s="6">
        <f t="shared" si="26"/>
        <v>694.30499999999995</v>
      </c>
      <c r="M872" s="6">
        <v>118.56</v>
      </c>
      <c r="N872" s="8">
        <f t="shared" si="27"/>
        <v>101.505</v>
      </c>
      <c r="O872" s="4" t="s">
        <v>84</v>
      </c>
      <c r="P872" s="4" t="s">
        <v>33</v>
      </c>
      <c r="Q872" s="4">
        <v>2</v>
      </c>
      <c r="R872" s="4" t="str">
        <f>TEXT(Table1[[#This Row],[Order Date]],"mmm")</f>
        <v>Nov</v>
      </c>
      <c r="S872" s="4" t="str">
        <f>TEXT(Table1[[#This Row],[Order Date]],"mm")</f>
        <v>11</v>
      </c>
      <c r="T872" s="4" t="str">
        <f>IF(Table1[[#This Row],[Sales]]&lt;0,"loss","profit")</f>
        <v>profit</v>
      </c>
      <c r="U872" s="4" t="str" cm="1">
        <f t="array" ref="U872">_xlfn.IFS(Table1[[#This Row],[Sales]]&gt;2000,"large",Table1[[#This Row],[Sales]]&gt;=500,"medium",Table1[[#This Row],[Sales]]&lt;500,"small")</f>
        <v>medium</v>
      </c>
      <c r="V872" s="22">
        <f>Table1[[#This Row],[Profit]]/Table1[[#This Row],[Sales]]*100</f>
        <v>14.619655626849873</v>
      </c>
    </row>
    <row r="873" spans="1:22" x14ac:dyDescent="0.35">
      <c r="A873" s="4" t="s">
        <v>1298</v>
      </c>
      <c r="B873" s="5">
        <v>45977</v>
      </c>
      <c r="C873" s="4" t="s">
        <v>215</v>
      </c>
      <c r="D873" s="4" t="s">
        <v>47</v>
      </c>
      <c r="E873" s="4" t="s">
        <v>29</v>
      </c>
      <c r="F873" s="4" t="s">
        <v>54</v>
      </c>
      <c r="G873" s="4" t="s">
        <v>31</v>
      </c>
      <c r="H873" s="4" t="s">
        <v>125</v>
      </c>
      <c r="I873" s="4">
        <v>5</v>
      </c>
      <c r="J873" s="6">
        <v>77.42</v>
      </c>
      <c r="K873" s="7">
        <v>0</v>
      </c>
      <c r="L873" s="6">
        <f t="shared" si="26"/>
        <v>387.1</v>
      </c>
      <c r="M873" s="6">
        <v>49.32</v>
      </c>
      <c r="N873" s="8">
        <f t="shared" si="27"/>
        <v>140.50000000000003</v>
      </c>
      <c r="O873" s="4" t="s">
        <v>25</v>
      </c>
      <c r="P873" s="4" t="s">
        <v>33</v>
      </c>
      <c r="Q873" s="4">
        <v>4</v>
      </c>
      <c r="R873" s="4" t="str">
        <f>TEXT(Table1[[#This Row],[Order Date]],"mmm")</f>
        <v>Nov</v>
      </c>
      <c r="S873" s="4" t="str">
        <f>TEXT(Table1[[#This Row],[Order Date]],"mm")</f>
        <v>11</v>
      </c>
      <c r="T873" s="4" t="str">
        <f>IF(Table1[[#This Row],[Sales]]&lt;0,"loss","profit")</f>
        <v>profit</v>
      </c>
      <c r="U873" s="4" t="str" cm="1">
        <f t="array" ref="U873">_xlfn.IFS(Table1[[#This Row],[Sales]]&gt;2000,"large",Table1[[#This Row],[Sales]]&gt;=500,"medium",Table1[[#This Row],[Sales]]&lt;500,"small")</f>
        <v>small</v>
      </c>
      <c r="V873" s="22">
        <f>Table1[[#This Row],[Profit]]/Table1[[#This Row],[Sales]]*100</f>
        <v>36.29553087057608</v>
      </c>
    </row>
    <row r="874" spans="1:22" x14ac:dyDescent="0.35">
      <c r="A874" s="4" t="s">
        <v>1299</v>
      </c>
      <c r="B874" s="5">
        <v>45978</v>
      </c>
      <c r="C874" s="4" t="s">
        <v>1300</v>
      </c>
      <c r="D874" s="4" t="s">
        <v>43</v>
      </c>
      <c r="E874" s="4" t="s">
        <v>29</v>
      </c>
      <c r="F874" s="4" t="s">
        <v>108</v>
      </c>
      <c r="G874" s="4" t="s">
        <v>67</v>
      </c>
      <c r="H874" s="4" t="s">
        <v>68</v>
      </c>
      <c r="I874" s="4">
        <v>3</v>
      </c>
      <c r="J874" s="6">
        <v>619.64</v>
      </c>
      <c r="K874" s="7">
        <v>0</v>
      </c>
      <c r="L874" s="6">
        <f t="shared" si="26"/>
        <v>1858.92</v>
      </c>
      <c r="M874" s="6">
        <v>450.65</v>
      </c>
      <c r="N874" s="8">
        <f t="shared" si="27"/>
        <v>506.97000000000025</v>
      </c>
      <c r="O874" s="4" t="s">
        <v>84</v>
      </c>
      <c r="P874" s="4" t="s">
        <v>72</v>
      </c>
      <c r="Q874" s="4">
        <v>5</v>
      </c>
      <c r="R874" s="4" t="str">
        <f>TEXT(Table1[[#This Row],[Order Date]],"mmm")</f>
        <v>Nov</v>
      </c>
      <c r="S874" s="4" t="str">
        <f>TEXT(Table1[[#This Row],[Order Date]],"mm")</f>
        <v>11</v>
      </c>
      <c r="T874" s="4" t="str">
        <f>IF(Table1[[#This Row],[Sales]]&lt;0,"loss","profit")</f>
        <v>profit</v>
      </c>
      <c r="U874" s="4" t="str" cm="1">
        <f t="array" ref="U874">_xlfn.IFS(Table1[[#This Row],[Sales]]&gt;2000,"large",Table1[[#This Row],[Sales]]&gt;=500,"medium",Table1[[#This Row],[Sales]]&lt;500,"small")</f>
        <v>medium</v>
      </c>
      <c r="V874" s="22">
        <f>Table1[[#This Row],[Profit]]/Table1[[#This Row],[Sales]]*100</f>
        <v>27.272287134465184</v>
      </c>
    </row>
    <row r="875" spans="1:22" x14ac:dyDescent="0.35">
      <c r="A875" s="4" t="s">
        <v>1301</v>
      </c>
      <c r="B875" s="5">
        <v>45978</v>
      </c>
      <c r="C875" s="4" t="s">
        <v>616</v>
      </c>
      <c r="D875" s="4" t="s">
        <v>43</v>
      </c>
      <c r="E875" s="4" t="s">
        <v>36</v>
      </c>
      <c r="F875" s="4" t="s">
        <v>48</v>
      </c>
      <c r="G875" s="4" t="s">
        <v>23</v>
      </c>
      <c r="H875" s="4" t="s">
        <v>71</v>
      </c>
      <c r="I875" s="4">
        <v>2</v>
      </c>
      <c r="J875" s="6">
        <v>81.3</v>
      </c>
      <c r="K875" s="7">
        <v>0</v>
      </c>
      <c r="L875" s="6">
        <f t="shared" si="26"/>
        <v>162.6</v>
      </c>
      <c r="M875" s="6">
        <v>38.619999999999997</v>
      </c>
      <c r="N875" s="8">
        <f t="shared" si="27"/>
        <v>85.36</v>
      </c>
      <c r="O875" s="4" t="s">
        <v>25</v>
      </c>
      <c r="P875" s="4" t="s">
        <v>75</v>
      </c>
      <c r="Q875" s="4">
        <v>5</v>
      </c>
      <c r="R875" s="4" t="str">
        <f>TEXT(Table1[[#This Row],[Order Date]],"mmm")</f>
        <v>Nov</v>
      </c>
      <c r="S875" s="4" t="str">
        <f>TEXT(Table1[[#This Row],[Order Date]],"mm")</f>
        <v>11</v>
      </c>
      <c r="T875" s="4" t="str">
        <f>IF(Table1[[#This Row],[Sales]]&lt;0,"loss","profit")</f>
        <v>profit</v>
      </c>
      <c r="U875" s="4" t="str" cm="1">
        <f t="array" ref="U875">_xlfn.IFS(Table1[[#This Row],[Sales]]&gt;2000,"large",Table1[[#This Row],[Sales]]&gt;=500,"medium",Table1[[#This Row],[Sales]]&lt;500,"small")</f>
        <v>small</v>
      </c>
      <c r="V875" s="22">
        <f>Table1[[#This Row],[Profit]]/Table1[[#This Row],[Sales]]*100</f>
        <v>52.49692496924969</v>
      </c>
    </row>
    <row r="876" spans="1:22" x14ac:dyDescent="0.35">
      <c r="A876" s="4" t="s">
        <v>1302</v>
      </c>
      <c r="B876" s="5">
        <v>45978</v>
      </c>
      <c r="C876" s="4" t="s">
        <v>411</v>
      </c>
      <c r="D876" s="4" t="s">
        <v>43</v>
      </c>
      <c r="E876" s="4" t="s">
        <v>36</v>
      </c>
      <c r="F876" s="4" t="s">
        <v>201</v>
      </c>
      <c r="G876" s="4" t="s">
        <v>23</v>
      </c>
      <c r="H876" s="4" t="s">
        <v>24</v>
      </c>
      <c r="I876" s="4">
        <v>3</v>
      </c>
      <c r="J876" s="6">
        <v>55.89</v>
      </c>
      <c r="K876" s="7">
        <v>0.1</v>
      </c>
      <c r="L876" s="6">
        <f t="shared" si="26"/>
        <v>150.90300000000002</v>
      </c>
      <c r="M876" s="6">
        <v>29.8</v>
      </c>
      <c r="N876" s="8">
        <f t="shared" si="27"/>
        <v>61.503000000000014</v>
      </c>
      <c r="O876" s="4" t="s">
        <v>60</v>
      </c>
      <c r="P876" s="4" t="s">
        <v>118</v>
      </c>
      <c r="Q876" s="4">
        <v>5</v>
      </c>
      <c r="R876" s="4" t="str">
        <f>TEXT(Table1[[#This Row],[Order Date]],"mmm")</f>
        <v>Nov</v>
      </c>
      <c r="S876" s="4" t="str">
        <f>TEXT(Table1[[#This Row],[Order Date]],"mm")</f>
        <v>11</v>
      </c>
      <c r="T876" s="4" t="str">
        <f>IF(Table1[[#This Row],[Sales]]&lt;0,"loss","profit")</f>
        <v>profit</v>
      </c>
      <c r="U876" s="4" t="str" cm="1">
        <f t="array" ref="U876">_xlfn.IFS(Table1[[#This Row],[Sales]]&gt;2000,"large",Table1[[#This Row],[Sales]]&gt;=500,"medium",Table1[[#This Row],[Sales]]&lt;500,"small")</f>
        <v>small</v>
      </c>
      <c r="V876" s="22">
        <f>Table1[[#This Row],[Profit]]/Table1[[#This Row],[Sales]]*100</f>
        <v>40.756644997117355</v>
      </c>
    </row>
    <row r="877" spans="1:22" x14ac:dyDescent="0.35">
      <c r="A877" s="4" t="s">
        <v>1303</v>
      </c>
      <c r="B877" s="5">
        <v>45978</v>
      </c>
      <c r="C877" s="4" t="s">
        <v>734</v>
      </c>
      <c r="D877" s="4" t="s">
        <v>20</v>
      </c>
      <c r="E877" s="4" t="s">
        <v>21</v>
      </c>
      <c r="F877" s="4" t="s">
        <v>22</v>
      </c>
      <c r="G877" s="4" t="s">
        <v>38</v>
      </c>
      <c r="H877" s="4" t="s">
        <v>96</v>
      </c>
      <c r="I877" s="4">
        <v>6</v>
      </c>
      <c r="J877" s="6">
        <v>411.52</v>
      </c>
      <c r="K877" s="7">
        <v>0</v>
      </c>
      <c r="L877" s="6">
        <f t="shared" si="26"/>
        <v>2469.12</v>
      </c>
      <c r="M877" s="6">
        <v>349.59</v>
      </c>
      <c r="N877" s="8">
        <f t="shared" si="27"/>
        <v>371.57999999999993</v>
      </c>
      <c r="O877" s="4" t="s">
        <v>84</v>
      </c>
      <c r="P877" s="4" t="s">
        <v>75</v>
      </c>
      <c r="Q877" s="4">
        <v>4</v>
      </c>
      <c r="R877" s="4" t="str">
        <f>TEXT(Table1[[#This Row],[Order Date]],"mmm")</f>
        <v>Nov</v>
      </c>
      <c r="S877" s="4" t="str">
        <f>TEXT(Table1[[#This Row],[Order Date]],"mm")</f>
        <v>11</v>
      </c>
      <c r="T877" s="4" t="str">
        <f>IF(Table1[[#This Row],[Sales]]&lt;0,"loss","profit")</f>
        <v>profit</v>
      </c>
      <c r="U877" s="4" t="str" cm="1">
        <f t="array" ref="U877">_xlfn.IFS(Table1[[#This Row],[Sales]]&gt;2000,"large",Table1[[#This Row],[Sales]]&gt;=500,"medium",Table1[[#This Row],[Sales]]&lt;500,"small")</f>
        <v>large</v>
      </c>
      <c r="V877" s="22">
        <f>Table1[[#This Row],[Profit]]/Table1[[#This Row],[Sales]]*100</f>
        <v>15.049086314152408</v>
      </c>
    </row>
    <row r="878" spans="1:22" x14ac:dyDescent="0.35">
      <c r="A878" s="4" t="s">
        <v>1304</v>
      </c>
      <c r="B878" s="5">
        <v>45979</v>
      </c>
      <c r="C878" s="4" t="s">
        <v>576</v>
      </c>
      <c r="D878" s="4" t="s">
        <v>20</v>
      </c>
      <c r="E878" s="4" t="s">
        <v>87</v>
      </c>
      <c r="F878" s="4" t="s">
        <v>92</v>
      </c>
      <c r="G878" s="4" t="s">
        <v>23</v>
      </c>
      <c r="H878" s="4" t="s">
        <v>44</v>
      </c>
      <c r="I878" s="4">
        <v>4</v>
      </c>
      <c r="J878" s="6">
        <v>127.71</v>
      </c>
      <c r="K878" s="7">
        <v>0.1</v>
      </c>
      <c r="L878" s="6">
        <f t="shared" si="26"/>
        <v>459.75599999999997</v>
      </c>
      <c r="M878" s="6">
        <v>67.89</v>
      </c>
      <c r="N878" s="8">
        <f t="shared" si="27"/>
        <v>188.19599999999997</v>
      </c>
      <c r="O878" s="4" t="s">
        <v>40</v>
      </c>
      <c r="P878" s="4" t="s">
        <v>33</v>
      </c>
      <c r="Q878" s="4">
        <v>2</v>
      </c>
      <c r="R878" s="4" t="str">
        <f>TEXT(Table1[[#This Row],[Order Date]],"mmm")</f>
        <v>Nov</v>
      </c>
      <c r="S878" s="4" t="str">
        <f>TEXT(Table1[[#This Row],[Order Date]],"mm")</f>
        <v>11</v>
      </c>
      <c r="T878" s="4" t="str">
        <f>IF(Table1[[#This Row],[Sales]]&lt;0,"loss","profit")</f>
        <v>profit</v>
      </c>
      <c r="U878" s="4" t="str" cm="1">
        <f t="array" ref="U878">_xlfn.IFS(Table1[[#This Row],[Sales]]&gt;2000,"large",Table1[[#This Row],[Sales]]&gt;=500,"medium",Table1[[#This Row],[Sales]]&lt;500,"small")</f>
        <v>small</v>
      </c>
      <c r="V878" s="22">
        <f>Table1[[#This Row],[Profit]]/Table1[[#This Row],[Sales]]*100</f>
        <v>40.933886670320774</v>
      </c>
    </row>
    <row r="879" spans="1:22" x14ac:dyDescent="0.35">
      <c r="A879" s="4" t="s">
        <v>1305</v>
      </c>
      <c r="B879" s="5">
        <v>45979</v>
      </c>
      <c r="C879" s="4" t="s">
        <v>225</v>
      </c>
      <c r="D879" s="4" t="s">
        <v>43</v>
      </c>
      <c r="E879" s="4" t="s">
        <v>21</v>
      </c>
      <c r="F879" s="4" t="s">
        <v>81</v>
      </c>
      <c r="G879" s="4" t="s">
        <v>49</v>
      </c>
      <c r="H879" s="4" t="s">
        <v>128</v>
      </c>
      <c r="I879" s="4">
        <v>2</v>
      </c>
      <c r="J879" s="6">
        <v>120.4</v>
      </c>
      <c r="K879" s="7">
        <v>0</v>
      </c>
      <c r="L879" s="6">
        <f t="shared" si="26"/>
        <v>240.8</v>
      </c>
      <c r="M879" s="6">
        <v>68.61</v>
      </c>
      <c r="N879" s="8">
        <f t="shared" si="27"/>
        <v>103.58000000000001</v>
      </c>
      <c r="O879" s="4" t="s">
        <v>51</v>
      </c>
      <c r="P879" s="4" t="s">
        <v>75</v>
      </c>
      <c r="Q879" s="4">
        <v>3</v>
      </c>
      <c r="R879" s="4" t="str">
        <f>TEXT(Table1[[#This Row],[Order Date]],"mmm")</f>
        <v>Nov</v>
      </c>
      <c r="S879" s="4" t="str">
        <f>TEXT(Table1[[#This Row],[Order Date]],"mm")</f>
        <v>11</v>
      </c>
      <c r="T879" s="4" t="str">
        <f>IF(Table1[[#This Row],[Sales]]&lt;0,"loss","profit")</f>
        <v>profit</v>
      </c>
      <c r="U879" s="4" t="str" cm="1">
        <f t="array" ref="U879">_xlfn.IFS(Table1[[#This Row],[Sales]]&gt;2000,"large",Table1[[#This Row],[Sales]]&gt;=500,"medium",Table1[[#This Row],[Sales]]&lt;500,"small")</f>
        <v>small</v>
      </c>
      <c r="V879" s="22">
        <f>Table1[[#This Row],[Profit]]/Table1[[#This Row],[Sales]]*100</f>
        <v>43.014950166112961</v>
      </c>
    </row>
    <row r="880" spans="1:22" x14ac:dyDescent="0.35">
      <c r="A880" s="4" t="s">
        <v>1306</v>
      </c>
      <c r="B880" s="5">
        <v>45979</v>
      </c>
      <c r="C880" s="4" t="s">
        <v>655</v>
      </c>
      <c r="D880" s="4" t="s">
        <v>47</v>
      </c>
      <c r="E880" s="4" t="s">
        <v>87</v>
      </c>
      <c r="F880" s="4" t="s">
        <v>124</v>
      </c>
      <c r="G880" s="4" t="s">
        <v>38</v>
      </c>
      <c r="H880" s="4" t="s">
        <v>55</v>
      </c>
      <c r="I880" s="4">
        <v>4</v>
      </c>
      <c r="J880" s="6">
        <v>269.38</v>
      </c>
      <c r="K880" s="7">
        <v>0</v>
      </c>
      <c r="L880" s="6">
        <f t="shared" si="26"/>
        <v>1077.52</v>
      </c>
      <c r="M880" s="6">
        <v>203.44</v>
      </c>
      <c r="N880" s="8">
        <f t="shared" si="27"/>
        <v>263.76</v>
      </c>
      <c r="O880" s="4" t="s">
        <v>60</v>
      </c>
      <c r="P880" s="4" t="s">
        <v>33</v>
      </c>
      <c r="Q880" s="4">
        <v>5</v>
      </c>
      <c r="R880" s="4" t="str">
        <f>TEXT(Table1[[#This Row],[Order Date]],"mmm")</f>
        <v>Nov</v>
      </c>
      <c r="S880" s="4" t="str">
        <f>TEXT(Table1[[#This Row],[Order Date]],"mm")</f>
        <v>11</v>
      </c>
      <c r="T880" s="4" t="str">
        <f>IF(Table1[[#This Row],[Sales]]&lt;0,"loss","profit")</f>
        <v>profit</v>
      </c>
      <c r="U880" s="4" t="str" cm="1">
        <f t="array" ref="U880">_xlfn.IFS(Table1[[#This Row],[Sales]]&gt;2000,"large",Table1[[#This Row],[Sales]]&gt;=500,"medium",Table1[[#This Row],[Sales]]&lt;500,"small")</f>
        <v>medium</v>
      </c>
      <c r="V880" s="22">
        <f>Table1[[#This Row],[Profit]]/Table1[[#This Row],[Sales]]*100</f>
        <v>24.478431954859307</v>
      </c>
    </row>
    <row r="881" spans="1:22" x14ac:dyDescent="0.35">
      <c r="A881" s="4" t="s">
        <v>1307</v>
      </c>
      <c r="B881" s="5">
        <v>45980</v>
      </c>
      <c r="C881" s="4" t="s">
        <v>1195</v>
      </c>
      <c r="D881" s="4" t="s">
        <v>43</v>
      </c>
      <c r="E881" s="4" t="s">
        <v>21</v>
      </c>
      <c r="F881" s="4" t="s">
        <v>59</v>
      </c>
      <c r="G881" s="4" t="s">
        <v>38</v>
      </c>
      <c r="H881" s="4" t="s">
        <v>55</v>
      </c>
      <c r="I881" s="4">
        <v>1</v>
      </c>
      <c r="J881" s="6">
        <v>153.85</v>
      </c>
      <c r="K881" s="7">
        <v>0.15</v>
      </c>
      <c r="L881" s="6">
        <f t="shared" si="26"/>
        <v>130.77249999999998</v>
      </c>
      <c r="M881" s="6">
        <v>134.65</v>
      </c>
      <c r="N881" s="8">
        <f t="shared" si="27"/>
        <v>-3.8775000000000261</v>
      </c>
      <c r="O881" s="4" t="s">
        <v>60</v>
      </c>
      <c r="P881" s="4" t="s">
        <v>61</v>
      </c>
      <c r="Q881" s="4">
        <v>3</v>
      </c>
      <c r="R881" s="4" t="str">
        <f>TEXT(Table1[[#This Row],[Order Date]],"mmm")</f>
        <v>Nov</v>
      </c>
      <c r="S881" s="4" t="str">
        <f>TEXT(Table1[[#This Row],[Order Date]],"mm")</f>
        <v>11</v>
      </c>
      <c r="T881" s="4" t="str">
        <f>IF(Table1[[#This Row],[Sales]]&lt;0,"loss","profit")</f>
        <v>profit</v>
      </c>
      <c r="U881" s="4" t="str" cm="1">
        <f t="array" ref="U881">_xlfn.IFS(Table1[[#This Row],[Sales]]&gt;2000,"large",Table1[[#This Row],[Sales]]&gt;=500,"medium",Table1[[#This Row],[Sales]]&lt;500,"small")</f>
        <v>small</v>
      </c>
      <c r="V881" s="22">
        <f>Table1[[#This Row],[Profit]]/Table1[[#This Row],[Sales]]*100</f>
        <v>-2.9650729320002496</v>
      </c>
    </row>
    <row r="882" spans="1:22" x14ac:dyDescent="0.35">
      <c r="A882" s="4" t="s">
        <v>1308</v>
      </c>
      <c r="B882" s="5">
        <v>45980</v>
      </c>
      <c r="C882" s="4" t="s">
        <v>382</v>
      </c>
      <c r="D882" s="4" t="s">
        <v>20</v>
      </c>
      <c r="E882" s="4" t="s">
        <v>36</v>
      </c>
      <c r="F882" s="4" t="s">
        <v>48</v>
      </c>
      <c r="G882" s="4" t="s">
        <v>38</v>
      </c>
      <c r="H882" s="4" t="s">
        <v>89</v>
      </c>
      <c r="I882" s="4">
        <v>2</v>
      </c>
      <c r="J882" s="6">
        <v>1193.0999999999999</v>
      </c>
      <c r="K882" s="7">
        <v>0</v>
      </c>
      <c r="L882" s="6">
        <f t="shared" si="26"/>
        <v>2386.1999999999998</v>
      </c>
      <c r="M882" s="6">
        <v>1046.2</v>
      </c>
      <c r="N882" s="8">
        <f t="shared" si="27"/>
        <v>293.79999999999973</v>
      </c>
      <c r="O882" s="4" t="s">
        <v>40</v>
      </c>
      <c r="P882" s="4" t="s">
        <v>72</v>
      </c>
      <c r="Q882" s="4">
        <v>5</v>
      </c>
      <c r="R882" s="4" t="str">
        <f>TEXT(Table1[[#This Row],[Order Date]],"mmm")</f>
        <v>Nov</v>
      </c>
      <c r="S882" s="4" t="str">
        <f>TEXT(Table1[[#This Row],[Order Date]],"mm")</f>
        <v>11</v>
      </c>
      <c r="T882" s="4" t="str">
        <f>IF(Table1[[#This Row],[Sales]]&lt;0,"loss","profit")</f>
        <v>profit</v>
      </c>
      <c r="U882" s="4" t="str" cm="1">
        <f t="array" ref="U882">_xlfn.IFS(Table1[[#This Row],[Sales]]&gt;2000,"large",Table1[[#This Row],[Sales]]&gt;=500,"medium",Table1[[#This Row],[Sales]]&lt;500,"small")</f>
        <v>large</v>
      </c>
      <c r="V882" s="22">
        <f>Table1[[#This Row],[Profit]]/Table1[[#This Row],[Sales]]*100</f>
        <v>12.312463330818865</v>
      </c>
    </row>
    <row r="883" spans="1:22" x14ac:dyDescent="0.35">
      <c r="A883" s="4" t="s">
        <v>1309</v>
      </c>
      <c r="B883" s="5">
        <v>45981</v>
      </c>
      <c r="C883" s="4" t="s">
        <v>1310</v>
      </c>
      <c r="D883" s="4" t="s">
        <v>43</v>
      </c>
      <c r="E883" s="4" t="s">
        <v>21</v>
      </c>
      <c r="F883" s="4" t="s">
        <v>81</v>
      </c>
      <c r="G883" s="4" t="s">
        <v>31</v>
      </c>
      <c r="H883" s="4" t="s">
        <v>32</v>
      </c>
      <c r="I883" s="4">
        <v>1</v>
      </c>
      <c r="J883" s="6">
        <v>303.05</v>
      </c>
      <c r="K883" s="7">
        <v>0.1</v>
      </c>
      <c r="L883" s="6">
        <f t="shared" si="26"/>
        <v>272.745</v>
      </c>
      <c r="M883" s="6">
        <v>181.04</v>
      </c>
      <c r="N883" s="8">
        <f t="shared" si="27"/>
        <v>91.705000000000013</v>
      </c>
      <c r="O883" s="4" t="s">
        <v>25</v>
      </c>
      <c r="P883" s="4" t="s">
        <v>33</v>
      </c>
      <c r="Q883" s="4">
        <v>5</v>
      </c>
      <c r="R883" s="4" t="str">
        <f>TEXT(Table1[[#This Row],[Order Date]],"mmm")</f>
        <v>Nov</v>
      </c>
      <c r="S883" s="4" t="str">
        <f>TEXT(Table1[[#This Row],[Order Date]],"mm")</f>
        <v>11</v>
      </c>
      <c r="T883" s="4" t="str">
        <f>IF(Table1[[#This Row],[Sales]]&lt;0,"loss","profit")</f>
        <v>profit</v>
      </c>
      <c r="U883" s="4" t="str" cm="1">
        <f t="array" ref="U883">_xlfn.IFS(Table1[[#This Row],[Sales]]&gt;2000,"large",Table1[[#This Row],[Sales]]&gt;=500,"medium",Table1[[#This Row],[Sales]]&lt;500,"small")</f>
        <v>small</v>
      </c>
      <c r="V883" s="22">
        <f>Table1[[#This Row],[Profit]]/Table1[[#This Row],[Sales]]*100</f>
        <v>33.622981172890434</v>
      </c>
    </row>
    <row r="884" spans="1:22" x14ac:dyDescent="0.35">
      <c r="A884" s="4" t="s">
        <v>1311</v>
      </c>
      <c r="B884" s="5">
        <v>45982</v>
      </c>
      <c r="C884" s="4" t="s">
        <v>463</v>
      </c>
      <c r="D884" s="4" t="s">
        <v>47</v>
      </c>
      <c r="E884" s="4" t="s">
        <v>36</v>
      </c>
      <c r="F884" s="4" t="s">
        <v>201</v>
      </c>
      <c r="G884" s="4" t="s">
        <v>31</v>
      </c>
      <c r="H884" s="4" t="s">
        <v>32</v>
      </c>
      <c r="I884" s="4">
        <v>3</v>
      </c>
      <c r="J884" s="6">
        <v>266.99</v>
      </c>
      <c r="K884" s="7">
        <v>0.2</v>
      </c>
      <c r="L884" s="6">
        <f t="shared" si="26"/>
        <v>640.77600000000007</v>
      </c>
      <c r="M884" s="6">
        <v>171.72</v>
      </c>
      <c r="N884" s="8">
        <f t="shared" si="27"/>
        <v>125.6160000000001</v>
      </c>
      <c r="O884" s="4" t="s">
        <v>51</v>
      </c>
      <c r="P884" s="4" t="s">
        <v>61</v>
      </c>
      <c r="Q884" s="4">
        <v>5</v>
      </c>
      <c r="R884" s="4" t="str">
        <f>TEXT(Table1[[#This Row],[Order Date]],"mmm")</f>
        <v>Nov</v>
      </c>
      <c r="S884" s="4" t="str">
        <f>TEXT(Table1[[#This Row],[Order Date]],"mm")</f>
        <v>11</v>
      </c>
      <c r="T884" s="4" t="str">
        <f>IF(Table1[[#This Row],[Sales]]&lt;0,"loss","profit")</f>
        <v>profit</v>
      </c>
      <c r="U884" s="4" t="str" cm="1">
        <f t="array" ref="U884">_xlfn.IFS(Table1[[#This Row],[Sales]]&gt;2000,"large",Table1[[#This Row],[Sales]]&gt;=500,"medium",Table1[[#This Row],[Sales]]&lt;500,"small")</f>
        <v>medium</v>
      </c>
      <c r="V884" s="22">
        <f>Table1[[#This Row],[Profit]]/Table1[[#This Row],[Sales]]*100</f>
        <v>19.603730476796898</v>
      </c>
    </row>
    <row r="885" spans="1:22" x14ac:dyDescent="0.35">
      <c r="A885" s="4" t="s">
        <v>1312</v>
      </c>
      <c r="B885" s="5">
        <v>45982</v>
      </c>
      <c r="C885" s="4" t="s">
        <v>1313</v>
      </c>
      <c r="D885" s="4" t="s">
        <v>47</v>
      </c>
      <c r="E885" s="4" t="s">
        <v>29</v>
      </c>
      <c r="F885" s="4" t="s">
        <v>54</v>
      </c>
      <c r="G885" s="4" t="s">
        <v>67</v>
      </c>
      <c r="H885" s="4" t="s">
        <v>140</v>
      </c>
      <c r="I885" s="4">
        <v>3</v>
      </c>
      <c r="J885" s="6">
        <v>155.28</v>
      </c>
      <c r="K885" s="7">
        <v>0</v>
      </c>
      <c r="L885" s="6">
        <f t="shared" si="26"/>
        <v>465.84000000000003</v>
      </c>
      <c r="M885" s="6">
        <v>124.17</v>
      </c>
      <c r="N885" s="8">
        <f t="shared" si="27"/>
        <v>93.330000000000041</v>
      </c>
      <c r="O885" s="4" t="s">
        <v>84</v>
      </c>
      <c r="P885" s="4" t="s">
        <v>33</v>
      </c>
      <c r="Q885" s="4">
        <v>4</v>
      </c>
      <c r="R885" s="4" t="str">
        <f>TEXT(Table1[[#This Row],[Order Date]],"mmm")</f>
        <v>Nov</v>
      </c>
      <c r="S885" s="4" t="str">
        <f>TEXT(Table1[[#This Row],[Order Date]],"mm")</f>
        <v>11</v>
      </c>
      <c r="T885" s="4" t="str">
        <f>IF(Table1[[#This Row],[Sales]]&lt;0,"loss","profit")</f>
        <v>profit</v>
      </c>
      <c r="U885" s="4" t="str" cm="1">
        <f t="array" ref="U885">_xlfn.IFS(Table1[[#This Row],[Sales]]&gt;2000,"large",Table1[[#This Row],[Sales]]&gt;=500,"medium",Table1[[#This Row],[Sales]]&lt;500,"small")</f>
        <v>small</v>
      </c>
      <c r="V885" s="22">
        <f>Table1[[#This Row],[Profit]]/Table1[[#This Row],[Sales]]*100</f>
        <v>20.034775888717164</v>
      </c>
    </row>
    <row r="886" spans="1:22" x14ac:dyDescent="0.35">
      <c r="A886" s="4" t="s">
        <v>1314</v>
      </c>
      <c r="B886" s="5">
        <v>45982</v>
      </c>
      <c r="C886" s="4" t="s">
        <v>1315</v>
      </c>
      <c r="D886" s="4" t="s">
        <v>47</v>
      </c>
      <c r="E886" s="4" t="s">
        <v>29</v>
      </c>
      <c r="F886" s="4" t="s">
        <v>108</v>
      </c>
      <c r="G886" s="4" t="s">
        <v>67</v>
      </c>
      <c r="H886" s="4" t="s">
        <v>93</v>
      </c>
      <c r="I886" s="4">
        <v>5</v>
      </c>
      <c r="J886" s="6">
        <v>324.33999999999997</v>
      </c>
      <c r="K886" s="7">
        <v>0</v>
      </c>
      <c r="L886" s="6">
        <f t="shared" si="26"/>
        <v>1621.6999999999998</v>
      </c>
      <c r="M886" s="6">
        <v>240.99</v>
      </c>
      <c r="N886" s="8">
        <f t="shared" si="27"/>
        <v>416.74999999999977</v>
      </c>
      <c r="O886" s="4" t="s">
        <v>84</v>
      </c>
      <c r="P886" s="4" t="s">
        <v>97</v>
      </c>
      <c r="Q886" s="4">
        <v>4</v>
      </c>
      <c r="R886" s="4" t="str">
        <f>TEXT(Table1[[#This Row],[Order Date]],"mmm")</f>
        <v>Nov</v>
      </c>
      <c r="S886" s="4" t="str">
        <f>TEXT(Table1[[#This Row],[Order Date]],"mm")</f>
        <v>11</v>
      </c>
      <c r="T886" s="4" t="str">
        <f>IF(Table1[[#This Row],[Sales]]&lt;0,"loss","profit")</f>
        <v>profit</v>
      </c>
      <c r="U886" s="4" t="str" cm="1">
        <f t="array" ref="U886">_xlfn.IFS(Table1[[#This Row],[Sales]]&gt;2000,"large",Table1[[#This Row],[Sales]]&gt;=500,"medium",Table1[[#This Row],[Sales]]&lt;500,"small")</f>
        <v>medium</v>
      </c>
      <c r="V886" s="22">
        <f>Table1[[#This Row],[Profit]]/Table1[[#This Row],[Sales]]*100</f>
        <v>25.698341246839725</v>
      </c>
    </row>
    <row r="887" spans="1:22" x14ac:dyDescent="0.35">
      <c r="A887" s="4" t="s">
        <v>1316</v>
      </c>
      <c r="B887" s="5">
        <v>45983</v>
      </c>
      <c r="C887" s="4" t="s">
        <v>444</v>
      </c>
      <c r="D887" s="4" t="s">
        <v>47</v>
      </c>
      <c r="E887" s="4" t="s">
        <v>21</v>
      </c>
      <c r="F887" s="4" t="s">
        <v>59</v>
      </c>
      <c r="G887" s="4" t="s">
        <v>31</v>
      </c>
      <c r="H887" s="4" t="s">
        <v>32</v>
      </c>
      <c r="I887" s="4">
        <v>5</v>
      </c>
      <c r="J887" s="6">
        <v>336.06</v>
      </c>
      <c r="K887" s="7">
        <v>0.15</v>
      </c>
      <c r="L887" s="6">
        <f t="shared" si="26"/>
        <v>1428.2549999999999</v>
      </c>
      <c r="M887" s="6">
        <v>228.77</v>
      </c>
      <c r="N887" s="8">
        <f t="shared" si="27"/>
        <v>284.40499999999975</v>
      </c>
      <c r="O887" s="4" t="s">
        <v>25</v>
      </c>
      <c r="P887" s="4" t="s">
        <v>61</v>
      </c>
      <c r="Q887" s="4">
        <v>4</v>
      </c>
      <c r="R887" s="4" t="str">
        <f>TEXT(Table1[[#This Row],[Order Date]],"mmm")</f>
        <v>Nov</v>
      </c>
      <c r="S887" s="4" t="str">
        <f>TEXT(Table1[[#This Row],[Order Date]],"mm")</f>
        <v>11</v>
      </c>
      <c r="T887" s="4" t="str">
        <f>IF(Table1[[#This Row],[Sales]]&lt;0,"loss","profit")</f>
        <v>profit</v>
      </c>
      <c r="U887" s="4" t="str" cm="1">
        <f t="array" ref="U887">_xlfn.IFS(Table1[[#This Row],[Sales]]&gt;2000,"large",Table1[[#This Row],[Sales]]&gt;=500,"medium",Table1[[#This Row],[Sales]]&lt;500,"small")</f>
        <v>medium</v>
      </c>
      <c r="V887" s="22">
        <f>Table1[[#This Row],[Profit]]/Table1[[#This Row],[Sales]]*100</f>
        <v>19.912760676489828</v>
      </c>
    </row>
    <row r="888" spans="1:22" x14ac:dyDescent="0.35">
      <c r="A888" s="4" t="s">
        <v>1317</v>
      </c>
      <c r="B888" s="5">
        <v>45983</v>
      </c>
      <c r="C888" s="4" t="s">
        <v>456</v>
      </c>
      <c r="D888" s="4" t="s">
        <v>20</v>
      </c>
      <c r="E888" s="4" t="s">
        <v>29</v>
      </c>
      <c r="F888" s="4" t="s">
        <v>30</v>
      </c>
      <c r="G888" s="4" t="s">
        <v>67</v>
      </c>
      <c r="H888" s="4" t="s">
        <v>68</v>
      </c>
      <c r="I888" s="4">
        <v>4</v>
      </c>
      <c r="J888" s="6">
        <v>310.43</v>
      </c>
      <c r="K888" s="7">
        <v>0</v>
      </c>
      <c r="L888" s="6">
        <f t="shared" si="26"/>
        <v>1241.72</v>
      </c>
      <c r="M888" s="6">
        <v>207.75</v>
      </c>
      <c r="N888" s="8">
        <f t="shared" si="27"/>
        <v>410.72</v>
      </c>
      <c r="O888" s="4" t="s">
        <v>60</v>
      </c>
      <c r="P888" s="4" t="s">
        <v>26</v>
      </c>
      <c r="Q888" s="4">
        <v>4</v>
      </c>
      <c r="R888" s="4" t="str">
        <f>TEXT(Table1[[#This Row],[Order Date]],"mmm")</f>
        <v>Nov</v>
      </c>
      <c r="S888" s="4" t="str">
        <f>TEXT(Table1[[#This Row],[Order Date]],"mm")</f>
        <v>11</v>
      </c>
      <c r="T888" s="4" t="str">
        <f>IF(Table1[[#This Row],[Sales]]&lt;0,"loss","profit")</f>
        <v>profit</v>
      </c>
      <c r="U888" s="4" t="str" cm="1">
        <f t="array" ref="U888">_xlfn.IFS(Table1[[#This Row],[Sales]]&gt;2000,"large",Table1[[#This Row],[Sales]]&gt;=500,"medium",Table1[[#This Row],[Sales]]&lt;500,"small")</f>
        <v>medium</v>
      </c>
      <c r="V888" s="22">
        <f>Table1[[#This Row],[Profit]]/Table1[[#This Row],[Sales]]*100</f>
        <v>33.076700061205429</v>
      </c>
    </row>
    <row r="889" spans="1:22" x14ac:dyDescent="0.35">
      <c r="A889" s="4" t="s">
        <v>1318</v>
      </c>
      <c r="B889" s="5">
        <v>45983</v>
      </c>
      <c r="C889" s="4" t="s">
        <v>231</v>
      </c>
      <c r="D889" s="4" t="s">
        <v>20</v>
      </c>
      <c r="E889" s="4" t="s">
        <v>21</v>
      </c>
      <c r="F889" s="4" t="s">
        <v>22</v>
      </c>
      <c r="G889" s="4" t="s">
        <v>31</v>
      </c>
      <c r="H889" s="4" t="s">
        <v>64</v>
      </c>
      <c r="I889" s="4">
        <v>10</v>
      </c>
      <c r="J889" s="6">
        <v>217.28</v>
      </c>
      <c r="K889" s="7">
        <v>0.05</v>
      </c>
      <c r="L889" s="6">
        <f t="shared" si="26"/>
        <v>2064.16</v>
      </c>
      <c r="M889" s="6">
        <v>120.73</v>
      </c>
      <c r="N889" s="8">
        <f t="shared" si="27"/>
        <v>856.8599999999999</v>
      </c>
      <c r="O889" s="4" t="s">
        <v>60</v>
      </c>
      <c r="P889" s="4" t="s">
        <v>61</v>
      </c>
      <c r="Q889" s="4">
        <v>1</v>
      </c>
      <c r="R889" s="4" t="str">
        <f>TEXT(Table1[[#This Row],[Order Date]],"mmm")</f>
        <v>Nov</v>
      </c>
      <c r="S889" s="4" t="str">
        <f>TEXT(Table1[[#This Row],[Order Date]],"mm")</f>
        <v>11</v>
      </c>
      <c r="T889" s="4" t="str">
        <f>IF(Table1[[#This Row],[Sales]]&lt;0,"loss","profit")</f>
        <v>profit</v>
      </c>
      <c r="U889" s="4" t="str" cm="1">
        <f t="array" ref="U889">_xlfn.IFS(Table1[[#This Row],[Sales]]&gt;2000,"large",Table1[[#This Row],[Sales]]&gt;=500,"medium",Table1[[#This Row],[Sales]]&lt;500,"small")</f>
        <v>large</v>
      </c>
      <c r="V889" s="22">
        <f>Table1[[#This Row],[Profit]]/Table1[[#This Row],[Sales]]*100</f>
        <v>41.511316952174248</v>
      </c>
    </row>
    <row r="890" spans="1:22" x14ac:dyDescent="0.35">
      <c r="A890" s="4" t="s">
        <v>1319</v>
      </c>
      <c r="B890" s="5">
        <v>45984</v>
      </c>
      <c r="C890" s="4" t="s">
        <v>1320</v>
      </c>
      <c r="D890" s="4" t="s">
        <v>43</v>
      </c>
      <c r="E890" s="4" t="s">
        <v>29</v>
      </c>
      <c r="F890" s="4" t="s">
        <v>30</v>
      </c>
      <c r="G890" s="4" t="s">
        <v>49</v>
      </c>
      <c r="H890" s="4" t="s">
        <v>78</v>
      </c>
      <c r="I890" s="4">
        <v>1</v>
      </c>
      <c r="J890" s="6">
        <v>278.45</v>
      </c>
      <c r="K890" s="7">
        <v>0</v>
      </c>
      <c r="L890" s="6">
        <f t="shared" si="26"/>
        <v>278.45</v>
      </c>
      <c r="M890" s="6">
        <v>163.57</v>
      </c>
      <c r="N890" s="8">
        <f t="shared" si="27"/>
        <v>114.88</v>
      </c>
      <c r="O890" s="4" t="s">
        <v>40</v>
      </c>
      <c r="P890" s="4" t="s">
        <v>118</v>
      </c>
      <c r="Q890" s="4">
        <v>2</v>
      </c>
      <c r="R890" s="4" t="str">
        <f>TEXT(Table1[[#This Row],[Order Date]],"mmm")</f>
        <v>Nov</v>
      </c>
      <c r="S890" s="4" t="str">
        <f>TEXT(Table1[[#This Row],[Order Date]],"mm")</f>
        <v>11</v>
      </c>
      <c r="T890" s="4" t="str">
        <f>IF(Table1[[#This Row],[Sales]]&lt;0,"loss","profit")</f>
        <v>profit</v>
      </c>
      <c r="U890" s="4" t="str" cm="1">
        <f t="array" ref="U890">_xlfn.IFS(Table1[[#This Row],[Sales]]&gt;2000,"large",Table1[[#This Row],[Sales]]&gt;=500,"medium",Table1[[#This Row],[Sales]]&lt;500,"small")</f>
        <v>small</v>
      </c>
      <c r="V890" s="22">
        <f>Table1[[#This Row],[Profit]]/Table1[[#This Row],[Sales]]*100</f>
        <v>41.256958161249777</v>
      </c>
    </row>
    <row r="891" spans="1:22" x14ac:dyDescent="0.35">
      <c r="A891" s="4" t="s">
        <v>1321</v>
      </c>
      <c r="B891" s="5">
        <v>45984</v>
      </c>
      <c r="C891" s="4" t="s">
        <v>789</v>
      </c>
      <c r="D891" s="4" t="s">
        <v>43</v>
      </c>
      <c r="E891" s="4" t="s">
        <v>36</v>
      </c>
      <c r="F891" s="4" t="s">
        <v>48</v>
      </c>
      <c r="G891" s="4" t="s">
        <v>23</v>
      </c>
      <c r="H891" s="4" t="s">
        <v>71</v>
      </c>
      <c r="I891" s="4">
        <v>2</v>
      </c>
      <c r="J891" s="6">
        <v>89.16</v>
      </c>
      <c r="K891" s="7">
        <v>0</v>
      </c>
      <c r="L891" s="6">
        <f t="shared" si="26"/>
        <v>178.32</v>
      </c>
      <c r="M891" s="6">
        <v>50.43</v>
      </c>
      <c r="N891" s="8">
        <f t="shared" si="27"/>
        <v>77.459999999999994</v>
      </c>
      <c r="O891" s="4" t="s">
        <v>60</v>
      </c>
      <c r="P891" s="4" t="s">
        <v>26</v>
      </c>
      <c r="Q891" s="4">
        <v>4</v>
      </c>
      <c r="R891" s="4" t="str">
        <f>TEXT(Table1[[#This Row],[Order Date]],"mmm")</f>
        <v>Nov</v>
      </c>
      <c r="S891" s="4" t="str">
        <f>TEXT(Table1[[#This Row],[Order Date]],"mm")</f>
        <v>11</v>
      </c>
      <c r="T891" s="4" t="str">
        <f>IF(Table1[[#This Row],[Sales]]&lt;0,"loss","profit")</f>
        <v>profit</v>
      </c>
      <c r="U891" s="4" t="str" cm="1">
        <f t="array" ref="U891">_xlfn.IFS(Table1[[#This Row],[Sales]]&gt;2000,"large",Table1[[#This Row],[Sales]]&gt;=500,"medium",Table1[[#This Row],[Sales]]&lt;500,"small")</f>
        <v>small</v>
      </c>
      <c r="V891" s="22">
        <f>Table1[[#This Row],[Profit]]/Table1[[#This Row],[Sales]]*100</f>
        <v>43.438761776581423</v>
      </c>
    </row>
    <row r="892" spans="1:22" x14ac:dyDescent="0.35">
      <c r="A892" s="4" t="s">
        <v>1322</v>
      </c>
      <c r="B892" s="5">
        <v>45984</v>
      </c>
      <c r="C892" s="4" t="s">
        <v>1218</v>
      </c>
      <c r="D892" s="4" t="s">
        <v>20</v>
      </c>
      <c r="E892" s="4" t="s">
        <v>29</v>
      </c>
      <c r="F892" s="4" t="s">
        <v>54</v>
      </c>
      <c r="G892" s="4" t="s">
        <v>23</v>
      </c>
      <c r="H892" s="4" t="s">
        <v>135</v>
      </c>
      <c r="I892" s="4">
        <v>1</v>
      </c>
      <c r="J892" s="6">
        <v>17.649999999999999</v>
      </c>
      <c r="K892" s="7">
        <v>0.05</v>
      </c>
      <c r="L892" s="6">
        <f t="shared" si="26"/>
        <v>16.767499999999998</v>
      </c>
      <c r="M892" s="6">
        <v>11.31</v>
      </c>
      <c r="N892" s="8">
        <f t="shared" si="27"/>
        <v>5.4574999999999978</v>
      </c>
      <c r="O892" s="4" t="s">
        <v>84</v>
      </c>
      <c r="P892" s="4" t="s">
        <v>26</v>
      </c>
      <c r="Q892" s="4">
        <v>4</v>
      </c>
      <c r="R892" s="4" t="str">
        <f>TEXT(Table1[[#This Row],[Order Date]],"mmm")</f>
        <v>Nov</v>
      </c>
      <c r="S892" s="4" t="str">
        <f>TEXT(Table1[[#This Row],[Order Date]],"mm")</f>
        <v>11</v>
      </c>
      <c r="T892" s="4" t="str">
        <f>IF(Table1[[#This Row],[Sales]]&lt;0,"loss","profit")</f>
        <v>profit</v>
      </c>
      <c r="U892" s="4" t="str" cm="1">
        <f t="array" ref="U892">_xlfn.IFS(Table1[[#This Row],[Sales]]&gt;2000,"large",Table1[[#This Row],[Sales]]&gt;=500,"medium",Table1[[#This Row],[Sales]]&lt;500,"small")</f>
        <v>small</v>
      </c>
      <c r="V892" s="22">
        <f>Table1[[#This Row],[Profit]]/Table1[[#This Row],[Sales]]*100</f>
        <v>32.548084091247944</v>
      </c>
    </row>
    <row r="893" spans="1:22" x14ac:dyDescent="0.35">
      <c r="A893" s="4" t="s">
        <v>1323</v>
      </c>
      <c r="B893" s="5">
        <v>45985</v>
      </c>
      <c r="C893" s="4" t="s">
        <v>1283</v>
      </c>
      <c r="D893" s="4" t="s">
        <v>20</v>
      </c>
      <c r="E893" s="4" t="s">
        <v>29</v>
      </c>
      <c r="F893" s="4" t="s">
        <v>54</v>
      </c>
      <c r="G893" s="4" t="s">
        <v>67</v>
      </c>
      <c r="H893" s="4" t="s">
        <v>68</v>
      </c>
      <c r="I893" s="4">
        <v>1</v>
      </c>
      <c r="J893" s="6">
        <v>920.09</v>
      </c>
      <c r="K893" s="7">
        <v>0</v>
      </c>
      <c r="L893" s="6">
        <f t="shared" si="26"/>
        <v>920.09</v>
      </c>
      <c r="M893" s="6">
        <v>691.15</v>
      </c>
      <c r="N893" s="8">
        <f t="shared" si="27"/>
        <v>228.94000000000005</v>
      </c>
      <c r="O893" s="4" t="s">
        <v>60</v>
      </c>
      <c r="P893" s="4" t="s">
        <v>97</v>
      </c>
      <c r="Q893" s="4">
        <v>4</v>
      </c>
      <c r="R893" s="4" t="str">
        <f>TEXT(Table1[[#This Row],[Order Date]],"mmm")</f>
        <v>Nov</v>
      </c>
      <c r="S893" s="4" t="str">
        <f>TEXT(Table1[[#This Row],[Order Date]],"mm")</f>
        <v>11</v>
      </c>
      <c r="T893" s="4" t="str">
        <f>IF(Table1[[#This Row],[Sales]]&lt;0,"loss","profit")</f>
        <v>profit</v>
      </c>
      <c r="U893" s="4" t="str" cm="1">
        <f t="array" ref="U893">_xlfn.IFS(Table1[[#This Row],[Sales]]&gt;2000,"large",Table1[[#This Row],[Sales]]&gt;=500,"medium",Table1[[#This Row],[Sales]]&lt;500,"small")</f>
        <v>medium</v>
      </c>
      <c r="V893" s="22">
        <f>Table1[[#This Row],[Profit]]/Table1[[#This Row],[Sales]]*100</f>
        <v>24.882348465910948</v>
      </c>
    </row>
    <row r="894" spans="1:22" x14ac:dyDescent="0.35">
      <c r="A894" s="4" t="s">
        <v>1324</v>
      </c>
      <c r="B894" s="5">
        <v>45985</v>
      </c>
      <c r="C894" s="4" t="s">
        <v>722</v>
      </c>
      <c r="D894" s="4" t="s">
        <v>20</v>
      </c>
      <c r="E894" s="4" t="s">
        <v>29</v>
      </c>
      <c r="F894" s="4" t="s">
        <v>30</v>
      </c>
      <c r="G894" s="4" t="s">
        <v>31</v>
      </c>
      <c r="H894" s="4" t="s">
        <v>64</v>
      </c>
      <c r="I894" s="4">
        <v>1</v>
      </c>
      <c r="J894" s="6">
        <v>234.76</v>
      </c>
      <c r="K894" s="7">
        <v>0.2</v>
      </c>
      <c r="L894" s="6">
        <f t="shared" si="26"/>
        <v>187.80799999999999</v>
      </c>
      <c r="M894" s="6">
        <v>140.88999999999999</v>
      </c>
      <c r="N894" s="8">
        <f t="shared" si="27"/>
        <v>46.918000000000006</v>
      </c>
      <c r="O894" s="4" t="s">
        <v>60</v>
      </c>
      <c r="P894" s="4" t="s">
        <v>97</v>
      </c>
      <c r="Q894" s="4">
        <v>5</v>
      </c>
      <c r="R894" s="4" t="str">
        <f>TEXT(Table1[[#This Row],[Order Date]],"mmm")</f>
        <v>Nov</v>
      </c>
      <c r="S894" s="4" t="str">
        <f>TEXT(Table1[[#This Row],[Order Date]],"mm")</f>
        <v>11</v>
      </c>
      <c r="T894" s="4" t="str">
        <f>IF(Table1[[#This Row],[Sales]]&lt;0,"loss","profit")</f>
        <v>profit</v>
      </c>
      <c r="U894" s="4" t="str" cm="1">
        <f t="array" ref="U894">_xlfn.IFS(Table1[[#This Row],[Sales]]&gt;2000,"large",Table1[[#This Row],[Sales]]&gt;=500,"medium",Table1[[#This Row],[Sales]]&lt;500,"small")</f>
        <v>small</v>
      </c>
      <c r="V894" s="22">
        <f>Table1[[#This Row],[Profit]]/Table1[[#This Row],[Sales]]*100</f>
        <v>24.981896404838988</v>
      </c>
    </row>
    <row r="895" spans="1:22" x14ac:dyDescent="0.35">
      <c r="A895" s="4" t="s">
        <v>1325</v>
      </c>
      <c r="B895" s="5">
        <v>45985</v>
      </c>
      <c r="C895" s="4" t="s">
        <v>437</v>
      </c>
      <c r="D895" s="4" t="s">
        <v>47</v>
      </c>
      <c r="E895" s="4" t="s">
        <v>87</v>
      </c>
      <c r="F895" s="4" t="s">
        <v>124</v>
      </c>
      <c r="G895" s="4" t="s">
        <v>31</v>
      </c>
      <c r="H895" s="4" t="s">
        <v>64</v>
      </c>
      <c r="I895" s="4">
        <v>4</v>
      </c>
      <c r="J895" s="6">
        <v>248.93</v>
      </c>
      <c r="K895" s="7">
        <v>0</v>
      </c>
      <c r="L895" s="6">
        <f t="shared" si="26"/>
        <v>995.72</v>
      </c>
      <c r="M895" s="6">
        <v>156.05000000000001</v>
      </c>
      <c r="N895" s="8">
        <f t="shared" si="27"/>
        <v>371.52</v>
      </c>
      <c r="O895" s="4" t="s">
        <v>40</v>
      </c>
      <c r="P895" s="4" t="s">
        <v>33</v>
      </c>
      <c r="Q895" s="4">
        <v>5</v>
      </c>
      <c r="R895" s="4" t="str">
        <f>TEXT(Table1[[#This Row],[Order Date]],"mmm")</f>
        <v>Nov</v>
      </c>
      <c r="S895" s="4" t="str">
        <f>TEXT(Table1[[#This Row],[Order Date]],"mm")</f>
        <v>11</v>
      </c>
      <c r="T895" s="4" t="str">
        <f>IF(Table1[[#This Row],[Sales]]&lt;0,"loss","profit")</f>
        <v>profit</v>
      </c>
      <c r="U895" s="4" t="str" cm="1">
        <f t="array" ref="U895">_xlfn.IFS(Table1[[#This Row],[Sales]]&gt;2000,"large",Table1[[#This Row],[Sales]]&gt;=500,"medium",Table1[[#This Row],[Sales]]&lt;500,"small")</f>
        <v>medium</v>
      </c>
      <c r="V895" s="22">
        <f>Table1[[#This Row],[Profit]]/Table1[[#This Row],[Sales]]*100</f>
        <v>37.311694050536289</v>
      </c>
    </row>
    <row r="896" spans="1:22" x14ac:dyDescent="0.35">
      <c r="A896" s="4" t="s">
        <v>1326</v>
      </c>
      <c r="B896" s="5">
        <v>45986</v>
      </c>
      <c r="C896" s="4" t="s">
        <v>532</v>
      </c>
      <c r="D896" s="4" t="s">
        <v>47</v>
      </c>
      <c r="E896" s="4" t="s">
        <v>29</v>
      </c>
      <c r="F896" s="4" t="s">
        <v>54</v>
      </c>
      <c r="G896" s="4" t="s">
        <v>31</v>
      </c>
      <c r="H896" s="4" t="s">
        <v>64</v>
      </c>
      <c r="I896" s="4">
        <v>3</v>
      </c>
      <c r="J896" s="6">
        <v>145.33000000000001</v>
      </c>
      <c r="K896" s="7">
        <v>0</v>
      </c>
      <c r="L896" s="6">
        <f t="shared" si="26"/>
        <v>435.99</v>
      </c>
      <c r="M896" s="6">
        <v>107.67</v>
      </c>
      <c r="N896" s="8">
        <f t="shared" si="27"/>
        <v>112.98000000000002</v>
      </c>
      <c r="O896" s="4" t="s">
        <v>60</v>
      </c>
      <c r="P896" s="4" t="s">
        <v>97</v>
      </c>
      <c r="Q896" s="4">
        <v>4</v>
      </c>
      <c r="R896" s="4" t="str">
        <f>TEXT(Table1[[#This Row],[Order Date]],"mmm")</f>
        <v>Nov</v>
      </c>
      <c r="S896" s="4" t="str">
        <f>TEXT(Table1[[#This Row],[Order Date]],"mm")</f>
        <v>11</v>
      </c>
      <c r="T896" s="4" t="str">
        <f>IF(Table1[[#This Row],[Sales]]&lt;0,"loss","profit")</f>
        <v>profit</v>
      </c>
      <c r="U896" s="4" t="str" cm="1">
        <f t="array" ref="U896">_xlfn.IFS(Table1[[#This Row],[Sales]]&gt;2000,"large",Table1[[#This Row],[Sales]]&gt;=500,"medium",Table1[[#This Row],[Sales]]&lt;500,"small")</f>
        <v>small</v>
      </c>
      <c r="V896" s="22">
        <f>Table1[[#This Row],[Profit]]/Table1[[#This Row],[Sales]]*100</f>
        <v>25.913438381614263</v>
      </c>
    </row>
    <row r="897" spans="1:22" x14ac:dyDescent="0.35">
      <c r="A897" s="4" t="s">
        <v>1327</v>
      </c>
      <c r="B897" s="5">
        <v>45986</v>
      </c>
      <c r="C897" s="4" t="s">
        <v>247</v>
      </c>
      <c r="D897" s="4" t="s">
        <v>47</v>
      </c>
      <c r="E897" s="4" t="s">
        <v>36</v>
      </c>
      <c r="F897" s="4" t="s">
        <v>48</v>
      </c>
      <c r="G897" s="4" t="s">
        <v>67</v>
      </c>
      <c r="H897" s="4" t="s">
        <v>68</v>
      </c>
      <c r="I897" s="4">
        <v>1</v>
      </c>
      <c r="J897" s="6">
        <v>839.17</v>
      </c>
      <c r="K897" s="7">
        <v>0</v>
      </c>
      <c r="L897" s="6">
        <f t="shared" si="26"/>
        <v>839.17</v>
      </c>
      <c r="M897" s="6">
        <v>507.55</v>
      </c>
      <c r="N897" s="8">
        <f t="shared" si="27"/>
        <v>331.61999999999995</v>
      </c>
      <c r="O897" s="4" t="s">
        <v>60</v>
      </c>
      <c r="P897" s="4" t="s">
        <v>33</v>
      </c>
      <c r="Q897" s="4">
        <v>5</v>
      </c>
      <c r="R897" s="4" t="str">
        <f>TEXT(Table1[[#This Row],[Order Date]],"mmm")</f>
        <v>Nov</v>
      </c>
      <c r="S897" s="4" t="str">
        <f>TEXT(Table1[[#This Row],[Order Date]],"mm")</f>
        <v>11</v>
      </c>
      <c r="T897" s="4" t="str">
        <f>IF(Table1[[#This Row],[Sales]]&lt;0,"loss","profit")</f>
        <v>profit</v>
      </c>
      <c r="U897" s="4" t="str" cm="1">
        <f t="array" ref="U897">_xlfn.IFS(Table1[[#This Row],[Sales]]&gt;2000,"large",Table1[[#This Row],[Sales]]&gt;=500,"medium",Table1[[#This Row],[Sales]]&lt;500,"small")</f>
        <v>medium</v>
      </c>
      <c r="V897" s="22">
        <f>Table1[[#This Row],[Profit]]/Table1[[#This Row],[Sales]]*100</f>
        <v>39.517618599330284</v>
      </c>
    </row>
    <row r="898" spans="1:22" x14ac:dyDescent="0.35">
      <c r="A898" s="4" t="s">
        <v>1328</v>
      </c>
      <c r="B898" s="5">
        <v>45987</v>
      </c>
      <c r="C898" s="4" t="s">
        <v>444</v>
      </c>
      <c r="D898" s="4" t="s">
        <v>43</v>
      </c>
      <c r="E898" s="4" t="s">
        <v>36</v>
      </c>
      <c r="F898" s="4" t="s">
        <v>37</v>
      </c>
      <c r="G898" s="4" t="s">
        <v>23</v>
      </c>
      <c r="H898" s="4" t="s">
        <v>44</v>
      </c>
      <c r="I898" s="4">
        <v>2</v>
      </c>
      <c r="J898" s="6">
        <v>110.55</v>
      </c>
      <c r="K898" s="7">
        <v>0.2</v>
      </c>
      <c r="L898" s="6">
        <f t="shared" ref="L898:L961" si="28">I898*J898*(1-K898)</f>
        <v>176.88</v>
      </c>
      <c r="M898" s="6">
        <v>54.31</v>
      </c>
      <c r="N898" s="8">
        <f t="shared" ref="N898:N961" si="29">L898-I898*M898</f>
        <v>68.259999999999991</v>
      </c>
      <c r="O898" s="4" t="s">
        <v>25</v>
      </c>
      <c r="P898" s="4" t="s">
        <v>118</v>
      </c>
      <c r="Q898" s="4">
        <v>4</v>
      </c>
      <c r="R898" s="4" t="str">
        <f>TEXT(Table1[[#This Row],[Order Date]],"mmm")</f>
        <v>Nov</v>
      </c>
      <c r="S898" s="4" t="str">
        <f>TEXT(Table1[[#This Row],[Order Date]],"mm")</f>
        <v>11</v>
      </c>
      <c r="T898" s="4" t="str">
        <f>IF(Table1[[#This Row],[Sales]]&lt;0,"loss","profit")</f>
        <v>profit</v>
      </c>
      <c r="U898" s="4" t="str" cm="1">
        <f t="array" ref="U898">_xlfn.IFS(Table1[[#This Row],[Sales]]&gt;2000,"large",Table1[[#This Row],[Sales]]&gt;=500,"medium",Table1[[#This Row],[Sales]]&lt;500,"small")</f>
        <v>small</v>
      </c>
      <c r="V898" s="22">
        <f>Table1[[#This Row],[Profit]]/Table1[[#This Row],[Sales]]*100</f>
        <v>38.59113523292627</v>
      </c>
    </row>
    <row r="899" spans="1:22" x14ac:dyDescent="0.35">
      <c r="A899" s="4" t="s">
        <v>1329</v>
      </c>
      <c r="B899" s="5">
        <v>45987</v>
      </c>
      <c r="C899" s="4" t="s">
        <v>278</v>
      </c>
      <c r="D899" s="4" t="s">
        <v>20</v>
      </c>
      <c r="E899" s="4" t="s">
        <v>87</v>
      </c>
      <c r="F899" s="4" t="s">
        <v>124</v>
      </c>
      <c r="G899" s="4" t="s">
        <v>23</v>
      </c>
      <c r="H899" s="4" t="s">
        <v>44</v>
      </c>
      <c r="I899" s="4">
        <v>2</v>
      </c>
      <c r="J899" s="6">
        <v>142.52000000000001</v>
      </c>
      <c r="K899" s="7">
        <v>0.05</v>
      </c>
      <c r="L899" s="6">
        <f t="shared" si="28"/>
        <v>270.78800000000001</v>
      </c>
      <c r="M899" s="6">
        <v>74.86</v>
      </c>
      <c r="N899" s="8">
        <f t="shared" si="29"/>
        <v>121.06800000000001</v>
      </c>
      <c r="O899" s="4" t="s">
        <v>60</v>
      </c>
      <c r="P899" s="4" t="s">
        <v>26</v>
      </c>
      <c r="Q899" s="4">
        <v>4</v>
      </c>
      <c r="R899" s="4" t="str">
        <f>TEXT(Table1[[#This Row],[Order Date]],"mmm")</f>
        <v>Nov</v>
      </c>
      <c r="S899" s="4" t="str">
        <f>TEXT(Table1[[#This Row],[Order Date]],"mm")</f>
        <v>11</v>
      </c>
      <c r="T899" s="4" t="str">
        <f>IF(Table1[[#This Row],[Sales]]&lt;0,"loss","profit")</f>
        <v>profit</v>
      </c>
      <c r="U899" s="4" t="str" cm="1">
        <f t="array" ref="U899">_xlfn.IFS(Table1[[#This Row],[Sales]]&gt;2000,"large",Table1[[#This Row],[Sales]]&gt;=500,"medium",Table1[[#This Row],[Sales]]&lt;500,"small")</f>
        <v>small</v>
      </c>
      <c r="V899" s="22">
        <f>Table1[[#This Row],[Profit]]/Table1[[#This Row],[Sales]]*100</f>
        <v>44.709514454111705</v>
      </c>
    </row>
    <row r="900" spans="1:22" x14ac:dyDescent="0.35">
      <c r="A900" s="4" t="s">
        <v>1330</v>
      </c>
      <c r="B900" s="5">
        <v>45988</v>
      </c>
      <c r="C900" s="4" t="s">
        <v>734</v>
      </c>
      <c r="D900" s="4" t="s">
        <v>47</v>
      </c>
      <c r="E900" s="4" t="s">
        <v>36</v>
      </c>
      <c r="F900" s="4" t="s">
        <v>201</v>
      </c>
      <c r="G900" s="4" t="s">
        <v>67</v>
      </c>
      <c r="H900" s="4" t="s">
        <v>93</v>
      </c>
      <c r="I900" s="4">
        <v>4</v>
      </c>
      <c r="J900" s="6">
        <v>479.05</v>
      </c>
      <c r="K900" s="7">
        <v>0.05</v>
      </c>
      <c r="L900" s="6">
        <f t="shared" si="28"/>
        <v>1820.3899999999999</v>
      </c>
      <c r="M900" s="6">
        <v>332.5</v>
      </c>
      <c r="N900" s="8">
        <f t="shared" si="29"/>
        <v>490.38999999999987</v>
      </c>
      <c r="O900" s="4" t="s">
        <v>84</v>
      </c>
      <c r="P900" s="4" t="s">
        <v>61</v>
      </c>
      <c r="Q900" s="4">
        <v>4</v>
      </c>
      <c r="R900" s="4" t="str">
        <f>TEXT(Table1[[#This Row],[Order Date]],"mmm")</f>
        <v>Nov</v>
      </c>
      <c r="S900" s="4" t="str">
        <f>TEXT(Table1[[#This Row],[Order Date]],"mm")</f>
        <v>11</v>
      </c>
      <c r="T900" s="4" t="str">
        <f>IF(Table1[[#This Row],[Sales]]&lt;0,"loss","profit")</f>
        <v>profit</v>
      </c>
      <c r="U900" s="4" t="str" cm="1">
        <f t="array" ref="U900">_xlfn.IFS(Table1[[#This Row],[Sales]]&gt;2000,"large",Table1[[#This Row],[Sales]]&gt;=500,"medium",Table1[[#This Row],[Sales]]&lt;500,"small")</f>
        <v>medium</v>
      </c>
      <c r="V900" s="22">
        <f>Table1[[#This Row],[Profit]]/Table1[[#This Row],[Sales]]*100</f>
        <v>26.938732908882159</v>
      </c>
    </row>
    <row r="901" spans="1:22" x14ac:dyDescent="0.35">
      <c r="A901" s="4" t="s">
        <v>1331</v>
      </c>
      <c r="B901" s="5">
        <v>45988</v>
      </c>
      <c r="C901" s="4" t="s">
        <v>795</v>
      </c>
      <c r="D901" s="4" t="s">
        <v>20</v>
      </c>
      <c r="E901" s="4" t="s">
        <v>36</v>
      </c>
      <c r="F901" s="4" t="s">
        <v>37</v>
      </c>
      <c r="G901" s="4" t="s">
        <v>23</v>
      </c>
      <c r="H901" s="4" t="s">
        <v>44</v>
      </c>
      <c r="I901" s="4">
        <v>4</v>
      </c>
      <c r="J901" s="6">
        <v>159.5</v>
      </c>
      <c r="K901" s="7">
        <v>0.2</v>
      </c>
      <c r="L901" s="6">
        <f t="shared" si="28"/>
        <v>510.40000000000003</v>
      </c>
      <c r="M901" s="6">
        <v>102.74</v>
      </c>
      <c r="N901" s="8">
        <f t="shared" si="29"/>
        <v>99.440000000000055</v>
      </c>
      <c r="O901" s="4" t="s">
        <v>84</v>
      </c>
      <c r="P901" s="4" t="s">
        <v>97</v>
      </c>
      <c r="Q901" s="4">
        <v>4</v>
      </c>
      <c r="R901" s="4" t="str">
        <f>TEXT(Table1[[#This Row],[Order Date]],"mmm")</f>
        <v>Nov</v>
      </c>
      <c r="S901" s="4" t="str">
        <f>TEXT(Table1[[#This Row],[Order Date]],"mm")</f>
        <v>11</v>
      </c>
      <c r="T901" s="4" t="str">
        <f>IF(Table1[[#This Row],[Sales]]&lt;0,"loss","profit")</f>
        <v>profit</v>
      </c>
      <c r="U901" s="4" t="str" cm="1">
        <f t="array" ref="U901">_xlfn.IFS(Table1[[#This Row],[Sales]]&gt;2000,"large",Table1[[#This Row],[Sales]]&gt;=500,"medium",Table1[[#This Row],[Sales]]&lt;500,"small")</f>
        <v>medium</v>
      </c>
      <c r="V901" s="22">
        <f>Table1[[#This Row],[Profit]]/Table1[[#This Row],[Sales]]*100</f>
        <v>19.482758620689662</v>
      </c>
    </row>
    <row r="902" spans="1:22" x14ac:dyDescent="0.35">
      <c r="A902" s="4" t="s">
        <v>1332</v>
      </c>
      <c r="B902" s="5">
        <v>45988</v>
      </c>
      <c r="C902" s="4" t="s">
        <v>493</v>
      </c>
      <c r="D902" s="4" t="s">
        <v>20</v>
      </c>
      <c r="E902" s="4" t="s">
        <v>21</v>
      </c>
      <c r="F902" s="4" t="s">
        <v>59</v>
      </c>
      <c r="G902" s="4" t="s">
        <v>31</v>
      </c>
      <c r="H902" s="4" t="s">
        <v>147</v>
      </c>
      <c r="I902" s="4">
        <v>1</v>
      </c>
      <c r="J902" s="6">
        <v>62.6</v>
      </c>
      <c r="K902" s="7">
        <v>0.15</v>
      </c>
      <c r="L902" s="6">
        <f t="shared" si="28"/>
        <v>53.21</v>
      </c>
      <c r="M902" s="6">
        <v>44.3</v>
      </c>
      <c r="N902" s="8">
        <f t="shared" si="29"/>
        <v>8.9100000000000037</v>
      </c>
      <c r="O902" s="4" t="s">
        <v>40</v>
      </c>
      <c r="P902" s="4" t="s">
        <v>97</v>
      </c>
      <c r="Q902" s="4">
        <v>4</v>
      </c>
      <c r="R902" s="4" t="str">
        <f>TEXT(Table1[[#This Row],[Order Date]],"mmm")</f>
        <v>Nov</v>
      </c>
      <c r="S902" s="4" t="str">
        <f>TEXT(Table1[[#This Row],[Order Date]],"mm")</f>
        <v>11</v>
      </c>
      <c r="T902" s="4" t="str">
        <f>IF(Table1[[#This Row],[Sales]]&lt;0,"loss","profit")</f>
        <v>profit</v>
      </c>
      <c r="U902" s="4" t="str" cm="1">
        <f t="array" ref="U902">_xlfn.IFS(Table1[[#This Row],[Sales]]&gt;2000,"large",Table1[[#This Row],[Sales]]&gt;=500,"medium",Table1[[#This Row],[Sales]]&lt;500,"small")</f>
        <v>small</v>
      </c>
      <c r="V902" s="22">
        <f>Table1[[#This Row],[Profit]]/Table1[[#This Row],[Sales]]*100</f>
        <v>16.744972749483185</v>
      </c>
    </row>
    <row r="903" spans="1:22" x14ac:dyDescent="0.35">
      <c r="A903" s="4" t="s">
        <v>1333</v>
      </c>
      <c r="B903" s="5">
        <v>45989</v>
      </c>
      <c r="C903" s="4" t="s">
        <v>144</v>
      </c>
      <c r="D903" s="4" t="s">
        <v>20</v>
      </c>
      <c r="E903" s="4" t="s">
        <v>21</v>
      </c>
      <c r="F903" s="4" t="s">
        <v>59</v>
      </c>
      <c r="G903" s="4" t="s">
        <v>38</v>
      </c>
      <c r="H903" s="4" t="s">
        <v>39</v>
      </c>
      <c r="I903" s="4">
        <v>6</v>
      </c>
      <c r="J903" s="6">
        <v>183.19</v>
      </c>
      <c r="K903" s="7">
        <v>0.2</v>
      </c>
      <c r="L903" s="6">
        <f t="shared" si="28"/>
        <v>879.3119999999999</v>
      </c>
      <c r="M903" s="6">
        <v>143.69999999999999</v>
      </c>
      <c r="N903" s="8">
        <f t="shared" si="29"/>
        <v>17.111999999999966</v>
      </c>
      <c r="O903" s="4" t="s">
        <v>25</v>
      </c>
      <c r="P903" s="4" t="s">
        <v>97</v>
      </c>
      <c r="Q903" s="4">
        <v>3</v>
      </c>
      <c r="R903" s="4" t="str">
        <f>TEXT(Table1[[#This Row],[Order Date]],"mmm")</f>
        <v>Nov</v>
      </c>
      <c r="S903" s="4" t="str">
        <f>TEXT(Table1[[#This Row],[Order Date]],"mm")</f>
        <v>11</v>
      </c>
      <c r="T903" s="4" t="str">
        <f>IF(Table1[[#This Row],[Sales]]&lt;0,"loss","profit")</f>
        <v>profit</v>
      </c>
      <c r="U903" s="4" t="str" cm="1">
        <f t="array" ref="U903">_xlfn.IFS(Table1[[#This Row],[Sales]]&gt;2000,"large",Table1[[#This Row],[Sales]]&gt;=500,"medium",Table1[[#This Row],[Sales]]&lt;500,"small")</f>
        <v>medium</v>
      </c>
      <c r="V903" s="22">
        <f>Table1[[#This Row],[Profit]]/Table1[[#This Row],[Sales]]*100</f>
        <v>1.9460669250504905</v>
      </c>
    </row>
    <row r="904" spans="1:22" x14ac:dyDescent="0.35">
      <c r="A904" s="4" t="s">
        <v>1334</v>
      </c>
      <c r="B904" s="5">
        <v>45989</v>
      </c>
      <c r="C904" s="4" t="s">
        <v>776</v>
      </c>
      <c r="D904" s="4" t="s">
        <v>43</v>
      </c>
      <c r="E904" s="4" t="s">
        <v>87</v>
      </c>
      <c r="F904" s="4" t="s">
        <v>88</v>
      </c>
      <c r="G904" s="4" t="s">
        <v>23</v>
      </c>
      <c r="H904" s="4" t="s">
        <v>44</v>
      </c>
      <c r="I904" s="4">
        <v>2</v>
      </c>
      <c r="J904" s="6">
        <v>74.349999999999994</v>
      </c>
      <c r="K904" s="7">
        <v>0</v>
      </c>
      <c r="L904" s="6">
        <f t="shared" si="28"/>
        <v>148.69999999999999</v>
      </c>
      <c r="M904" s="6">
        <v>31.14</v>
      </c>
      <c r="N904" s="8">
        <f t="shared" si="29"/>
        <v>86.419999999999987</v>
      </c>
      <c r="O904" s="4" t="s">
        <v>84</v>
      </c>
      <c r="P904" s="4" t="s">
        <v>56</v>
      </c>
      <c r="Q904" s="4">
        <v>4</v>
      </c>
      <c r="R904" s="4" t="str">
        <f>TEXT(Table1[[#This Row],[Order Date]],"mmm")</f>
        <v>Nov</v>
      </c>
      <c r="S904" s="4" t="str">
        <f>TEXT(Table1[[#This Row],[Order Date]],"mm")</f>
        <v>11</v>
      </c>
      <c r="T904" s="4" t="str">
        <f>IF(Table1[[#This Row],[Sales]]&lt;0,"loss","profit")</f>
        <v>profit</v>
      </c>
      <c r="U904" s="4" t="str" cm="1">
        <f t="array" ref="U904">_xlfn.IFS(Table1[[#This Row],[Sales]]&gt;2000,"large",Table1[[#This Row],[Sales]]&gt;=500,"medium",Table1[[#This Row],[Sales]]&lt;500,"small")</f>
        <v>small</v>
      </c>
      <c r="V904" s="22">
        <f>Table1[[#This Row],[Profit]]/Table1[[#This Row],[Sales]]*100</f>
        <v>58.117014122394075</v>
      </c>
    </row>
    <row r="905" spans="1:22" x14ac:dyDescent="0.35">
      <c r="A905" s="4" t="s">
        <v>1335</v>
      </c>
      <c r="B905" s="5">
        <v>45990</v>
      </c>
      <c r="C905" s="4" t="s">
        <v>1190</v>
      </c>
      <c r="D905" s="4" t="s">
        <v>20</v>
      </c>
      <c r="E905" s="4" t="s">
        <v>87</v>
      </c>
      <c r="F905" s="4" t="s">
        <v>88</v>
      </c>
      <c r="G905" s="4" t="s">
        <v>31</v>
      </c>
      <c r="H905" s="4" t="s">
        <v>32</v>
      </c>
      <c r="I905" s="4">
        <v>3</v>
      </c>
      <c r="J905" s="6">
        <v>205.4</v>
      </c>
      <c r="K905" s="7">
        <v>0.05</v>
      </c>
      <c r="L905" s="6">
        <f t="shared" si="28"/>
        <v>585.39</v>
      </c>
      <c r="M905" s="6">
        <v>127.91</v>
      </c>
      <c r="N905" s="8">
        <f t="shared" si="29"/>
        <v>201.65999999999997</v>
      </c>
      <c r="O905" s="4" t="s">
        <v>51</v>
      </c>
      <c r="P905" s="4" t="s">
        <v>97</v>
      </c>
      <c r="Q905" s="4">
        <v>5</v>
      </c>
      <c r="R905" s="4" t="str">
        <f>TEXT(Table1[[#This Row],[Order Date]],"mmm")</f>
        <v>Nov</v>
      </c>
      <c r="S905" s="4" t="str">
        <f>TEXT(Table1[[#This Row],[Order Date]],"mm")</f>
        <v>11</v>
      </c>
      <c r="T905" s="4" t="str">
        <f>IF(Table1[[#This Row],[Sales]]&lt;0,"loss","profit")</f>
        <v>profit</v>
      </c>
      <c r="U905" s="4" t="str" cm="1">
        <f t="array" ref="U905">_xlfn.IFS(Table1[[#This Row],[Sales]]&gt;2000,"large",Table1[[#This Row],[Sales]]&gt;=500,"medium",Table1[[#This Row],[Sales]]&lt;500,"small")</f>
        <v>medium</v>
      </c>
      <c r="V905" s="22">
        <f>Table1[[#This Row],[Profit]]/Table1[[#This Row],[Sales]]*100</f>
        <v>34.448828985804333</v>
      </c>
    </row>
    <row r="906" spans="1:22" x14ac:dyDescent="0.35">
      <c r="A906" s="4" t="s">
        <v>1336</v>
      </c>
      <c r="B906" s="5">
        <v>45990</v>
      </c>
      <c r="C906" s="4" t="s">
        <v>235</v>
      </c>
      <c r="D906" s="4" t="s">
        <v>43</v>
      </c>
      <c r="E906" s="4" t="s">
        <v>21</v>
      </c>
      <c r="F906" s="4" t="s">
        <v>81</v>
      </c>
      <c r="G906" s="4" t="s">
        <v>67</v>
      </c>
      <c r="H906" s="4" t="s">
        <v>93</v>
      </c>
      <c r="I906" s="4">
        <v>1</v>
      </c>
      <c r="J906" s="6">
        <v>199.9</v>
      </c>
      <c r="K906" s="7">
        <v>0.1</v>
      </c>
      <c r="L906" s="6">
        <f t="shared" si="28"/>
        <v>179.91</v>
      </c>
      <c r="M906" s="6">
        <v>134.91</v>
      </c>
      <c r="N906" s="8">
        <f t="shared" si="29"/>
        <v>45</v>
      </c>
      <c r="O906" s="4" t="s">
        <v>51</v>
      </c>
      <c r="P906" s="4" t="s">
        <v>72</v>
      </c>
      <c r="Q906" s="4">
        <v>5</v>
      </c>
      <c r="R906" s="4" t="str">
        <f>TEXT(Table1[[#This Row],[Order Date]],"mmm")</f>
        <v>Nov</v>
      </c>
      <c r="S906" s="4" t="str">
        <f>TEXT(Table1[[#This Row],[Order Date]],"mm")</f>
        <v>11</v>
      </c>
      <c r="T906" s="4" t="str">
        <f>IF(Table1[[#This Row],[Sales]]&lt;0,"loss","profit")</f>
        <v>profit</v>
      </c>
      <c r="U906" s="4" t="str" cm="1">
        <f t="array" ref="U906">_xlfn.IFS(Table1[[#This Row],[Sales]]&gt;2000,"large",Table1[[#This Row],[Sales]]&gt;=500,"medium",Table1[[#This Row],[Sales]]&lt;500,"small")</f>
        <v>small</v>
      </c>
      <c r="V906" s="22">
        <f>Table1[[#This Row],[Profit]]/Table1[[#This Row],[Sales]]*100</f>
        <v>25.012506253126567</v>
      </c>
    </row>
    <row r="907" spans="1:22" x14ac:dyDescent="0.35">
      <c r="A907" s="4" t="s">
        <v>1337</v>
      </c>
      <c r="B907" s="5">
        <v>45990</v>
      </c>
      <c r="C907" s="4" t="s">
        <v>719</v>
      </c>
      <c r="D907" s="4" t="s">
        <v>47</v>
      </c>
      <c r="E907" s="4" t="s">
        <v>29</v>
      </c>
      <c r="F907" s="4" t="s">
        <v>108</v>
      </c>
      <c r="G907" s="4" t="s">
        <v>38</v>
      </c>
      <c r="H907" s="4" t="s">
        <v>55</v>
      </c>
      <c r="I907" s="4">
        <v>6</v>
      </c>
      <c r="J907" s="6">
        <v>225.23</v>
      </c>
      <c r="K907" s="7">
        <v>0</v>
      </c>
      <c r="L907" s="6">
        <f t="shared" si="28"/>
        <v>1351.3799999999999</v>
      </c>
      <c r="M907" s="6">
        <v>194.62</v>
      </c>
      <c r="N907" s="8">
        <f t="shared" si="29"/>
        <v>183.65999999999985</v>
      </c>
      <c r="O907" s="4" t="s">
        <v>60</v>
      </c>
      <c r="P907" s="4" t="s">
        <v>72</v>
      </c>
      <c r="Q907" s="4">
        <v>4</v>
      </c>
      <c r="R907" s="4" t="str">
        <f>TEXT(Table1[[#This Row],[Order Date]],"mmm")</f>
        <v>Nov</v>
      </c>
      <c r="S907" s="4" t="str">
        <f>TEXT(Table1[[#This Row],[Order Date]],"mm")</f>
        <v>11</v>
      </c>
      <c r="T907" s="4" t="str">
        <f>IF(Table1[[#This Row],[Sales]]&lt;0,"loss","profit")</f>
        <v>profit</v>
      </c>
      <c r="U907" s="4" t="str" cm="1">
        <f t="array" ref="U907">_xlfn.IFS(Table1[[#This Row],[Sales]]&gt;2000,"large",Table1[[#This Row],[Sales]]&gt;=500,"medium",Table1[[#This Row],[Sales]]&lt;500,"small")</f>
        <v>medium</v>
      </c>
      <c r="V907" s="22">
        <f>Table1[[#This Row],[Profit]]/Table1[[#This Row],[Sales]]*100</f>
        <v>13.590551880300128</v>
      </c>
    </row>
    <row r="908" spans="1:22" x14ac:dyDescent="0.35">
      <c r="A908" s="4" t="s">
        <v>1338</v>
      </c>
      <c r="B908" s="5">
        <v>45991</v>
      </c>
      <c r="C908" s="4" t="s">
        <v>309</v>
      </c>
      <c r="D908" s="4" t="s">
        <v>47</v>
      </c>
      <c r="E908" s="4" t="s">
        <v>29</v>
      </c>
      <c r="F908" s="4" t="s">
        <v>108</v>
      </c>
      <c r="G908" s="4" t="s">
        <v>23</v>
      </c>
      <c r="H908" s="4" t="s">
        <v>44</v>
      </c>
      <c r="I908" s="4">
        <v>3</v>
      </c>
      <c r="J908" s="6">
        <v>158.77000000000001</v>
      </c>
      <c r="K908" s="7">
        <v>0.15</v>
      </c>
      <c r="L908" s="6">
        <f t="shared" si="28"/>
        <v>404.86350000000004</v>
      </c>
      <c r="M908" s="6">
        <v>71.58</v>
      </c>
      <c r="N908" s="8">
        <f t="shared" si="29"/>
        <v>190.12350000000004</v>
      </c>
      <c r="O908" s="4" t="s">
        <v>84</v>
      </c>
      <c r="P908" s="4" t="s">
        <v>26</v>
      </c>
      <c r="Q908" s="4">
        <v>5</v>
      </c>
      <c r="R908" s="4" t="str">
        <f>TEXT(Table1[[#This Row],[Order Date]],"mmm")</f>
        <v>Nov</v>
      </c>
      <c r="S908" s="4" t="str">
        <f>TEXT(Table1[[#This Row],[Order Date]],"mm")</f>
        <v>11</v>
      </c>
      <c r="T908" s="4" t="str">
        <f>IF(Table1[[#This Row],[Sales]]&lt;0,"loss","profit")</f>
        <v>profit</v>
      </c>
      <c r="U908" s="4" t="str" cm="1">
        <f t="array" ref="U908">_xlfn.IFS(Table1[[#This Row],[Sales]]&gt;2000,"large",Table1[[#This Row],[Sales]]&gt;=500,"medium",Table1[[#This Row],[Sales]]&lt;500,"small")</f>
        <v>small</v>
      </c>
      <c r="V908" s="22">
        <f>Table1[[#This Row],[Profit]]/Table1[[#This Row],[Sales]]*100</f>
        <v>46.959901300067806</v>
      </c>
    </row>
    <row r="909" spans="1:22" x14ac:dyDescent="0.35">
      <c r="A909" s="4" t="s">
        <v>1339</v>
      </c>
      <c r="B909" s="5">
        <v>45991</v>
      </c>
      <c r="C909" s="4" t="s">
        <v>1340</v>
      </c>
      <c r="D909" s="4" t="s">
        <v>20</v>
      </c>
      <c r="E909" s="4" t="s">
        <v>29</v>
      </c>
      <c r="F909" s="4" t="s">
        <v>30</v>
      </c>
      <c r="G909" s="4" t="s">
        <v>38</v>
      </c>
      <c r="H909" s="4" t="s">
        <v>89</v>
      </c>
      <c r="I909" s="4">
        <v>1</v>
      </c>
      <c r="J909" s="6">
        <v>1161.52</v>
      </c>
      <c r="K909" s="7">
        <v>0.05</v>
      </c>
      <c r="L909" s="6">
        <f t="shared" si="28"/>
        <v>1103.444</v>
      </c>
      <c r="M909" s="6">
        <v>974.57</v>
      </c>
      <c r="N909" s="8">
        <f t="shared" si="29"/>
        <v>128.87399999999991</v>
      </c>
      <c r="O909" s="4" t="s">
        <v>51</v>
      </c>
      <c r="P909" s="4" t="s">
        <v>56</v>
      </c>
      <c r="Q909" s="4">
        <v>5</v>
      </c>
      <c r="R909" s="4" t="str">
        <f>TEXT(Table1[[#This Row],[Order Date]],"mmm")</f>
        <v>Nov</v>
      </c>
      <c r="S909" s="4" t="str">
        <f>TEXT(Table1[[#This Row],[Order Date]],"mm")</f>
        <v>11</v>
      </c>
      <c r="T909" s="4" t="str">
        <f>IF(Table1[[#This Row],[Sales]]&lt;0,"loss","profit")</f>
        <v>profit</v>
      </c>
      <c r="U909" s="4" t="str" cm="1">
        <f t="array" ref="U909">_xlfn.IFS(Table1[[#This Row],[Sales]]&gt;2000,"large",Table1[[#This Row],[Sales]]&gt;=500,"medium",Table1[[#This Row],[Sales]]&lt;500,"small")</f>
        <v>medium</v>
      </c>
      <c r="V909" s="22">
        <f>Table1[[#This Row],[Profit]]/Table1[[#This Row],[Sales]]*100</f>
        <v>11.679251507099583</v>
      </c>
    </row>
    <row r="910" spans="1:22" x14ac:dyDescent="0.35">
      <c r="A910" s="4" t="s">
        <v>1341</v>
      </c>
      <c r="B910" s="5">
        <v>45991</v>
      </c>
      <c r="C910" s="4" t="s">
        <v>633</v>
      </c>
      <c r="D910" s="4" t="s">
        <v>47</v>
      </c>
      <c r="E910" s="4" t="s">
        <v>21</v>
      </c>
      <c r="F910" s="4" t="s">
        <v>81</v>
      </c>
      <c r="G910" s="4" t="s">
        <v>23</v>
      </c>
      <c r="H910" s="4" t="s">
        <v>135</v>
      </c>
      <c r="I910" s="4">
        <v>5</v>
      </c>
      <c r="J910" s="6">
        <v>19.84</v>
      </c>
      <c r="K910" s="7">
        <v>0.15</v>
      </c>
      <c r="L910" s="6">
        <f t="shared" si="28"/>
        <v>84.32</v>
      </c>
      <c r="M910" s="6">
        <v>8.7899999999999991</v>
      </c>
      <c r="N910" s="8">
        <f t="shared" si="29"/>
        <v>40.369999999999997</v>
      </c>
      <c r="O910" s="4" t="s">
        <v>25</v>
      </c>
      <c r="P910" s="4" t="s">
        <v>97</v>
      </c>
      <c r="Q910" s="4">
        <v>5</v>
      </c>
      <c r="R910" s="4" t="str">
        <f>TEXT(Table1[[#This Row],[Order Date]],"mmm")</f>
        <v>Nov</v>
      </c>
      <c r="S910" s="4" t="str">
        <f>TEXT(Table1[[#This Row],[Order Date]],"mm")</f>
        <v>11</v>
      </c>
      <c r="T910" s="4" t="str">
        <f>IF(Table1[[#This Row],[Sales]]&lt;0,"loss","profit")</f>
        <v>profit</v>
      </c>
      <c r="U910" s="4" t="str" cm="1">
        <f t="array" ref="U910">_xlfn.IFS(Table1[[#This Row],[Sales]]&gt;2000,"large",Table1[[#This Row],[Sales]]&gt;=500,"medium",Table1[[#This Row],[Sales]]&lt;500,"small")</f>
        <v>small</v>
      </c>
      <c r="V910" s="22">
        <f>Table1[[#This Row],[Profit]]/Table1[[#This Row],[Sales]]*100</f>
        <v>47.877134724857683</v>
      </c>
    </row>
    <row r="911" spans="1:22" x14ac:dyDescent="0.35">
      <c r="A911" s="4" t="s">
        <v>1342</v>
      </c>
      <c r="B911" s="5">
        <v>45992</v>
      </c>
      <c r="C911" s="4" t="s">
        <v>1343</v>
      </c>
      <c r="D911" s="4" t="s">
        <v>20</v>
      </c>
      <c r="E911" s="4" t="s">
        <v>87</v>
      </c>
      <c r="F911" s="4" t="s">
        <v>92</v>
      </c>
      <c r="G911" s="4" t="s">
        <v>23</v>
      </c>
      <c r="H911" s="4" t="s">
        <v>44</v>
      </c>
      <c r="I911" s="4">
        <v>4</v>
      </c>
      <c r="J911" s="6">
        <v>91.43</v>
      </c>
      <c r="K911" s="7">
        <v>0.05</v>
      </c>
      <c r="L911" s="6">
        <f t="shared" si="28"/>
        <v>347.43400000000003</v>
      </c>
      <c r="M911" s="6">
        <v>56.59</v>
      </c>
      <c r="N911" s="8">
        <f t="shared" si="29"/>
        <v>121.07400000000001</v>
      </c>
      <c r="O911" s="4" t="s">
        <v>84</v>
      </c>
      <c r="P911" s="4" t="s">
        <v>118</v>
      </c>
      <c r="Q911" s="4">
        <v>4</v>
      </c>
      <c r="R911" s="4" t="str">
        <f>TEXT(Table1[[#This Row],[Order Date]],"mmm")</f>
        <v>Dec</v>
      </c>
      <c r="S911" s="4" t="str">
        <f>TEXT(Table1[[#This Row],[Order Date]],"mm")</f>
        <v>12</v>
      </c>
      <c r="T911" s="4" t="str">
        <f>IF(Table1[[#This Row],[Sales]]&lt;0,"loss","profit")</f>
        <v>profit</v>
      </c>
      <c r="U911" s="4" t="str" cm="1">
        <f t="array" ref="U911">_xlfn.IFS(Table1[[#This Row],[Sales]]&gt;2000,"large",Table1[[#This Row],[Sales]]&gt;=500,"medium",Table1[[#This Row],[Sales]]&lt;500,"small")</f>
        <v>small</v>
      </c>
      <c r="V911" s="22">
        <f>Table1[[#This Row],[Profit]]/Table1[[#This Row],[Sales]]*100</f>
        <v>34.848057472786195</v>
      </c>
    </row>
    <row r="912" spans="1:22" x14ac:dyDescent="0.35">
      <c r="A912" s="4" t="s">
        <v>1344</v>
      </c>
      <c r="B912" s="5">
        <v>45992</v>
      </c>
      <c r="C912" s="4" t="s">
        <v>653</v>
      </c>
      <c r="D912" s="4" t="s">
        <v>43</v>
      </c>
      <c r="E912" s="4" t="s">
        <v>21</v>
      </c>
      <c r="F912" s="4" t="s">
        <v>81</v>
      </c>
      <c r="G912" s="4" t="s">
        <v>67</v>
      </c>
      <c r="H912" s="4" t="s">
        <v>93</v>
      </c>
      <c r="I912" s="4">
        <v>3</v>
      </c>
      <c r="J912" s="6">
        <v>501.87</v>
      </c>
      <c r="K912" s="7">
        <v>0</v>
      </c>
      <c r="L912" s="6">
        <f t="shared" si="28"/>
        <v>1505.6100000000001</v>
      </c>
      <c r="M912" s="6">
        <v>380.41</v>
      </c>
      <c r="N912" s="8">
        <f t="shared" si="29"/>
        <v>364.38000000000011</v>
      </c>
      <c r="O912" s="4" t="s">
        <v>84</v>
      </c>
      <c r="P912" s="4" t="s">
        <v>33</v>
      </c>
      <c r="Q912" s="4">
        <v>4</v>
      </c>
      <c r="R912" s="4" t="str">
        <f>TEXT(Table1[[#This Row],[Order Date]],"mmm")</f>
        <v>Dec</v>
      </c>
      <c r="S912" s="4" t="str">
        <f>TEXT(Table1[[#This Row],[Order Date]],"mm")</f>
        <v>12</v>
      </c>
      <c r="T912" s="4" t="str">
        <f>IF(Table1[[#This Row],[Sales]]&lt;0,"loss","profit")</f>
        <v>profit</v>
      </c>
      <c r="U912" s="4" t="str" cm="1">
        <f t="array" ref="U912">_xlfn.IFS(Table1[[#This Row],[Sales]]&gt;2000,"large",Table1[[#This Row],[Sales]]&gt;=500,"medium",Table1[[#This Row],[Sales]]&lt;500,"small")</f>
        <v>medium</v>
      </c>
      <c r="V912" s="22">
        <f>Table1[[#This Row],[Profit]]/Table1[[#This Row],[Sales]]*100</f>
        <v>24.201486440711744</v>
      </c>
    </row>
    <row r="913" spans="1:22" x14ac:dyDescent="0.35">
      <c r="A913" s="4" t="s">
        <v>1345</v>
      </c>
      <c r="B913" s="5">
        <v>45993</v>
      </c>
      <c r="C913" s="4" t="s">
        <v>483</v>
      </c>
      <c r="D913" s="4" t="s">
        <v>43</v>
      </c>
      <c r="E913" s="4" t="s">
        <v>36</v>
      </c>
      <c r="F913" s="4" t="s">
        <v>37</v>
      </c>
      <c r="G913" s="4" t="s">
        <v>31</v>
      </c>
      <c r="H913" s="4" t="s">
        <v>64</v>
      </c>
      <c r="I913" s="4">
        <v>1</v>
      </c>
      <c r="J913" s="6">
        <v>205.35</v>
      </c>
      <c r="K913" s="7">
        <v>0</v>
      </c>
      <c r="L913" s="6">
        <f t="shared" si="28"/>
        <v>205.35</v>
      </c>
      <c r="M913" s="6">
        <v>125.28</v>
      </c>
      <c r="N913" s="8">
        <f t="shared" si="29"/>
        <v>80.069999999999993</v>
      </c>
      <c r="O913" s="4" t="s">
        <v>60</v>
      </c>
      <c r="P913" s="4" t="s">
        <v>72</v>
      </c>
      <c r="Q913" s="4">
        <v>5</v>
      </c>
      <c r="R913" s="4" t="str">
        <f>TEXT(Table1[[#This Row],[Order Date]],"mmm")</f>
        <v>Dec</v>
      </c>
      <c r="S913" s="4" t="str">
        <f>TEXT(Table1[[#This Row],[Order Date]],"mm")</f>
        <v>12</v>
      </c>
      <c r="T913" s="4" t="str">
        <f>IF(Table1[[#This Row],[Sales]]&lt;0,"loss","profit")</f>
        <v>profit</v>
      </c>
      <c r="U913" s="4" t="str" cm="1">
        <f t="array" ref="U913">_xlfn.IFS(Table1[[#This Row],[Sales]]&gt;2000,"large",Table1[[#This Row],[Sales]]&gt;=500,"medium",Table1[[#This Row],[Sales]]&lt;500,"small")</f>
        <v>small</v>
      </c>
      <c r="V913" s="22">
        <f>Table1[[#This Row],[Profit]]/Table1[[#This Row],[Sales]]*100</f>
        <v>38.991964937910886</v>
      </c>
    </row>
    <row r="914" spans="1:22" x14ac:dyDescent="0.35">
      <c r="A914" s="4" t="s">
        <v>1346</v>
      </c>
      <c r="B914" s="5">
        <v>45993</v>
      </c>
      <c r="C914" s="4" t="s">
        <v>1347</v>
      </c>
      <c r="D914" s="4" t="s">
        <v>20</v>
      </c>
      <c r="E914" s="4" t="s">
        <v>36</v>
      </c>
      <c r="F914" s="4" t="s">
        <v>201</v>
      </c>
      <c r="G914" s="4" t="s">
        <v>23</v>
      </c>
      <c r="H914" s="4" t="s">
        <v>71</v>
      </c>
      <c r="I914" s="4">
        <v>4</v>
      </c>
      <c r="J914" s="6">
        <v>98.67</v>
      </c>
      <c r="K914" s="7">
        <v>0.1</v>
      </c>
      <c r="L914" s="6">
        <f t="shared" si="28"/>
        <v>355.21199999999999</v>
      </c>
      <c r="M914" s="6">
        <v>46.48</v>
      </c>
      <c r="N914" s="8">
        <f t="shared" si="29"/>
        <v>169.292</v>
      </c>
      <c r="O914" s="4" t="s">
        <v>84</v>
      </c>
      <c r="P914" s="4" t="s">
        <v>61</v>
      </c>
      <c r="Q914" s="4">
        <v>4</v>
      </c>
      <c r="R914" s="4" t="str">
        <f>TEXT(Table1[[#This Row],[Order Date]],"mmm")</f>
        <v>Dec</v>
      </c>
      <c r="S914" s="4" t="str">
        <f>TEXT(Table1[[#This Row],[Order Date]],"mm")</f>
        <v>12</v>
      </c>
      <c r="T914" s="4" t="str">
        <f>IF(Table1[[#This Row],[Sales]]&lt;0,"loss","profit")</f>
        <v>profit</v>
      </c>
      <c r="U914" s="4" t="str" cm="1">
        <f t="array" ref="U914">_xlfn.IFS(Table1[[#This Row],[Sales]]&gt;2000,"large",Table1[[#This Row],[Sales]]&gt;=500,"medium",Table1[[#This Row],[Sales]]&lt;500,"small")</f>
        <v>small</v>
      </c>
      <c r="V914" s="22">
        <f>Table1[[#This Row],[Profit]]/Table1[[#This Row],[Sales]]*100</f>
        <v>47.65942592029549</v>
      </c>
    </row>
    <row r="915" spans="1:22" x14ac:dyDescent="0.35">
      <c r="A915" s="4" t="s">
        <v>1348</v>
      </c>
      <c r="B915" s="5">
        <v>45993</v>
      </c>
      <c r="C915" s="4" t="s">
        <v>456</v>
      </c>
      <c r="D915" s="4" t="s">
        <v>43</v>
      </c>
      <c r="E915" s="4" t="s">
        <v>87</v>
      </c>
      <c r="F915" s="4" t="s">
        <v>124</v>
      </c>
      <c r="G915" s="4" t="s">
        <v>49</v>
      </c>
      <c r="H915" s="4" t="s">
        <v>78</v>
      </c>
      <c r="I915" s="4">
        <v>2</v>
      </c>
      <c r="J915" s="6">
        <v>563.9</v>
      </c>
      <c r="K915" s="7">
        <v>0.05</v>
      </c>
      <c r="L915" s="6">
        <f t="shared" si="28"/>
        <v>1071.4099999999999</v>
      </c>
      <c r="M915" s="6">
        <v>419.77</v>
      </c>
      <c r="N915" s="8">
        <f t="shared" si="29"/>
        <v>231.86999999999989</v>
      </c>
      <c r="O915" s="4" t="s">
        <v>51</v>
      </c>
      <c r="P915" s="4" t="s">
        <v>97</v>
      </c>
      <c r="Q915" s="4">
        <v>4</v>
      </c>
      <c r="R915" s="4" t="str">
        <f>TEXT(Table1[[#This Row],[Order Date]],"mmm")</f>
        <v>Dec</v>
      </c>
      <c r="S915" s="4" t="str">
        <f>TEXT(Table1[[#This Row],[Order Date]],"mm")</f>
        <v>12</v>
      </c>
      <c r="T915" s="4" t="str">
        <f>IF(Table1[[#This Row],[Sales]]&lt;0,"loss","profit")</f>
        <v>profit</v>
      </c>
      <c r="U915" s="4" t="str" cm="1">
        <f t="array" ref="U915">_xlfn.IFS(Table1[[#This Row],[Sales]]&gt;2000,"large",Table1[[#This Row],[Sales]]&gt;=500,"medium",Table1[[#This Row],[Sales]]&lt;500,"small")</f>
        <v>medium</v>
      </c>
      <c r="V915" s="22">
        <f>Table1[[#This Row],[Profit]]/Table1[[#This Row],[Sales]]*100</f>
        <v>21.641575120635416</v>
      </c>
    </row>
    <row r="916" spans="1:22" x14ac:dyDescent="0.35">
      <c r="A916" s="4" t="s">
        <v>1349</v>
      </c>
      <c r="B916" s="5">
        <v>45994</v>
      </c>
      <c r="C916" s="4" t="s">
        <v>365</v>
      </c>
      <c r="D916" s="4" t="s">
        <v>20</v>
      </c>
      <c r="E916" s="4" t="s">
        <v>36</v>
      </c>
      <c r="F916" s="4" t="s">
        <v>37</v>
      </c>
      <c r="G916" s="4" t="s">
        <v>49</v>
      </c>
      <c r="H916" s="4" t="s">
        <v>78</v>
      </c>
      <c r="I916" s="4">
        <v>2</v>
      </c>
      <c r="J916" s="6">
        <v>568.5</v>
      </c>
      <c r="K916" s="7">
        <v>0.15</v>
      </c>
      <c r="L916" s="6">
        <f t="shared" si="28"/>
        <v>966.44999999999993</v>
      </c>
      <c r="M916" s="6">
        <v>359.62</v>
      </c>
      <c r="N916" s="8">
        <f t="shared" si="29"/>
        <v>247.20999999999992</v>
      </c>
      <c r="O916" s="4" t="s">
        <v>84</v>
      </c>
      <c r="P916" s="4" t="s">
        <v>26</v>
      </c>
      <c r="Q916" s="4">
        <v>3</v>
      </c>
      <c r="R916" s="4" t="str">
        <f>TEXT(Table1[[#This Row],[Order Date]],"mmm")</f>
        <v>Dec</v>
      </c>
      <c r="S916" s="4" t="str">
        <f>TEXT(Table1[[#This Row],[Order Date]],"mm")</f>
        <v>12</v>
      </c>
      <c r="T916" s="4" t="str">
        <f>IF(Table1[[#This Row],[Sales]]&lt;0,"loss","profit")</f>
        <v>profit</v>
      </c>
      <c r="U916" s="4" t="str" cm="1">
        <f t="array" ref="U916">_xlfn.IFS(Table1[[#This Row],[Sales]]&gt;2000,"large",Table1[[#This Row],[Sales]]&gt;=500,"medium",Table1[[#This Row],[Sales]]&lt;500,"small")</f>
        <v>medium</v>
      </c>
      <c r="V916" s="22">
        <f>Table1[[#This Row],[Profit]]/Table1[[#This Row],[Sales]]*100</f>
        <v>25.579181540690151</v>
      </c>
    </row>
    <row r="917" spans="1:22" x14ac:dyDescent="0.35">
      <c r="A917" s="4" t="s">
        <v>1350</v>
      </c>
      <c r="B917" s="5">
        <v>45995</v>
      </c>
      <c r="C917" s="4" t="s">
        <v>459</v>
      </c>
      <c r="D917" s="4" t="s">
        <v>20</v>
      </c>
      <c r="E917" s="4" t="s">
        <v>87</v>
      </c>
      <c r="F917" s="4" t="s">
        <v>92</v>
      </c>
      <c r="G917" s="4" t="s">
        <v>49</v>
      </c>
      <c r="H917" s="4" t="s">
        <v>50</v>
      </c>
      <c r="I917" s="4">
        <v>1</v>
      </c>
      <c r="J917" s="6">
        <v>37.409999999999997</v>
      </c>
      <c r="K917" s="7">
        <v>0</v>
      </c>
      <c r="L917" s="6">
        <f t="shared" si="28"/>
        <v>37.409999999999997</v>
      </c>
      <c r="M917" s="6">
        <v>27.57</v>
      </c>
      <c r="N917" s="8">
        <f t="shared" si="29"/>
        <v>9.8399999999999963</v>
      </c>
      <c r="O917" s="4" t="s">
        <v>60</v>
      </c>
      <c r="P917" s="4" t="s">
        <v>72</v>
      </c>
      <c r="Q917" s="4">
        <v>4</v>
      </c>
      <c r="R917" s="4" t="str">
        <f>TEXT(Table1[[#This Row],[Order Date]],"mmm")</f>
        <v>Dec</v>
      </c>
      <c r="S917" s="4" t="str">
        <f>TEXT(Table1[[#This Row],[Order Date]],"mm")</f>
        <v>12</v>
      </c>
      <c r="T917" s="4" t="str">
        <f>IF(Table1[[#This Row],[Sales]]&lt;0,"loss","profit")</f>
        <v>profit</v>
      </c>
      <c r="U917" s="4" t="str" cm="1">
        <f t="array" ref="U917">_xlfn.IFS(Table1[[#This Row],[Sales]]&gt;2000,"large",Table1[[#This Row],[Sales]]&gt;=500,"medium",Table1[[#This Row],[Sales]]&lt;500,"small")</f>
        <v>small</v>
      </c>
      <c r="V917" s="22">
        <f>Table1[[#This Row],[Profit]]/Table1[[#This Row],[Sales]]*100</f>
        <v>26.30312750601443</v>
      </c>
    </row>
    <row r="918" spans="1:22" x14ac:dyDescent="0.35">
      <c r="A918" s="4" t="s">
        <v>1351</v>
      </c>
      <c r="B918" s="5">
        <v>45995</v>
      </c>
      <c r="C918" s="4" t="s">
        <v>1352</v>
      </c>
      <c r="D918" s="4" t="s">
        <v>20</v>
      </c>
      <c r="E918" s="4" t="s">
        <v>87</v>
      </c>
      <c r="F918" s="4" t="s">
        <v>124</v>
      </c>
      <c r="G918" s="4" t="s">
        <v>23</v>
      </c>
      <c r="H918" s="4" t="s">
        <v>135</v>
      </c>
      <c r="I918" s="4">
        <v>1</v>
      </c>
      <c r="J918" s="6">
        <v>30.68</v>
      </c>
      <c r="K918" s="7">
        <v>0.1</v>
      </c>
      <c r="L918" s="6">
        <f t="shared" si="28"/>
        <v>27.612000000000002</v>
      </c>
      <c r="M918" s="6">
        <v>13.46</v>
      </c>
      <c r="N918" s="8">
        <f t="shared" si="29"/>
        <v>14.152000000000001</v>
      </c>
      <c r="O918" s="4" t="s">
        <v>60</v>
      </c>
      <c r="P918" s="4" t="s">
        <v>118</v>
      </c>
      <c r="Q918" s="4">
        <v>4</v>
      </c>
      <c r="R918" s="4" t="str">
        <f>TEXT(Table1[[#This Row],[Order Date]],"mmm")</f>
        <v>Dec</v>
      </c>
      <c r="S918" s="4" t="str">
        <f>TEXT(Table1[[#This Row],[Order Date]],"mm")</f>
        <v>12</v>
      </c>
      <c r="T918" s="4" t="str">
        <f>IF(Table1[[#This Row],[Sales]]&lt;0,"loss","profit")</f>
        <v>profit</v>
      </c>
      <c r="U918" s="4" t="str" cm="1">
        <f t="array" ref="U918">_xlfn.IFS(Table1[[#This Row],[Sales]]&gt;2000,"large",Table1[[#This Row],[Sales]]&gt;=500,"medium",Table1[[#This Row],[Sales]]&lt;500,"small")</f>
        <v>small</v>
      </c>
      <c r="V918" s="22">
        <f>Table1[[#This Row],[Profit]]/Table1[[#This Row],[Sales]]*100</f>
        <v>51.253078371722438</v>
      </c>
    </row>
    <row r="919" spans="1:22" x14ac:dyDescent="0.35">
      <c r="A919" s="4" t="s">
        <v>1353</v>
      </c>
      <c r="B919" s="5">
        <v>45995</v>
      </c>
      <c r="C919" s="4" t="s">
        <v>618</v>
      </c>
      <c r="D919" s="4" t="s">
        <v>20</v>
      </c>
      <c r="E919" s="4" t="s">
        <v>87</v>
      </c>
      <c r="F919" s="4" t="s">
        <v>88</v>
      </c>
      <c r="G919" s="4" t="s">
        <v>67</v>
      </c>
      <c r="H919" s="4" t="s">
        <v>121</v>
      </c>
      <c r="I919" s="4">
        <v>1</v>
      </c>
      <c r="J919" s="6">
        <v>439.06</v>
      </c>
      <c r="K919" s="7">
        <v>0.1</v>
      </c>
      <c r="L919" s="6">
        <f t="shared" si="28"/>
        <v>395.154</v>
      </c>
      <c r="M919" s="6">
        <v>346.33</v>
      </c>
      <c r="N919" s="8">
        <f t="shared" si="29"/>
        <v>48.824000000000012</v>
      </c>
      <c r="O919" s="4" t="s">
        <v>84</v>
      </c>
      <c r="P919" s="4" t="s">
        <v>72</v>
      </c>
      <c r="Q919" s="4">
        <v>4</v>
      </c>
      <c r="R919" s="4" t="str">
        <f>TEXT(Table1[[#This Row],[Order Date]],"mmm")</f>
        <v>Dec</v>
      </c>
      <c r="S919" s="4" t="str">
        <f>TEXT(Table1[[#This Row],[Order Date]],"mm")</f>
        <v>12</v>
      </c>
      <c r="T919" s="4" t="str">
        <f>IF(Table1[[#This Row],[Sales]]&lt;0,"loss","profit")</f>
        <v>profit</v>
      </c>
      <c r="U919" s="4" t="str" cm="1">
        <f t="array" ref="U919">_xlfn.IFS(Table1[[#This Row],[Sales]]&gt;2000,"large",Table1[[#This Row],[Sales]]&gt;=500,"medium",Table1[[#This Row],[Sales]]&lt;500,"small")</f>
        <v>small</v>
      </c>
      <c r="V919" s="22">
        <f>Table1[[#This Row],[Profit]]/Table1[[#This Row],[Sales]]*100</f>
        <v>12.355689174347221</v>
      </c>
    </row>
    <row r="920" spans="1:22" x14ac:dyDescent="0.35">
      <c r="A920" s="4" t="s">
        <v>1354</v>
      </c>
      <c r="B920" s="5">
        <v>45995</v>
      </c>
      <c r="C920" s="4" t="s">
        <v>550</v>
      </c>
      <c r="D920" s="4" t="s">
        <v>47</v>
      </c>
      <c r="E920" s="4" t="s">
        <v>36</v>
      </c>
      <c r="F920" s="4" t="s">
        <v>48</v>
      </c>
      <c r="G920" s="4" t="s">
        <v>23</v>
      </c>
      <c r="H920" s="4" t="s">
        <v>135</v>
      </c>
      <c r="I920" s="4">
        <v>4</v>
      </c>
      <c r="J920" s="6">
        <v>34.44</v>
      </c>
      <c r="K920" s="7">
        <v>0.1</v>
      </c>
      <c r="L920" s="6">
        <f t="shared" si="28"/>
        <v>123.98399999999999</v>
      </c>
      <c r="M920" s="6">
        <v>20.100000000000001</v>
      </c>
      <c r="N920" s="8">
        <f t="shared" si="29"/>
        <v>43.583999999999989</v>
      </c>
      <c r="O920" s="4" t="s">
        <v>51</v>
      </c>
      <c r="P920" s="4" t="s">
        <v>33</v>
      </c>
      <c r="Q920" s="4">
        <v>2</v>
      </c>
      <c r="R920" s="4" t="str">
        <f>TEXT(Table1[[#This Row],[Order Date]],"mmm")</f>
        <v>Dec</v>
      </c>
      <c r="S920" s="4" t="str">
        <f>TEXT(Table1[[#This Row],[Order Date]],"mm")</f>
        <v>12</v>
      </c>
      <c r="T920" s="4" t="str">
        <f>IF(Table1[[#This Row],[Sales]]&lt;0,"loss","profit")</f>
        <v>profit</v>
      </c>
      <c r="U920" s="4" t="str" cm="1">
        <f t="array" ref="U920">_xlfn.IFS(Table1[[#This Row],[Sales]]&gt;2000,"large",Table1[[#This Row],[Sales]]&gt;=500,"medium",Table1[[#This Row],[Sales]]&lt;500,"small")</f>
        <v>small</v>
      </c>
      <c r="V920" s="22">
        <f>Table1[[#This Row],[Profit]]/Table1[[#This Row],[Sales]]*100</f>
        <v>35.152922957800996</v>
      </c>
    </row>
    <row r="921" spans="1:22" x14ac:dyDescent="0.35">
      <c r="A921" s="4" t="s">
        <v>1355</v>
      </c>
      <c r="B921" s="5">
        <v>45996</v>
      </c>
      <c r="C921" s="4" t="s">
        <v>385</v>
      </c>
      <c r="D921" s="4" t="s">
        <v>47</v>
      </c>
      <c r="E921" s="4" t="s">
        <v>21</v>
      </c>
      <c r="F921" s="4" t="s">
        <v>59</v>
      </c>
      <c r="G921" s="4" t="s">
        <v>38</v>
      </c>
      <c r="H921" s="4" t="s">
        <v>39</v>
      </c>
      <c r="I921" s="4">
        <v>6</v>
      </c>
      <c r="J921" s="6">
        <v>361.82</v>
      </c>
      <c r="K921" s="7">
        <v>0</v>
      </c>
      <c r="L921" s="6">
        <f t="shared" si="28"/>
        <v>2170.92</v>
      </c>
      <c r="M921" s="6">
        <v>299.73</v>
      </c>
      <c r="N921" s="8">
        <f t="shared" si="29"/>
        <v>372.53999999999996</v>
      </c>
      <c r="O921" s="4" t="s">
        <v>84</v>
      </c>
      <c r="P921" s="4" t="s">
        <v>26</v>
      </c>
      <c r="Q921" s="4">
        <v>2</v>
      </c>
      <c r="R921" s="4" t="str">
        <f>TEXT(Table1[[#This Row],[Order Date]],"mmm")</f>
        <v>Dec</v>
      </c>
      <c r="S921" s="4" t="str">
        <f>TEXT(Table1[[#This Row],[Order Date]],"mm")</f>
        <v>12</v>
      </c>
      <c r="T921" s="4" t="str">
        <f>IF(Table1[[#This Row],[Sales]]&lt;0,"loss","profit")</f>
        <v>profit</v>
      </c>
      <c r="U921" s="4" t="str" cm="1">
        <f t="array" ref="U921">_xlfn.IFS(Table1[[#This Row],[Sales]]&gt;2000,"large",Table1[[#This Row],[Sales]]&gt;=500,"medium",Table1[[#This Row],[Sales]]&lt;500,"small")</f>
        <v>large</v>
      </c>
      <c r="V921" s="22">
        <f>Table1[[#This Row],[Profit]]/Table1[[#This Row],[Sales]]*100</f>
        <v>17.160466530318942</v>
      </c>
    </row>
    <row r="922" spans="1:22" x14ac:dyDescent="0.35">
      <c r="A922" s="4" t="s">
        <v>1356</v>
      </c>
      <c r="B922" s="5">
        <v>45996</v>
      </c>
      <c r="C922" s="4" t="s">
        <v>1343</v>
      </c>
      <c r="D922" s="4" t="s">
        <v>20</v>
      </c>
      <c r="E922" s="4" t="s">
        <v>29</v>
      </c>
      <c r="F922" s="4" t="s">
        <v>30</v>
      </c>
      <c r="G922" s="4" t="s">
        <v>38</v>
      </c>
      <c r="H922" s="4" t="s">
        <v>109</v>
      </c>
      <c r="I922" s="4">
        <v>3</v>
      </c>
      <c r="J922" s="6">
        <v>379.9</v>
      </c>
      <c r="K922" s="7">
        <v>0.05</v>
      </c>
      <c r="L922" s="6">
        <f t="shared" si="28"/>
        <v>1082.7149999999997</v>
      </c>
      <c r="M922" s="6">
        <v>308.32</v>
      </c>
      <c r="N922" s="8">
        <f t="shared" si="29"/>
        <v>157.75499999999965</v>
      </c>
      <c r="O922" s="4" t="s">
        <v>40</v>
      </c>
      <c r="P922" s="4" t="s">
        <v>72</v>
      </c>
      <c r="Q922" s="4">
        <v>4</v>
      </c>
      <c r="R922" s="4" t="str">
        <f>TEXT(Table1[[#This Row],[Order Date]],"mmm")</f>
        <v>Dec</v>
      </c>
      <c r="S922" s="4" t="str">
        <f>TEXT(Table1[[#This Row],[Order Date]],"mm")</f>
        <v>12</v>
      </c>
      <c r="T922" s="4" t="str">
        <f>IF(Table1[[#This Row],[Sales]]&lt;0,"loss","profit")</f>
        <v>profit</v>
      </c>
      <c r="U922" s="4" t="str" cm="1">
        <f t="array" ref="U922">_xlfn.IFS(Table1[[#This Row],[Sales]]&gt;2000,"large",Table1[[#This Row],[Sales]]&gt;=500,"medium",Table1[[#This Row],[Sales]]&lt;500,"small")</f>
        <v>medium</v>
      </c>
      <c r="V922" s="22">
        <f>Table1[[#This Row],[Profit]]/Table1[[#This Row],[Sales]]*100</f>
        <v>14.570316288219864</v>
      </c>
    </row>
    <row r="923" spans="1:22" x14ac:dyDescent="0.35">
      <c r="A923" s="4" t="s">
        <v>1357</v>
      </c>
      <c r="B923" s="5">
        <v>45996</v>
      </c>
      <c r="C923" s="4" t="s">
        <v>123</v>
      </c>
      <c r="D923" s="4" t="s">
        <v>20</v>
      </c>
      <c r="E923" s="4" t="s">
        <v>29</v>
      </c>
      <c r="F923" s="4" t="s">
        <v>108</v>
      </c>
      <c r="G923" s="4" t="s">
        <v>23</v>
      </c>
      <c r="H923" s="4" t="s">
        <v>44</v>
      </c>
      <c r="I923" s="4">
        <v>1</v>
      </c>
      <c r="J923" s="6">
        <v>159.07</v>
      </c>
      <c r="K923" s="7">
        <v>0.1</v>
      </c>
      <c r="L923" s="6">
        <f t="shared" si="28"/>
        <v>143.16300000000001</v>
      </c>
      <c r="M923" s="6">
        <v>93.38</v>
      </c>
      <c r="N923" s="8">
        <f t="shared" si="29"/>
        <v>49.783000000000015</v>
      </c>
      <c r="O923" s="4" t="s">
        <v>40</v>
      </c>
      <c r="P923" s="4" t="s">
        <v>33</v>
      </c>
      <c r="Q923" s="4">
        <v>5</v>
      </c>
      <c r="R923" s="4" t="str">
        <f>TEXT(Table1[[#This Row],[Order Date]],"mmm")</f>
        <v>Dec</v>
      </c>
      <c r="S923" s="4" t="str">
        <f>TEXT(Table1[[#This Row],[Order Date]],"mm")</f>
        <v>12</v>
      </c>
      <c r="T923" s="4" t="str">
        <f>IF(Table1[[#This Row],[Sales]]&lt;0,"loss","profit")</f>
        <v>profit</v>
      </c>
      <c r="U923" s="4" t="str" cm="1">
        <f t="array" ref="U923">_xlfn.IFS(Table1[[#This Row],[Sales]]&gt;2000,"large",Table1[[#This Row],[Sales]]&gt;=500,"medium",Table1[[#This Row],[Sales]]&lt;500,"small")</f>
        <v>small</v>
      </c>
      <c r="V923" s="22">
        <f>Table1[[#This Row],[Profit]]/Table1[[#This Row],[Sales]]*100</f>
        <v>34.773649616171788</v>
      </c>
    </row>
    <row r="924" spans="1:22" x14ac:dyDescent="0.35">
      <c r="A924" s="4" t="s">
        <v>1358</v>
      </c>
      <c r="B924" s="5">
        <v>45996</v>
      </c>
      <c r="C924" s="4" t="s">
        <v>467</v>
      </c>
      <c r="D924" s="4" t="s">
        <v>43</v>
      </c>
      <c r="E924" s="4" t="s">
        <v>36</v>
      </c>
      <c r="F924" s="4" t="s">
        <v>37</v>
      </c>
      <c r="G924" s="4" t="s">
        <v>67</v>
      </c>
      <c r="H924" s="4" t="s">
        <v>93</v>
      </c>
      <c r="I924" s="4">
        <v>2</v>
      </c>
      <c r="J924" s="6">
        <v>283.75</v>
      </c>
      <c r="K924" s="7">
        <v>0.2</v>
      </c>
      <c r="L924" s="6">
        <f t="shared" si="28"/>
        <v>454</v>
      </c>
      <c r="M924" s="6">
        <v>188.53</v>
      </c>
      <c r="N924" s="8">
        <f t="shared" si="29"/>
        <v>76.94</v>
      </c>
      <c r="O924" s="4" t="s">
        <v>60</v>
      </c>
      <c r="P924" s="4" t="s">
        <v>118</v>
      </c>
      <c r="Q924" s="4">
        <v>5</v>
      </c>
      <c r="R924" s="4" t="str">
        <f>TEXT(Table1[[#This Row],[Order Date]],"mmm")</f>
        <v>Dec</v>
      </c>
      <c r="S924" s="4" t="str">
        <f>TEXT(Table1[[#This Row],[Order Date]],"mm")</f>
        <v>12</v>
      </c>
      <c r="T924" s="4" t="str">
        <f>IF(Table1[[#This Row],[Sales]]&lt;0,"loss","profit")</f>
        <v>profit</v>
      </c>
      <c r="U924" s="4" t="str" cm="1">
        <f t="array" ref="U924">_xlfn.IFS(Table1[[#This Row],[Sales]]&gt;2000,"large",Table1[[#This Row],[Sales]]&gt;=500,"medium",Table1[[#This Row],[Sales]]&lt;500,"small")</f>
        <v>small</v>
      </c>
      <c r="V924" s="22">
        <f>Table1[[#This Row],[Profit]]/Table1[[#This Row],[Sales]]*100</f>
        <v>16.947136563876654</v>
      </c>
    </row>
    <row r="925" spans="1:22" x14ac:dyDescent="0.35">
      <c r="A925" s="4" t="s">
        <v>1359</v>
      </c>
      <c r="B925" s="5">
        <v>45996</v>
      </c>
      <c r="C925" s="4" t="s">
        <v>1360</v>
      </c>
      <c r="D925" s="4" t="s">
        <v>43</v>
      </c>
      <c r="E925" s="4" t="s">
        <v>29</v>
      </c>
      <c r="F925" s="4" t="s">
        <v>108</v>
      </c>
      <c r="G925" s="4" t="s">
        <v>23</v>
      </c>
      <c r="H925" s="4" t="s">
        <v>44</v>
      </c>
      <c r="I925" s="4">
        <v>2</v>
      </c>
      <c r="J925" s="6">
        <v>59.58</v>
      </c>
      <c r="K925" s="7">
        <v>0.2</v>
      </c>
      <c r="L925" s="6">
        <f t="shared" si="28"/>
        <v>95.328000000000003</v>
      </c>
      <c r="M925" s="6">
        <v>37.75</v>
      </c>
      <c r="N925" s="8">
        <f t="shared" si="29"/>
        <v>19.828000000000003</v>
      </c>
      <c r="O925" s="4" t="s">
        <v>51</v>
      </c>
      <c r="P925" s="4" t="s">
        <v>61</v>
      </c>
      <c r="Q925" s="4">
        <v>3</v>
      </c>
      <c r="R925" s="4" t="str">
        <f>TEXT(Table1[[#This Row],[Order Date]],"mmm")</f>
        <v>Dec</v>
      </c>
      <c r="S925" s="4" t="str">
        <f>TEXT(Table1[[#This Row],[Order Date]],"mm")</f>
        <v>12</v>
      </c>
      <c r="T925" s="4" t="str">
        <f>IF(Table1[[#This Row],[Sales]]&lt;0,"loss","profit")</f>
        <v>profit</v>
      </c>
      <c r="U925" s="4" t="str" cm="1">
        <f t="array" ref="U925">_xlfn.IFS(Table1[[#This Row],[Sales]]&gt;2000,"large",Table1[[#This Row],[Sales]]&gt;=500,"medium",Table1[[#This Row],[Sales]]&lt;500,"small")</f>
        <v>small</v>
      </c>
      <c r="V925" s="22">
        <f>Table1[[#This Row],[Profit]]/Table1[[#This Row],[Sales]]*100</f>
        <v>20.799765021819404</v>
      </c>
    </row>
    <row r="926" spans="1:22" x14ac:dyDescent="0.35">
      <c r="A926" s="4" t="s">
        <v>1361</v>
      </c>
      <c r="B926" s="5">
        <v>45997</v>
      </c>
      <c r="C926" s="4" t="s">
        <v>262</v>
      </c>
      <c r="D926" s="4" t="s">
        <v>47</v>
      </c>
      <c r="E926" s="4" t="s">
        <v>36</v>
      </c>
      <c r="F926" s="4" t="s">
        <v>37</v>
      </c>
      <c r="G926" s="4" t="s">
        <v>38</v>
      </c>
      <c r="H926" s="4" t="s">
        <v>109</v>
      </c>
      <c r="I926" s="4">
        <v>2</v>
      </c>
      <c r="J926" s="6">
        <v>470.57</v>
      </c>
      <c r="K926" s="7">
        <v>0.1</v>
      </c>
      <c r="L926" s="6">
        <f t="shared" si="28"/>
        <v>847.02599999999995</v>
      </c>
      <c r="M926" s="6">
        <v>388.09</v>
      </c>
      <c r="N926" s="8">
        <f t="shared" si="29"/>
        <v>70.846000000000004</v>
      </c>
      <c r="O926" s="4" t="s">
        <v>51</v>
      </c>
      <c r="P926" s="4" t="s">
        <v>61</v>
      </c>
      <c r="Q926" s="4">
        <v>4</v>
      </c>
      <c r="R926" s="4" t="str">
        <f>TEXT(Table1[[#This Row],[Order Date]],"mmm")</f>
        <v>Dec</v>
      </c>
      <c r="S926" s="4" t="str">
        <f>TEXT(Table1[[#This Row],[Order Date]],"mm")</f>
        <v>12</v>
      </c>
      <c r="T926" s="4" t="str">
        <f>IF(Table1[[#This Row],[Sales]]&lt;0,"loss","profit")</f>
        <v>profit</v>
      </c>
      <c r="U926" s="4" t="str" cm="1">
        <f t="array" ref="U926">_xlfn.IFS(Table1[[#This Row],[Sales]]&gt;2000,"large",Table1[[#This Row],[Sales]]&gt;=500,"medium",Table1[[#This Row],[Sales]]&lt;500,"small")</f>
        <v>medium</v>
      </c>
      <c r="V926" s="22">
        <f>Table1[[#This Row],[Profit]]/Table1[[#This Row],[Sales]]*100</f>
        <v>8.3640879972987836</v>
      </c>
    </row>
    <row r="927" spans="1:22" x14ac:dyDescent="0.35">
      <c r="A927" s="4" t="s">
        <v>1362</v>
      </c>
      <c r="B927" s="5">
        <v>45997</v>
      </c>
      <c r="C927" s="4" t="s">
        <v>235</v>
      </c>
      <c r="D927" s="4" t="s">
        <v>20</v>
      </c>
      <c r="E927" s="4" t="s">
        <v>87</v>
      </c>
      <c r="F927" s="4" t="s">
        <v>92</v>
      </c>
      <c r="G927" s="4" t="s">
        <v>38</v>
      </c>
      <c r="H927" s="4" t="s">
        <v>96</v>
      </c>
      <c r="I927" s="4">
        <v>8</v>
      </c>
      <c r="J927" s="6">
        <v>582.20000000000005</v>
      </c>
      <c r="K927" s="7">
        <v>0.2</v>
      </c>
      <c r="L927" s="6">
        <f t="shared" si="28"/>
        <v>3726.0800000000004</v>
      </c>
      <c r="M927" s="6">
        <v>449.54</v>
      </c>
      <c r="N927" s="8">
        <f t="shared" si="29"/>
        <v>129.76000000000022</v>
      </c>
      <c r="O927" s="4" t="s">
        <v>40</v>
      </c>
      <c r="P927" s="4" t="s">
        <v>33</v>
      </c>
      <c r="Q927" s="4">
        <v>3</v>
      </c>
      <c r="R927" s="4" t="str">
        <f>TEXT(Table1[[#This Row],[Order Date]],"mmm")</f>
        <v>Dec</v>
      </c>
      <c r="S927" s="4" t="str">
        <f>TEXT(Table1[[#This Row],[Order Date]],"mm")</f>
        <v>12</v>
      </c>
      <c r="T927" s="4" t="str">
        <f>IF(Table1[[#This Row],[Sales]]&lt;0,"loss","profit")</f>
        <v>profit</v>
      </c>
      <c r="U927" s="4" t="str" cm="1">
        <f t="array" ref="U927">_xlfn.IFS(Table1[[#This Row],[Sales]]&gt;2000,"large",Table1[[#This Row],[Sales]]&gt;=500,"medium",Table1[[#This Row],[Sales]]&lt;500,"small")</f>
        <v>large</v>
      </c>
      <c r="V927" s="22">
        <f>Table1[[#This Row],[Profit]]/Table1[[#This Row],[Sales]]*100</f>
        <v>3.4824802473376901</v>
      </c>
    </row>
    <row r="928" spans="1:22" x14ac:dyDescent="0.35">
      <c r="A928" s="4" t="s">
        <v>1363</v>
      </c>
      <c r="B928" s="5">
        <v>45997</v>
      </c>
      <c r="C928" s="4" t="s">
        <v>1113</v>
      </c>
      <c r="D928" s="4" t="s">
        <v>43</v>
      </c>
      <c r="E928" s="4" t="s">
        <v>36</v>
      </c>
      <c r="F928" s="4" t="s">
        <v>37</v>
      </c>
      <c r="G928" s="4" t="s">
        <v>67</v>
      </c>
      <c r="H928" s="4" t="s">
        <v>140</v>
      </c>
      <c r="I928" s="4">
        <v>2</v>
      </c>
      <c r="J928" s="6">
        <v>130.44999999999999</v>
      </c>
      <c r="K928" s="7">
        <v>0</v>
      </c>
      <c r="L928" s="6">
        <f t="shared" si="28"/>
        <v>260.89999999999998</v>
      </c>
      <c r="M928" s="6">
        <v>96.37</v>
      </c>
      <c r="N928" s="8">
        <f t="shared" si="29"/>
        <v>68.159999999999968</v>
      </c>
      <c r="O928" s="4" t="s">
        <v>40</v>
      </c>
      <c r="P928" s="4" t="s">
        <v>75</v>
      </c>
      <c r="Q928" s="4">
        <v>5</v>
      </c>
      <c r="R928" s="4" t="str">
        <f>TEXT(Table1[[#This Row],[Order Date]],"mmm")</f>
        <v>Dec</v>
      </c>
      <c r="S928" s="4" t="str">
        <f>TEXT(Table1[[#This Row],[Order Date]],"mm")</f>
        <v>12</v>
      </c>
      <c r="T928" s="4" t="str">
        <f>IF(Table1[[#This Row],[Sales]]&lt;0,"loss","profit")</f>
        <v>profit</v>
      </c>
      <c r="U928" s="4" t="str" cm="1">
        <f t="array" ref="U928">_xlfn.IFS(Table1[[#This Row],[Sales]]&gt;2000,"large",Table1[[#This Row],[Sales]]&gt;=500,"medium",Table1[[#This Row],[Sales]]&lt;500,"small")</f>
        <v>small</v>
      </c>
      <c r="V928" s="22">
        <f>Table1[[#This Row],[Profit]]/Table1[[#This Row],[Sales]]*100</f>
        <v>26.124952088922949</v>
      </c>
    </row>
    <row r="929" spans="1:22" x14ac:dyDescent="0.35">
      <c r="A929" s="4" t="s">
        <v>1364</v>
      </c>
      <c r="B929" s="5">
        <v>45997</v>
      </c>
      <c r="C929" s="4" t="s">
        <v>1147</v>
      </c>
      <c r="D929" s="4" t="s">
        <v>20</v>
      </c>
      <c r="E929" s="4" t="s">
        <v>29</v>
      </c>
      <c r="F929" s="4" t="s">
        <v>30</v>
      </c>
      <c r="G929" s="4" t="s">
        <v>23</v>
      </c>
      <c r="H929" s="4" t="s">
        <v>44</v>
      </c>
      <c r="I929" s="4">
        <v>1</v>
      </c>
      <c r="J929" s="6">
        <v>82.43</v>
      </c>
      <c r="K929" s="7">
        <v>0.1</v>
      </c>
      <c r="L929" s="6">
        <f t="shared" si="28"/>
        <v>74.187000000000012</v>
      </c>
      <c r="M929" s="6">
        <v>36.979999999999997</v>
      </c>
      <c r="N929" s="8">
        <f t="shared" si="29"/>
        <v>37.207000000000015</v>
      </c>
      <c r="O929" s="4" t="s">
        <v>25</v>
      </c>
      <c r="P929" s="4" t="s">
        <v>33</v>
      </c>
      <c r="Q929" s="4">
        <v>5</v>
      </c>
      <c r="R929" s="4" t="str">
        <f>TEXT(Table1[[#This Row],[Order Date]],"mmm")</f>
        <v>Dec</v>
      </c>
      <c r="S929" s="4" t="str">
        <f>TEXT(Table1[[#This Row],[Order Date]],"mm")</f>
        <v>12</v>
      </c>
      <c r="T929" s="4" t="str">
        <f>IF(Table1[[#This Row],[Sales]]&lt;0,"loss","profit")</f>
        <v>profit</v>
      </c>
      <c r="U929" s="4" t="str" cm="1">
        <f t="array" ref="U929">_xlfn.IFS(Table1[[#This Row],[Sales]]&gt;2000,"large",Table1[[#This Row],[Sales]]&gt;=500,"medium",Table1[[#This Row],[Sales]]&lt;500,"small")</f>
        <v>small</v>
      </c>
      <c r="V929" s="22">
        <f>Table1[[#This Row],[Profit]]/Table1[[#This Row],[Sales]]*100</f>
        <v>50.152991764055713</v>
      </c>
    </row>
    <row r="930" spans="1:22" x14ac:dyDescent="0.35">
      <c r="A930" s="4" t="s">
        <v>1365</v>
      </c>
      <c r="B930" s="5">
        <v>45997</v>
      </c>
      <c r="C930" s="4" t="s">
        <v>99</v>
      </c>
      <c r="D930" s="4" t="s">
        <v>47</v>
      </c>
      <c r="E930" s="4" t="s">
        <v>87</v>
      </c>
      <c r="F930" s="4" t="s">
        <v>88</v>
      </c>
      <c r="G930" s="4" t="s">
        <v>38</v>
      </c>
      <c r="H930" s="4" t="s">
        <v>96</v>
      </c>
      <c r="I930" s="4">
        <v>3</v>
      </c>
      <c r="J930" s="6">
        <v>585.01</v>
      </c>
      <c r="K930" s="7">
        <v>0.05</v>
      </c>
      <c r="L930" s="6">
        <f t="shared" si="28"/>
        <v>1667.2784999999999</v>
      </c>
      <c r="M930" s="6">
        <v>497.93</v>
      </c>
      <c r="N930" s="8">
        <f t="shared" si="29"/>
        <v>173.48849999999993</v>
      </c>
      <c r="O930" s="4" t="s">
        <v>60</v>
      </c>
      <c r="P930" s="4" t="s">
        <v>72</v>
      </c>
      <c r="Q930" s="4">
        <v>3</v>
      </c>
      <c r="R930" s="4" t="str">
        <f>TEXT(Table1[[#This Row],[Order Date]],"mmm")</f>
        <v>Dec</v>
      </c>
      <c r="S930" s="4" t="str">
        <f>TEXT(Table1[[#This Row],[Order Date]],"mm")</f>
        <v>12</v>
      </c>
      <c r="T930" s="4" t="str">
        <f>IF(Table1[[#This Row],[Sales]]&lt;0,"loss","profit")</f>
        <v>profit</v>
      </c>
      <c r="U930" s="4" t="str" cm="1">
        <f t="array" ref="U930">_xlfn.IFS(Table1[[#This Row],[Sales]]&gt;2000,"large",Table1[[#This Row],[Sales]]&gt;=500,"medium",Table1[[#This Row],[Sales]]&lt;500,"small")</f>
        <v>medium</v>
      </c>
      <c r="V930" s="22">
        <f>Table1[[#This Row],[Profit]]/Table1[[#This Row],[Sales]]*100</f>
        <v>10.405490144567926</v>
      </c>
    </row>
    <row r="931" spans="1:22" x14ac:dyDescent="0.35">
      <c r="A931" s="4" t="s">
        <v>1366</v>
      </c>
      <c r="B931" s="5">
        <v>45998</v>
      </c>
      <c r="C931" s="4" t="s">
        <v>475</v>
      </c>
      <c r="D931" s="4" t="s">
        <v>43</v>
      </c>
      <c r="E931" s="4" t="s">
        <v>29</v>
      </c>
      <c r="F931" s="4" t="s">
        <v>108</v>
      </c>
      <c r="G931" s="4" t="s">
        <v>31</v>
      </c>
      <c r="H931" s="4" t="s">
        <v>32</v>
      </c>
      <c r="I931" s="4">
        <v>8</v>
      </c>
      <c r="J931" s="6">
        <v>384.17</v>
      </c>
      <c r="K931" s="7">
        <v>0.1</v>
      </c>
      <c r="L931" s="6">
        <f t="shared" si="28"/>
        <v>2766.0240000000003</v>
      </c>
      <c r="M931" s="6">
        <v>215.39</v>
      </c>
      <c r="N931" s="8">
        <f t="shared" si="29"/>
        <v>1042.9040000000005</v>
      </c>
      <c r="O931" s="4" t="s">
        <v>51</v>
      </c>
      <c r="P931" s="4" t="s">
        <v>97</v>
      </c>
      <c r="Q931" s="4">
        <v>2</v>
      </c>
      <c r="R931" s="4" t="str">
        <f>TEXT(Table1[[#This Row],[Order Date]],"mmm")</f>
        <v>Dec</v>
      </c>
      <c r="S931" s="4" t="str">
        <f>TEXT(Table1[[#This Row],[Order Date]],"mm")</f>
        <v>12</v>
      </c>
      <c r="T931" s="4" t="str">
        <f>IF(Table1[[#This Row],[Sales]]&lt;0,"loss","profit")</f>
        <v>profit</v>
      </c>
      <c r="U931" s="4" t="str" cm="1">
        <f t="array" ref="U931">_xlfn.IFS(Table1[[#This Row],[Sales]]&gt;2000,"large",Table1[[#This Row],[Sales]]&gt;=500,"medium",Table1[[#This Row],[Sales]]&lt;500,"small")</f>
        <v>large</v>
      </c>
      <c r="V931" s="22">
        <f>Table1[[#This Row],[Profit]]/Table1[[#This Row],[Sales]]*100</f>
        <v>37.704083550974261</v>
      </c>
    </row>
    <row r="932" spans="1:22" x14ac:dyDescent="0.35">
      <c r="A932" s="4" t="s">
        <v>1367</v>
      </c>
      <c r="B932" s="5">
        <v>45998</v>
      </c>
      <c r="C932" s="4" t="s">
        <v>534</v>
      </c>
      <c r="D932" s="4" t="s">
        <v>43</v>
      </c>
      <c r="E932" s="4" t="s">
        <v>36</v>
      </c>
      <c r="F932" s="4" t="s">
        <v>48</v>
      </c>
      <c r="G932" s="4" t="s">
        <v>38</v>
      </c>
      <c r="H932" s="4" t="s">
        <v>55</v>
      </c>
      <c r="I932" s="4">
        <v>2</v>
      </c>
      <c r="J932" s="6">
        <v>104.53</v>
      </c>
      <c r="K932" s="7">
        <v>0.15</v>
      </c>
      <c r="L932" s="6">
        <f t="shared" si="28"/>
        <v>177.70099999999999</v>
      </c>
      <c r="M932" s="6">
        <v>88.28</v>
      </c>
      <c r="N932" s="8">
        <f t="shared" si="29"/>
        <v>1.1409999999999911</v>
      </c>
      <c r="O932" s="4" t="s">
        <v>40</v>
      </c>
      <c r="P932" s="4" t="s">
        <v>61</v>
      </c>
      <c r="Q932" s="4">
        <v>5</v>
      </c>
      <c r="R932" s="4" t="str">
        <f>TEXT(Table1[[#This Row],[Order Date]],"mmm")</f>
        <v>Dec</v>
      </c>
      <c r="S932" s="4" t="str">
        <f>TEXT(Table1[[#This Row],[Order Date]],"mm")</f>
        <v>12</v>
      </c>
      <c r="T932" s="4" t="str">
        <f>IF(Table1[[#This Row],[Sales]]&lt;0,"loss","profit")</f>
        <v>profit</v>
      </c>
      <c r="U932" s="4" t="str" cm="1">
        <f t="array" ref="U932">_xlfn.IFS(Table1[[#This Row],[Sales]]&gt;2000,"large",Table1[[#This Row],[Sales]]&gt;=500,"medium",Table1[[#This Row],[Sales]]&lt;500,"small")</f>
        <v>small</v>
      </c>
      <c r="V932" s="22">
        <f>Table1[[#This Row],[Profit]]/Table1[[#This Row],[Sales]]*100</f>
        <v>0.64208980253346415</v>
      </c>
    </row>
    <row r="933" spans="1:22" x14ac:dyDescent="0.35">
      <c r="A933" s="4" t="s">
        <v>1368</v>
      </c>
      <c r="B933" s="5">
        <v>45999</v>
      </c>
      <c r="C933" s="4" t="s">
        <v>320</v>
      </c>
      <c r="D933" s="4" t="s">
        <v>20</v>
      </c>
      <c r="E933" s="4" t="s">
        <v>36</v>
      </c>
      <c r="F933" s="4" t="s">
        <v>37</v>
      </c>
      <c r="G933" s="4" t="s">
        <v>23</v>
      </c>
      <c r="H933" s="4" t="s">
        <v>24</v>
      </c>
      <c r="I933" s="4">
        <v>2</v>
      </c>
      <c r="J933" s="6">
        <v>61.52</v>
      </c>
      <c r="K933" s="7">
        <v>0.1</v>
      </c>
      <c r="L933" s="6">
        <f t="shared" si="28"/>
        <v>110.736</v>
      </c>
      <c r="M933" s="6">
        <v>33.25</v>
      </c>
      <c r="N933" s="8">
        <f t="shared" si="29"/>
        <v>44.236000000000004</v>
      </c>
      <c r="O933" s="4" t="s">
        <v>25</v>
      </c>
      <c r="P933" s="4" t="s">
        <v>75</v>
      </c>
      <c r="Q933" s="4">
        <v>3</v>
      </c>
      <c r="R933" s="4" t="str">
        <f>TEXT(Table1[[#This Row],[Order Date]],"mmm")</f>
        <v>Dec</v>
      </c>
      <c r="S933" s="4" t="str">
        <f>TEXT(Table1[[#This Row],[Order Date]],"mm")</f>
        <v>12</v>
      </c>
      <c r="T933" s="4" t="str">
        <f>IF(Table1[[#This Row],[Sales]]&lt;0,"loss","profit")</f>
        <v>profit</v>
      </c>
      <c r="U933" s="4" t="str" cm="1">
        <f t="array" ref="U933">_xlfn.IFS(Table1[[#This Row],[Sales]]&gt;2000,"large",Table1[[#This Row],[Sales]]&gt;=500,"medium",Table1[[#This Row],[Sales]]&lt;500,"small")</f>
        <v>small</v>
      </c>
      <c r="V933" s="22">
        <f>Table1[[#This Row],[Profit]]/Table1[[#This Row],[Sales]]*100</f>
        <v>39.947261956364684</v>
      </c>
    </row>
    <row r="934" spans="1:22" x14ac:dyDescent="0.35">
      <c r="A934" s="4" t="s">
        <v>1369</v>
      </c>
      <c r="B934" s="5">
        <v>45999</v>
      </c>
      <c r="C934" s="4" t="s">
        <v>734</v>
      </c>
      <c r="D934" s="4" t="s">
        <v>47</v>
      </c>
      <c r="E934" s="4" t="s">
        <v>29</v>
      </c>
      <c r="F934" s="4" t="s">
        <v>108</v>
      </c>
      <c r="G934" s="4" t="s">
        <v>31</v>
      </c>
      <c r="H934" s="4" t="s">
        <v>64</v>
      </c>
      <c r="I934" s="4">
        <v>6</v>
      </c>
      <c r="J934" s="6">
        <v>241.01</v>
      </c>
      <c r="K934" s="7">
        <v>0</v>
      </c>
      <c r="L934" s="6">
        <f t="shared" si="28"/>
        <v>1446.06</v>
      </c>
      <c r="M934" s="6">
        <v>163.35</v>
      </c>
      <c r="N934" s="8">
        <f t="shared" si="29"/>
        <v>465.96000000000004</v>
      </c>
      <c r="O934" s="4" t="s">
        <v>40</v>
      </c>
      <c r="P934" s="4" t="s">
        <v>118</v>
      </c>
      <c r="Q934" s="4">
        <v>4</v>
      </c>
      <c r="R934" s="4" t="str">
        <f>TEXT(Table1[[#This Row],[Order Date]],"mmm")</f>
        <v>Dec</v>
      </c>
      <c r="S934" s="4" t="str">
        <f>TEXT(Table1[[#This Row],[Order Date]],"mm")</f>
        <v>12</v>
      </c>
      <c r="T934" s="4" t="str">
        <f>IF(Table1[[#This Row],[Sales]]&lt;0,"loss","profit")</f>
        <v>profit</v>
      </c>
      <c r="U934" s="4" t="str" cm="1">
        <f t="array" ref="U934">_xlfn.IFS(Table1[[#This Row],[Sales]]&gt;2000,"large",Table1[[#This Row],[Sales]]&gt;=500,"medium",Table1[[#This Row],[Sales]]&lt;500,"small")</f>
        <v>medium</v>
      </c>
      <c r="V934" s="22">
        <f>Table1[[#This Row],[Profit]]/Table1[[#This Row],[Sales]]*100</f>
        <v>32.222729347329995</v>
      </c>
    </row>
    <row r="935" spans="1:22" x14ac:dyDescent="0.35">
      <c r="A935" s="4" t="s">
        <v>1370</v>
      </c>
      <c r="B935" s="5">
        <v>45999</v>
      </c>
      <c r="C935" s="4" t="s">
        <v>325</v>
      </c>
      <c r="D935" s="4" t="s">
        <v>43</v>
      </c>
      <c r="E935" s="4" t="s">
        <v>21</v>
      </c>
      <c r="F935" s="4" t="s">
        <v>22</v>
      </c>
      <c r="G935" s="4" t="s">
        <v>31</v>
      </c>
      <c r="H935" s="4" t="s">
        <v>64</v>
      </c>
      <c r="I935" s="4">
        <v>1</v>
      </c>
      <c r="J935" s="6">
        <v>93.63</v>
      </c>
      <c r="K935" s="7">
        <v>0.05</v>
      </c>
      <c r="L935" s="6">
        <f t="shared" si="28"/>
        <v>88.948499999999996</v>
      </c>
      <c r="M935" s="6">
        <v>56.22</v>
      </c>
      <c r="N935" s="8">
        <f t="shared" si="29"/>
        <v>32.728499999999997</v>
      </c>
      <c r="O935" s="4" t="s">
        <v>60</v>
      </c>
      <c r="P935" s="4" t="s">
        <v>75</v>
      </c>
      <c r="Q935" s="4">
        <v>5</v>
      </c>
      <c r="R935" s="4" t="str">
        <f>TEXT(Table1[[#This Row],[Order Date]],"mmm")</f>
        <v>Dec</v>
      </c>
      <c r="S935" s="4" t="str">
        <f>TEXT(Table1[[#This Row],[Order Date]],"mm")</f>
        <v>12</v>
      </c>
      <c r="T935" s="4" t="str">
        <f>IF(Table1[[#This Row],[Sales]]&lt;0,"loss","profit")</f>
        <v>profit</v>
      </c>
      <c r="U935" s="4" t="str" cm="1">
        <f t="array" ref="U935">_xlfn.IFS(Table1[[#This Row],[Sales]]&gt;2000,"large",Table1[[#This Row],[Sales]]&gt;=500,"medium",Table1[[#This Row],[Sales]]&lt;500,"small")</f>
        <v>small</v>
      </c>
      <c r="V935" s="22">
        <f>Table1[[#This Row],[Profit]]/Table1[[#This Row],[Sales]]*100</f>
        <v>36.794886928953268</v>
      </c>
    </row>
    <row r="936" spans="1:22" x14ac:dyDescent="0.35">
      <c r="A936" s="4" t="s">
        <v>1371</v>
      </c>
      <c r="B936" s="5">
        <v>45999</v>
      </c>
      <c r="C936" s="4" t="s">
        <v>385</v>
      </c>
      <c r="D936" s="4" t="s">
        <v>47</v>
      </c>
      <c r="E936" s="4" t="s">
        <v>36</v>
      </c>
      <c r="F936" s="4" t="s">
        <v>37</v>
      </c>
      <c r="G936" s="4" t="s">
        <v>23</v>
      </c>
      <c r="H936" s="4" t="s">
        <v>135</v>
      </c>
      <c r="I936" s="4">
        <v>2</v>
      </c>
      <c r="J936" s="6">
        <v>23.27</v>
      </c>
      <c r="K936" s="7">
        <v>0.05</v>
      </c>
      <c r="L936" s="6">
        <f t="shared" si="28"/>
        <v>44.212999999999994</v>
      </c>
      <c r="M936" s="6">
        <v>9.33</v>
      </c>
      <c r="N936" s="8">
        <f t="shared" si="29"/>
        <v>25.552999999999994</v>
      </c>
      <c r="O936" s="4" t="s">
        <v>60</v>
      </c>
      <c r="P936" s="4" t="s">
        <v>56</v>
      </c>
      <c r="Q936" s="4">
        <v>5</v>
      </c>
      <c r="R936" s="4" t="str">
        <f>TEXT(Table1[[#This Row],[Order Date]],"mmm")</f>
        <v>Dec</v>
      </c>
      <c r="S936" s="4" t="str">
        <f>TEXT(Table1[[#This Row],[Order Date]],"mm")</f>
        <v>12</v>
      </c>
      <c r="T936" s="4" t="str">
        <f>IF(Table1[[#This Row],[Sales]]&lt;0,"loss","profit")</f>
        <v>profit</v>
      </c>
      <c r="U936" s="4" t="str" cm="1">
        <f t="array" ref="U936">_xlfn.IFS(Table1[[#This Row],[Sales]]&gt;2000,"large",Table1[[#This Row],[Sales]]&gt;=500,"medium",Table1[[#This Row],[Sales]]&lt;500,"small")</f>
        <v>small</v>
      </c>
      <c r="V936" s="22">
        <f>Table1[[#This Row],[Profit]]/Table1[[#This Row],[Sales]]*100</f>
        <v>57.795218600863997</v>
      </c>
    </row>
    <row r="937" spans="1:22" x14ac:dyDescent="0.35">
      <c r="A937" s="4" t="s">
        <v>1372</v>
      </c>
      <c r="B937" s="5">
        <v>46000</v>
      </c>
      <c r="C937" s="4" t="s">
        <v>63</v>
      </c>
      <c r="D937" s="4" t="s">
        <v>47</v>
      </c>
      <c r="E937" s="4" t="s">
        <v>21</v>
      </c>
      <c r="F937" s="4" t="s">
        <v>59</v>
      </c>
      <c r="G937" s="4" t="s">
        <v>31</v>
      </c>
      <c r="H937" s="4" t="s">
        <v>125</v>
      </c>
      <c r="I937" s="4">
        <v>6</v>
      </c>
      <c r="J937" s="6">
        <v>165.76</v>
      </c>
      <c r="K937" s="7">
        <v>0.1</v>
      </c>
      <c r="L937" s="6">
        <f t="shared" si="28"/>
        <v>895.10399999999993</v>
      </c>
      <c r="M937" s="6">
        <v>96.26</v>
      </c>
      <c r="N937" s="8">
        <f t="shared" si="29"/>
        <v>317.54399999999987</v>
      </c>
      <c r="O937" s="4" t="s">
        <v>40</v>
      </c>
      <c r="P937" s="4" t="s">
        <v>33</v>
      </c>
      <c r="Q937" s="4">
        <v>4</v>
      </c>
      <c r="R937" s="4" t="str">
        <f>TEXT(Table1[[#This Row],[Order Date]],"mmm")</f>
        <v>Dec</v>
      </c>
      <c r="S937" s="4" t="str">
        <f>TEXT(Table1[[#This Row],[Order Date]],"mm")</f>
        <v>12</v>
      </c>
      <c r="T937" s="4" t="str">
        <f>IF(Table1[[#This Row],[Sales]]&lt;0,"loss","profit")</f>
        <v>profit</v>
      </c>
      <c r="U937" s="4" t="str" cm="1">
        <f t="array" ref="U937">_xlfn.IFS(Table1[[#This Row],[Sales]]&gt;2000,"large",Table1[[#This Row],[Sales]]&gt;=500,"medium",Table1[[#This Row],[Sales]]&lt;500,"small")</f>
        <v>medium</v>
      </c>
      <c r="V937" s="22">
        <f>Table1[[#This Row],[Profit]]/Table1[[#This Row],[Sales]]*100</f>
        <v>35.47565422565421</v>
      </c>
    </row>
    <row r="938" spans="1:22" x14ac:dyDescent="0.35">
      <c r="A938" s="4" t="s">
        <v>1373</v>
      </c>
      <c r="B938" s="5">
        <v>46000</v>
      </c>
      <c r="C938" s="4" t="s">
        <v>28</v>
      </c>
      <c r="D938" s="4" t="s">
        <v>47</v>
      </c>
      <c r="E938" s="4" t="s">
        <v>36</v>
      </c>
      <c r="F938" s="4" t="s">
        <v>201</v>
      </c>
      <c r="G938" s="4" t="s">
        <v>49</v>
      </c>
      <c r="H938" s="4" t="s">
        <v>128</v>
      </c>
      <c r="I938" s="4">
        <v>2</v>
      </c>
      <c r="J938" s="6">
        <v>106.31</v>
      </c>
      <c r="K938" s="7">
        <v>0.1</v>
      </c>
      <c r="L938" s="6">
        <f t="shared" si="28"/>
        <v>191.358</v>
      </c>
      <c r="M938" s="6">
        <v>78.180000000000007</v>
      </c>
      <c r="N938" s="8">
        <f t="shared" si="29"/>
        <v>34.99799999999999</v>
      </c>
      <c r="O938" s="4" t="s">
        <v>40</v>
      </c>
      <c r="P938" s="4" t="s">
        <v>33</v>
      </c>
      <c r="Q938" s="4">
        <v>1</v>
      </c>
      <c r="R938" s="4" t="str">
        <f>TEXT(Table1[[#This Row],[Order Date]],"mmm")</f>
        <v>Dec</v>
      </c>
      <c r="S938" s="4" t="str">
        <f>TEXT(Table1[[#This Row],[Order Date]],"mm")</f>
        <v>12</v>
      </c>
      <c r="T938" s="4" t="str">
        <f>IF(Table1[[#This Row],[Sales]]&lt;0,"loss","profit")</f>
        <v>profit</v>
      </c>
      <c r="U938" s="4" t="str" cm="1">
        <f t="array" ref="U938">_xlfn.IFS(Table1[[#This Row],[Sales]]&gt;2000,"large",Table1[[#This Row],[Sales]]&gt;=500,"medium",Table1[[#This Row],[Sales]]&lt;500,"small")</f>
        <v>small</v>
      </c>
      <c r="V938" s="22">
        <f>Table1[[#This Row],[Profit]]/Table1[[#This Row],[Sales]]*100</f>
        <v>18.289279779261904</v>
      </c>
    </row>
    <row r="939" spans="1:22" x14ac:dyDescent="0.35">
      <c r="A939" s="4" t="s">
        <v>1374</v>
      </c>
      <c r="B939" s="5">
        <v>46000</v>
      </c>
      <c r="C939" s="4" t="s">
        <v>612</v>
      </c>
      <c r="D939" s="4" t="s">
        <v>43</v>
      </c>
      <c r="E939" s="4" t="s">
        <v>87</v>
      </c>
      <c r="F939" s="4" t="s">
        <v>92</v>
      </c>
      <c r="G939" s="4" t="s">
        <v>31</v>
      </c>
      <c r="H939" s="4" t="s">
        <v>147</v>
      </c>
      <c r="I939" s="4">
        <v>5</v>
      </c>
      <c r="J939" s="6">
        <v>25.81</v>
      </c>
      <c r="K939" s="7">
        <v>0.05</v>
      </c>
      <c r="L939" s="6">
        <f t="shared" si="28"/>
        <v>122.59749999999998</v>
      </c>
      <c r="M939" s="6">
        <v>17.690000000000001</v>
      </c>
      <c r="N939" s="8">
        <f t="shared" si="29"/>
        <v>34.14749999999998</v>
      </c>
      <c r="O939" s="4" t="s">
        <v>51</v>
      </c>
      <c r="P939" s="4" t="s">
        <v>26</v>
      </c>
      <c r="Q939" s="4">
        <v>4</v>
      </c>
      <c r="R939" s="4" t="str">
        <f>TEXT(Table1[[#This Row],[Order Date]],"mmm")</f>
        <v>Dec</v>
      </c>
      <c r="S939" s="4" t="str">
        <f>TEXT(Table1[[#This Row],[Order Date]],"mm")</f>
        <v>12</v>
      </c>
      <c r="T939" s="4" t="str">
        <f>IF(Table1[[#This Row],[Sales]]&lt;0,"loss","profit")</f>
        <v>profit</v>
      </c>
      <c r="U939" s="4" t="str" cm="1">
        <f t="array" ref="U939">_xlfn.IFS(Table1[[#This Row],[Sales]]&gt;2000,"large",Table1[[#This Row],[Sales]]&gt;=500,"medium",Table1[[#This Row],[Sales]]&lt;500,"small")</f>
        <v>small</v>
      </c>
      <c r="V939" s="22">
        <f>Table1[[#This Row],[Profit]]/Table1[[#This Row],[Sales]]*100</f>
        <v>27.853341218214062</v>
      </c>
    </row>
    <row r="940" spans="1:22" x14ac:dyDescent="0.35">
      <c r="A940" s="4" t="s">
        <v>1375</v>
      </c>
      <c r="B940" s="5">
        <v>46000</v>
      </c>
      <c r="C940" s="4" t="s">
        <v>86</v>
      </c>
      <c r="D940" s="4" t="s">
        <v>47</v>
      </c>
      <c r="E940" s="4" t="s">
        <v>87</v>
      </c>
      <c r="F940" s="4" t="s">
        <v>88</v>
      </c>
      <c r="G940" s="4" t="s">
        <v>38</v>
      </c>
      <c r="H940" s="4" t="s">
        <v>39</v>
      </c>
      <c r="I940" s="4">
        <v>4</v>
      </c>
      <c r="J940" s="6">
        <v>422.38</v>
      </c>
      <c r="K940" s="7">
        <v>0</v>
      </c>
      <c r="L940" s="6">
        <f t="shared" si="28"/>
        <v>1689.52</v>
      </c>
      <c r="M940" s="6">
        <v>323.55</v>
      </c>
      <c r="N940" s="8">
        <f t="shared" si="29"/>
        <v>395.31999999999994</v>
      </c>
      <c r="O940" s="4" t="s">
        <v>60</v>
      </c>
      <c r="P940" s="4" t="s">
        <v>75</v>
      </c>
      <c r="Q940" s="4">
        <v>5</v>
      </c>
      <c r="R940" s="4" t="str">
        <f>TEXT(Table1[[#This Row],[Order Date]],"mmm")</f>
        <v>Dec</v>
      </c>
      <c r="S940" s="4" t="str">
        <f>TEXT(Table1[[#This Row],[Order Date]],"mm")</f>
        <v>12</v>
      </c>
      <c r="T940" s="4" t="str">
        <f>IF(Table1[[#This Row],[Sales]]&lt;0,"loss","profit")</f>
        <v>profit</v>
      </c>
      <c r="U940" s="4" t="str" cm="1">
        <f t="array" ref="U940">_xlfn.IFS(Table1[[#This Row],[Sales]]&gt;2000,"large",Table1[[#This Row],[Sales]]&gt;=500,"medium",Table1[[#This Row],[Sales]]&lt;500,"small")</f>
        <v>medium</v>
      </c>
      <c r="V940" s="22">
        <f>Table1[[#This Row],[Profit]]/Table1[[#This Row],[Sales]]*100</f>
        <v>23.398361664851553</v>
      </c>
    </row>
    <row r="941" spans="1:22" x14ac:dyDescent="0.35">
      <c r="A941" s="4" t="s">
        <v>1376</v>
      </c>
      <c r="B941" s="5">
        <v>46000</v>
      </c>
      <c r="C941" s="4" t="s">
        <v>151</v>
      </c>
      <c r="D941" s="4" t="s">
        <v>43</v>
      </c>
      <c r="E941" s="4" t="s">
        <v>87</v>
      </c>
      <c r="F941" s="4" t="s">
        <v>124</v>
      </c>
      <c r="G941" s="4" t="s">
        <v>23</v>
      </c>
      <c r="H941" s="4" t="s">
        <v>135</v>
      </c>
      <c r="I941" s="4">
        <v>1</v>
      </c>
      <c r="J941" s="6">
        <v>16.84</v>
      </c>
      <c r="K941" s="7">
        <v>0</v>
      </c>
      <c r="L941" s="6">
        <f t="shared" si="28"/>
        <v>16.84</v>
      </c>
      <c r="M941" s="6">
        <v>9.6199999999999992</v>
      </c>
      <c r="N941" s="8">
        <f t="shared" si="29"/>
        <v>7.2200000000000006</v>
      </c>
      <c r="O941" s="4" t="s">
        <v>84</v>
      </c>
      <c r="P941" s="4" t="s">
        <v>72</v>
      </c>
      <c r="Q941" s="4">
        <v>5</v>
      </c>
      <c r="R941" s="4" t="str">
        <f>TEXT(Table1[[#This Row],[Order Date]],"mmm")</f>
        <v>Dec</v>
      </c>
      <c r="S941" s="4" t="str">
        <f>TEXT(Table1[[#This Row],[Order Date]],"mm")</f>
        <v>12</v>
      </c>
      <c r="T941" s="4" t="str">
        <f>IF(Table1[[#This Row],[Sales]]&lt;0,"loss","profit")</f>
        <v>profit</v>
      </c>
      <c r="U941" s="4" t="str" cm="1">
        <f t="array" ref="U941">_xlfn.IFS(Table1[[#This Row],[Sales]]&gt;2000,"large",Table1[[#This Row],[Sales]]&gt;=500,"medium",Table1[[#This Row],[Sales]]&lt;500,"small")</f>
        <v>small</v>
      </c>
      <c r="V941" s="22">
        <f>Table1[[#This Row],[Profit]]/Table1[[#This Row],[Sales]]*100</f>
        <v>42.874109263657964</v>
      </c>
    </row>
    <row r="942" spans="1:22" x14ac:dyDescent="0.35">
      <c r="A942" s="4" t="s">
        <v>1377</v>
      </c>
      <c r="B942" s="5">
        <v>46000</v>
      </c>
      <c r="C942" s="4" t="s">
        <v>1147</v>
      </c>
      <c r="D942" s="4" t="s">
        <v>43</v>
      </c>
      <c r="E942" s="4" t="s">
        <v>21</v>
      </c>
      <c r="F942" s="4" t="s">
        <v>81</v>
      </c>
      <c r="G942" s="4" t="s">
        <v>38</v>
      </c>
      <c r="H942" s="4" t="s">
        <v>96</v>
      </c>
      <c r="I942" s="4">
        <v>5</v>
      </c>
      <c r="J942" s="6">
        <v>217.71</v>
      </c>
      <c r="K942" s="7">
        <v>0.15</v>
      </c>
      <c r="L942" s="6">
        <f t="shared" si="28"/>
        <v>925.26749999999993</v>
      </c>
      <c r="M942" s="6">
        <v>164.98</v>
      </c>
      <c r="N942" s="8">
        <f t="shared" si="29"/>
        <v>100.36749999999995</v>
      </c>
      <c r="O942" s="4" t="s">
        <v>60</v>
      </c>
      <c r="P942" s="4" t="s">
        <v>26</v>
      </c>
      <c r="Q942" s="4">
        <v>4</v>
      </c>
      <c r="R942" s="4" t="str">
        <f>TEXT(Table1[[#This Row],[Order Date]],"mmm")</f>
        <v>Dec</v>
      </c>
      <c r="S942" s="4" t="str">
        <f>TEXT(Table1[[#This Row],[Order Date]],"mm")</f>
        <v>12</v>
      </c>
      <c r="T942" s="4" t="str">
        <f>IF(Table1[[#This Row],[Sales]]&lt;0,"loss","profit")</f>
        <v>profit</v>
      </c>
      <c r="U942" s="4" t="str" cm="1">
        <f t="array" ref="U942">_xlfn.IFS(Table1[[#This Row],[Sales]]&gt;2000,"large",Table1[[#This Row],[Sales]]&gt;=500,"medium",Table1[[#This Row],[Sales]]&lt;500,"small")</f>
        <v>medium</v>
      </c>
      <c r="V942" s="22">
        <f>Table1[[#This Row],[Profit]]/Table1[[#This Row],[Sales]]*100</f>
        <v>10.847403588691915</v>
      </c>
    </row>
    <row r="943" spans="1:22" x14ac:dyDescent="0.35">
      <c r="A943" s="4" t="s">
        <v>1378</v>
      </c>
      <c r="B943" s="5">
        <v>46001</v>
      </c>
      <c r="C943" s="4" t="s">
        <v>1320</v>
      </c>
      <c r="D943" s="4" t="s">
        <v>47</v>
      </c>
      <c r="E943" s="4" t="s">
        <v>87</v>
      </c>
      <c r="F943" s="4" t="s">
        <v>124</v>
      </c>
      <c r="G943" s="4" t="s">
        <v>38</v>
      </c>
      <c r="H943" s="4" t="s">
        <v>96</v>
      </c>
      <c r="I943" s="4">
        <v>6</v>
      </c>
      <c r="J943" s="6">
        <v>474.62</v>
      </c>
      <c r="K943" s="7">
        <v>0.1</v>
      </c>
      <c r="L943" s="6">
        <f t="shared" si="28"/>
        <v>2562.9480000000003</v>
      </c>
      <c r="M943" s="6">
        <v>418.28</v>
      </c>
      <c r="N943" s="8">
        <f t="shared" si="29"/>
        <v>53.268000000000484</v>
      </c>
      <c r="O943" s="4" t="s">
        <v>84</v>
      </c>
      <c r="P943" s="4" t="s">
        <v>56</v>
      </c>
      <c r="Q943" s="4">
        <v>5</v>
      </c>
      <c r="R943" s="4" t="str">
        <f>TEXT(Table1[[#This Row],[Order Date]],"mmm")</f>
        <v>Dec</v>
      </c>
      <c r="S943" s="4" t="str">
        <f>TEXT(Table1[[#This Row],[Order Date]],"mm")</f>
        <v>12</v>
      </c>
      <c r="T943" s="4" t="str">
        <f>IF(Table1[[#This Row],[Sales]]&lt;0,"loss","profit")</f>
        <v>profit</v>
      </c>
      <c r="U943" s="4" t="str" cm="1">
        <f t="array" ref="U943">_xlfn.IFS(Table1[[#This Row],[Sales]]&gt;2000,"large",Table1[[#This Row],[Sales]]&gt;=500,"medium",Table1[[#This Row],[Sales]]&lt;500,"small")</f>
        <v>large</v>
      </c>
      <c r="V943" s="22">
        <f>Table1[[#This Row],[Profit]]/Table1[[#This Row],[Sales]]*100</f>
        <v>2.0783878564840363</v>
      </c>
    </row>
    <row r="944" spans="1:22" x14ac:dyDescent="0.35">
      <c r="A944" s="4" t="s">
        <v>1379</v>
      </c>
      <c r="B944" s="5">
        <v>46001</v>
      </c>
      <c r="C944" s="4" t="s">
        <v>884</v>
      </c>
      <c r="D944" s="4" t="s">
        <v>43</v>
      </c>
      <c r="E944" s="4" t="s">
        <v>87</v>
      </c>
      <c r="F944" s="4" t="s">
        <v>88</v>
      </c>
      <c r="G944" s="4" t="s">
        <v>31</v>
      </c>
      <c r="H944" s="4" t="s">
        <v>64</v>
      </c>
      <c r="I944" s="4">
        <v>10</v>
      </c>
      <c r="J944" s="6">
        <v>197.43</v>
      </c>
      <c r="K944" s="7">
        <v>0.1</v>
      </c>
      <c r="L944" s="6">
        <f t="shared" si="28"/>
        <v>1776.8700000000001</v>
      </c>
      <c r="M944" s="6">
        <v>135.56</v>
      </c>
      <c r="N944" s="8">
        <f t="shared" si="29"/>
        <v>421.27000000000021</v>
      </c>
      <c r="O944" s="4" t="s">
        <v>25</v>
      </c>
      <c r="P944" s="4" t="s">
        <v>56</v>
      </c>
      <c r="Q944" s="4">
        <v>5</v>
      </c>
      <c r="R944" s="4" t="str">
        <f>TEXT(Table1[[#This Row],[Order Date]],"mmm")</f>
        <v>Dec</v>
      </c>
      <c r="S944" s="4" t="str">
        <f>TEXT(Table1[[#This Row],[Order Date]],"mm")</f>
        <v>12</v>
      </c>
      <c r="T944" s="4" t="str">
        <f>IF(Table1[[#This Row],[Sales]]&lt;0,"loss","profit")</f>
        <v>profit</v>
      </c>
      <c r="U944" s="4" t="str" cm="1">
        <f t="array" ref="U944">_xlfn.IFS(Table1[[#This Row],[Sales]]&gt;2000,"large",Table1[[#This Row],[Sales]]&gt;=500,"medium",Table1[[#This Row],[Sales]]&lt;500,"small")</f>
        <v>medium</v>
      </c>
      <c r="V944" s="22">
        <f>Table1[[#This Row],[Profit]]/Table1[[#This Row],[Sales]]*100</f>
        <v>23.708543675114115</v>
      </c>
    </row>
    <row r="945" spans="1:22" x14ac:dyDescent="0.35">
      <c r="A945" s="4" t="s">
        <v>1380</v>
      </c>
      <c r="B945" s="5">
        <v>46001</v>
      </c>
      <c r="C945" s="4" t="s">
        <v>1293</v>
      </c>
      <c r="D945" s="4" t="s">
        <v>43</v>
      </c>
      <c r="E945" s="4" t="s">
        <v>21</v>
      </c>
      <c r="F945" s="4" t="s">
        <v>81</v>
      </c>
      <c r="G945" s="4" t="s">
        <v>38</v>
      </c>
      <c r="H945" s="4" t="s">
        <v>96</v>
      </c>
      <c r="I945" s="4">
        <v>2</v>
      </c>
      <c r="J945" s="6">
        <v>591.88</v>
      </c>
      <c r="K945" s="7">
        <v>0</v>
      </c>
      <c r="L945" s="6">
        <f t="shared" si="28"/>
        <v>1183.76</v>
      </c>
      <c r="M945" s="6">
        <v>497.15</v>
      </c>
      <c r="N945" s="8">
        <f t="shared" si="29"/>
        <v>189.46000000000004</v>
      </c>
      <c r="O945" s="4" t="s">
        <v>25</v>
      </c>
      <c r="P945" s="4" t="s">
        <v>72</v>
      </c>
      <c r="Q945" s="4">
        <v>5</v>
      </c>
      <c r="R945" s="4" t="str">
        <f>TEXT(Table1[[#This Row],[Order Date]],"mmm")</f>
        <v>Dec</v>
      </c>
      <c r="S945" s="4" t="str">
        <f>TEXT(Table1[[#This Row],[Order Date]],"mm")</f>
        <v>12</v>
      </c>
      <c r="T945" s="4" t="str">
        <f>IF(Table1[[#This Row],[Sales]]&lt;0,"loss","profit")</f>
        <v>profit</v>
      </c>
      <c r="U945" s="4" t="str" cm="1">
        <f t="array" ref="U945">_xlfn.IFS(Table1[[#This Row],[Sales]]&gt;2000,"large",Table1[[#This Row],[Sales]]&gt;=500,"medium",Table1[[#This Row],[Sales]]&lt;500,"small")</f>
        <v>medium</v>
      </c>
      <c r="V945" s="22">
        <f>Table1[[#This Row],[Profit]]/Table1[[#This Row],[Sales]]*100</f>
        <v>16.004933432452528</v>
      </c>
    </row>
    <row r="946" spans="1:22" x14ac:dyDescent="0.35">
      <c r="A946" s="4" t="s">
        <v>1381</v>
      </c>
      <c r="B946" s="5">
        <v>46001</v>
      </c>
      <c r="C946" s="4" t="s">
        <v>650</v>
      </c>
      <c r="D946" s="4" t="s">
        <v>47</v>
      </c>
      <c r="E946" s="4" t="s">
        <v>36</v>
      </c>
      <c r="F946" s="4" t="s">
        <v>37</v>
      </c>
      <c r="G946" s="4" t="s">
        <v>38</v>
      </c>
      <c r="H946" s="4" t="s">
        <v>96</v>
      </c>
      <c r="I946" s="4">
        <v>3</v>
      </c>
      <c r="J946" s="6">
        <v>631.77</v>
      </c>
      <c r="K946" s="7">
        <v>0</v>
      </c>
      <c r="L946" s="6">
        <f t="shared" si="28"/>
        <v>1895.31</v>
      </c>
      <c r="M946" s="6">
        <v>567.09</v>
      </c>
      <c r="N946" s="8">
        <f t="shared" si="29"/>
        <v>194.03999999999996</v>
      </c>
      <c r="O946" s="4" t="s">
        <v>84</v>
      </c>
      <c r="P946" s="4" t="s">
        <v>75</v>
      </c>
      <c r="Q946" s="4">
        <v>3</v>
      </c>
      <c r="R946" s="4" t="str">
        <f>TEXT(Table1[[#This Row],[Order Date]],"mmm")</f>
        <v>Dec</v>
      </c>
      <c r="S946" s="4" t="str">
        <f>TEXT(Table1[[#This Row],[Order Date]],"mm")</f>
        <v>12</v>
      </c>
      <c r="T946" s="4" t="str">
        <f>IF(Table1[[#This Row],[Sales]]&lt;0,"loss","profit")</f>
        <v>profit</v>
      </c>
      <c r="U946" s="4" t="str" cm="1">
        <f t="array" ref="U946">_xlfn.IFS(Table1[[#This Row],[Sales]]&gt;2000,"large",Table1[[#This Row],[Sales]]&gt;=500,"medium",Table1[[#This Row],[Sales]]&lt;500,"small")</f>
        <v>medium</v>
      </c>
      <c r="V946" s="22">
        <f>Table1[[#This Row],[Profit]]/Table1[[#This Row],[Sales]]*100</f>
        <v>10.237903034332113</v>
      </c>
    </row>
    <row r="947" spans="1:22" x14ac:dyDescent="0.35">
      <c r="A947" s="4" t="s">
        <v>1382</v>
      </c>
      <c r="B947" s="5">
        <v>46002</v>
      </c>
      <c r="C947" s="4" t="s">
        <v>115</v>
      </c>
      <c r="D947" s="4" t="s">
        <v>47</v>
      </c>
      <c r="E947" s="4" t="s">
        <v>87</v>
      </c>
      <c r="F947" s="4" t="s">
        <v>124</v>
      </c>
      <c r="G947" s="4" t="s">
        <v>38</v>
      </c>
      <c r="H947" s="4" t="s">
        <v>96</v>
      </c>
      <c r="I947" s="4">
        <v>3</v>
      </c>
      <c r="J947" s="6">
        <v>569.26</v>
      </c>
      <c r="K947" s="7">
        <v>0</v>
      </c>
      <c r="L947" s="6">
        <f t="shared" si="28"/>
        <v>1707.78</v>
      </c>
      <c r="M947" s="6">
        <v>507.11</v>
      </c>
      <c r="N947" s="8">
        <f t="shared" si="29"/>
        <v>186.45000000000005</v>
      </c>
      <c r="O947" s="4" t="s">
        <v>40</v>
      </c>
      <c r="P947" s="4" t="s">
        <v>61</v>
      </c>
      <c r="Q947" s="4">
        <v>3</v>
      </c>
      <c r="R947" s="4" t="str">
        <f>TEXT(Table1[[#This Row],[Order Date]],"mmm")</f>
        <v>Dec</v>
      </c>
      <c r="S947" s="4" t="str">
        <f>TEXT(Table1[[#This Row],[Order Date]],"mm")</f>
        <v>12</v>
      </c>
      <c r="T947" s="4" t="str">
        <f>IF(Table1[[#This Row],[Sales]]&lt;0,"loss","profit")</f>
        <v>profit</v>
      </c>
      <c r="U947" s="4" t="str" cm="1">
        <f t="array" ref="U947">_xlfn.IFS(Table1[[#This Row],[Sales]]&gt;2000,"large",Table1[[#This Row],[Sales]]&gt;=500,"medium",Table1[[#This Row],[Sales]]&lt;500,"small")</f>
        <v>medium</v>
      </c>
      <c r="V947" s="22">
        <f>Table1[[#This Row],[Profit]]/Table1[[#This Row],[Sales]]*100</f>
        <v>10.917682605487828</v>
      </c>
    </row>
    <row r="948" spans="1:22" x14ac:dyDescent="0.35">
      <c r="A948" s="4" t="s">
        <v>1383</v>
      </c>
      <c r="B948" s="5">
        <v>46002</v>
      </c>
      <c r="C948" s="4" t="s">
        <v>1384</v>
      </c>
      <c r="D948" s="4" t="s">
        <v>47</v>
      </c>
      <c r="E948" s="4" t="s">
        <v>87</v>
      </c>
      <c r="F948" s="4" t="s">
        <v>92</v>
      </c>
      <c r="G948" s="4" t="s">
        <v>23</v>
      </c>
      <c r="H948" s="4" t="s">
        <v>24</v>
      </c>
      <c r="I948" s="4">
        <v>5</v>
      </c>
      <c r="J948" s="6">
        <v>73.23</v>
      </c>
      <c r="K948" s="7">
        <v>0</v>
      </c>
      <c r="L948" s="6">
        <f t="shared" si="28"/>
        <v>366.15000000000003</v>
      </c>
      <c r="M948" s="6">
        <v>32.76</v>
      </c>
      <c r="N948" s="8">
        <f t="shared" si="29"/>
        <v>202.35000000000005</v>
      </c>
      <c r="O948" s="4" t="s">
        <v>40</v>
      </c>
      <c r="P948" s="4" t="s">
        <v>72</v>
      </c>
      <c r="Q948" s="4">
        <v>3</v>
      </c>
      <c r="R948" s="4" t="str">
        <f>TEXT(Table1[[#This Row],[Order Date]],"mmm")</f>
        <v>Dec</v>
      </c>
      <c r="S948" s="4" t="str">
        <f>TEXT(Table1[[#This Row],[Order Date]],"mm")</f>
        <v>12</v>
      </c>
      <c r="T948" s="4" t="str">
        <f>IF(Table1[[#This Row],[Sales]]&lt;0,"loss","profit")</f>
        <v>profit</v>
      </c>
      <c r="U948" s="4" t="str" cm="1">
        <f t="array" ref="U948">_xlfn.IFS(Table1[[#This Row],[Sales]]&gt;2000,"large",Table1[[#This Row],[Sales]]&gt;=500,"medium",Table1[[#This Row],[Sales]]&lt;500,"small")</f>
        <v>small</v>
      </c>
      <c r="V948" s="22">
        <f>Table1[[#This Row],[Profit]]/Table1[[#This Row],[Sales]]*100</f>
        <v>55.264235968865229</v>
      </c>
    </row>
    <row r="949" spans="1:22" x14ac:dyDescent="0.35">
      <c r="A949" s="4" t="s">
        <v>1385</v>
      </c>
      <c r="B949" s="5">
        <v>46003</v>
      </c>
      <c r="C949" s="4" t="s">
        <v>644</v>
      </c>
      <c r="D949" s="4" t="s">
        <v>47</v>
      </c>
      <c r="E949" s="4" t="s">
        <v>21</v>
      </c>
      <c r="F949" s="4" t="s">
        <v>81</v>
      </c>
      <c r="G949" s="4" t="s">
        <v>23</v>
      </c>
      <c r="H949" s="4" t="s">
        <v>71</v>
      </c>
      <c r="I949" s="4">
        <v>1</v>
      </c>
      <c r="J949" s="6">
        <v>153.83000000000001</v>
      </c>
      <c r="K949" s="7">
        <v>0.05</v>
      </c>
      <c r="L949" s="6">
        <f t="shared" si="28"/>
        <v>146.13849999999999</v>
      </c>
      <c r="M949" s="6">
        <v>98.89</v>
      </c>
      <c r="N949" s="8">
        <f t="shared" si="29"/>
        <v>47.248499999999993</v>
      </c>
      <c r="O949" s="4" t="s">
        <v>40</v>
      </c>
      <c r="P949" s="4" t="s">
        <v>75</v>
      </c>
      <c r="Q949" s="4">
        <v>4</v>
      </c>
      <c r="R949" s="4" t="str">
        <f>TEXT(Table1[[#This Row],[Order Date]],"mmm")</f>
        <v>Dec</v>
      </c>
      <c r="S949" s="4" t="str">
        <f>TEXT(Table1[[#This Row],[Order Date]],"mm")</f>
        <v>12</v>
      </c>
      <c r="T949" s="4" t="str">
        <f>IF(Table1[[#This Row],[Sales]]&lt;0,"loss","profit")</f>
        <v>profit</v>
      </c>
      <c r="U949" s="4" t="str" cm="1">
        <f t="array" ref="U949">_xlfn.IFS(Table1[[#This Row],[Sales]]&gt;2000,"large",Table1[[#This Row],[Sales]]&gt;=500,"medium",Table1[[#This Row],[Sales]]&lt;500,"small")</f>
        <v>small</v>
      </c>
      <c r="V949" s="22">
        <f>Table1[[#This Row],[Profit]]/Table1[[#This Row],[Sales]]*100</f>
        <v>32.331315840794858</v>
      </c>
    </row>
    <row r="950" spans="1:22" x14ac:dyDescent="0.35">
      <c r="A950" s="4" t="s">
        <v>1386</v>
      </c>
      <c r="B950" s="5">
        <v>46003</v>
      </c>
      <c r="C950" s="4" t="s">
        <v>1021</v>
      </c>
      <c r="D950" s="4" t="s">
        <v>43</v>
      </c>
      <c r="E950" s="4" t="s">
        <v>87</v>
      </c>
      <c r="F950" s="4" t="s">
        <v>88</v>
      </c>
      <c r="G950" s="4" t="s">
        <v>31</v>
      </c>
      <c r="H950" s="4" t="s">
        <v>125</v>
      </c>
      <c r="I950" s="4">
        <v>2</v>
      </c>
      <c r="J950" s="6">
        <v>56.89</v>
      </c>
      <c r="K950" s="7">
        <v>0</v>
      </c>
      <c r="L950" s="6">
        <f t="shared" si="28"/>
        <v>113.78</v>
      </c>
      <c r="M950" s="6">
        <v>42.5</v>
      </c>
      <c r="N950" s="8">
        <f t="shared" si="29"/>
        <v>28.78</v>
      </c>
      <c r="O950" s="4" t="s">
        <v>40</v>
      </c>
      <c r="P950" s="4" t="s">
        <v>26</v>
      </c>
      <c r="Q950" s="4">
        <v>3</v>
      </c>
      <c r="R950" s="4" t="str">
        <f>TEXT(Table1[[#This Row],[Order Date]],"mmm")</f>
        <v>Dec</v>
      </c>
      <c r="S950" s="4" t="str">
        <f>TEXT(Table1[[#This Row],[Order Date]],"mm")</f>
        <v>12</v>
      </c>
      <c r="T950" s="4" t="str">
        <f>IF(Table1[[#This Row],[Sales]]&lt;0,"loss","profit")</f>
        <v>profit</v>
      </c>
      <c r="U950" s="4" t="str" cm="1">
        <f t="array" ref="U950">_xlfn.IFS(Table1[[#This Row],[Sales]]&gt;2000,"large",Table1[[#This Row],[Sales]]&gt;=500,"medium",Table1[[#This Row],[Sales]]&lt;500,"small")</f>
        <v>small</v>
      </c>
      <c r="V950" s="22">
        <f>Table1[[#This Row],[Profit]]/Table1[[#This Row],[Sales]]*100</f>
        <v>25.29442784320619</v>
      </c>
    </row>
    <row r="951" spans="1:22" x14ac:dyDescent="0.35">
      <c r="A951" s="4" t="s">
        <v>1387</v>
      </c>
      <c r="B951" s="5">
        <v>46004</v>
      </c>
      <c r="C951" s="4" t="s">
        <v>346</v>
      </c>
      <c r="D951" s="4" t="s">
        <v>20</v>
      </c>
      <c r="E951" s="4" t="s">
        <v>36</v>
      </c>
      <c r="F951" s="4" t="s">
        <v>48</v>
      </c>
      <c r="G951" s="4" t="s">
        <v>23</v>
      </c>
      <c r="H951" s="4" t="s">
        <v>135</v>
      </c>
      <c r="I951" s="4">
        <v>2</v>
      </c>
      <c r="J951" s="6">
        <v>16.41</v>
      </c>
      <c r="K951" s="7">
        <v>0.05</v>
      </c>
      <c r="L951" s="6">
        <f t="shared" si="28"/>
        <v>31.178999999999998</v>
      </c>
      <c r="M951" s="6">
        <v>8.74</v>
      </c>
      <c r="N951" s="8">
        <f t="shared" si="29"/>
        <v>13.698999999999998</v>
      </c>
      <c r="O951" s="4" t="s">
        <v>60</v>
      </c>
      <c r="P951" s="4" t="s">
        <v>26</v>
      </c>
      <c r="Q951" s="4">
        <v>4</v>
      </c>
      <c r="R951" s="4" t="str">
        <f>TEXT(Table1[[#This Row],[Order Date]],"mmm")</f>
        <v>Dec</v>
      </c>
      <c r="S951" s="4" t="str">
        <f>TEXT(Table1[[#This Row],[Order Date]],"mm")</f>
        <v>12</v>
      </c>
      <c r="T951" s="4" t="str">
        <f>IF(Table1[[#This Row],[Sales]]&lt;0,"loss","profit")</f>
        <v>profit</v>
      </c>
      <c r="U951" s="4" t="str" cm="1">
        <f t="array" ref="U951">_xlfn.IFS(Table1[[#This Row],[Sales]]&gt;2000,"large",Table1[[#This Row],[Sales]]&gt;=500,"medium",Table1[[#This Row],[Sales]]&lt;500,"small")</f>
        <v>small</v>
      </c>
      <c r="V951" s="22">
        <f>Table1[[#This Row],[Profit]]/Table1[[#This Row],[Sales]]*100</f>
        <v>43.936624009750147</v>
      </c>
    </row>
    <row r="952" spans="1:22" x14ac:dyDescent="0.35">
      <c r="A952" s="4" t="s">
        <v>1388</v>
      </c>
      <c r="B952" s="5">
        <v>46004</v>
      </c>
      <c r="C952" s="4" t="s">
        <v>272</v>
      </c>
      <c r="D952" s="4" t="s">
        <v>43</v>
      </c>
      <c r="E952" s="4" t="s">
        <v>87</v>
      </c>
      <c r="F952" s="4" t="s">
        <v>88</v>
      </c>
      <c r="G952" s="4" t="s">
        <v>31</v>
      </c>
      <c r="H952" s="4" t="s">
        <v>125</v>
      </c>
      <c r="I952" s="4">
        <v>3</v>
      </c>
      <c r="J952" s="6">
        <v>51.39</v>
      </c>
      <c r="K952" s="7">
        <v>0.1</v>
      </c>
      <c r="L952" s="6">
        <f t="shared" si="28"/>
        <v>138.75300000000001</v>
      </c>
      <c r="M952" s="6">
        <v>33.25</v>
      </c>
      <c r="N952" s="8">
        <f t="shared" si="29"/>
        <v>39.003000000000014</v>
      </c>
      <c r="O952" s="4" t="s">
        <v>25</v>
      </c>
      <c r="P952" s="4" t="s">
        <v>56</v>
      </c>
      <c r="Q952" s="4">
        <v>3</v>
      </c>
      <c r="R952" s="4" t="str">
        <f>TEXT(Table1[[#This Row],[Order Date]],"mmm")</f>
        <v>Dec</v>
      </c>
      <c r="S952" s="4" t="str">
        <f>TEXT(Table1[[#This Row],[Order Date]],"mm")</f>
        <v>12</v>
      </c>
      <c r="T952" s="4" t="str">
        <f>IF(Table1[[#This Row],[Sales]]&lt;0,"loss","profit")</f>
        <v>profit</v>
      </c>
      <c r="U952" s="4" t="str" cm="1">
        <f t="array" ref="U952">_xlfn.IFS(Table1[[#This Row],[Sales]]&gt;2000,"large",Table1[[#This Row],[Sales]]&gt;=500,"medium",Table1[[#This Row],[Sales]]&lt;500,"small")</f>
        <v>small</v>
      </c>
      <c r="V952" s="22">
        <f>Table1[[#This Row],[Profit]]/Table1[[#This Row],[Sales]]*100</f>
        <v>28.109662493783926</v>
      </c>
    </row>
    <row r="953" spans="1:22" x14ac:dyDescent="0.35">
      <c r="A953" s="4" t="s">
        <v>1389</v>
      </c>
      <c r="B953" s="5">
        <v>46004</v>
      </c>
      <c r="C953" s="4" t="s">
        <v>587</v>
      </c>
      <c r="D953" s="4" t="s">
        <v>20</v>
      </c>
      <c r="E953" s="4" t="s">
        <v>36</v>
      </c>
      <c r="F953" s="4" t="s">
        <v>48</v>
      </c>
      <c r="G953" s="4" t="s">
        <v>67</v>
      </c>
      <c r="H953" s="4" t="s">
        <v>140</v>
      </c>
      <c r="I953" s="4">
        <v>2</v>
      </c>
      <c r="J953" s="6">
        <v>122.44</v>
      </c>
      <c r="K953" s="7">
        <v>0</v>
      </c>
      <c r="L953" s="6">
        <f t="shared" si="28"/>
        <v>244.88</v>
      </c>
      <c r="M953" s="6">
        <v>74.099999999999994</v>
      </c>
      <c r="N953" s="8">
        <f t="shared" si="29"/>
        <v>96.68</v>
      </c>
      <c r="O953" s="4" t="s">
        <v>60</v>
      </c>
      <c r="P953" s="4" t="s">
        <v>97</v>
      </c>
      <c r="Q953" s="4">
        <v>4</v>
      </c>
      <c r="R953" s="4" t="str">
        <f>TEXT(Table1[[#This Row],[Order Date]],"mmm")</f>
        <v>Dec</v>
      </c>
      <c r="S953" s="4" t="str">
        <f>TEXT(Table1[[#This Row],[Order Date]],"mm")</f>
        <v>12</v>
      </c>
      <c r="T953" s="4" t="str">
        <f>IF(Table1[[#This Row],[Sales]]&lt;0,"loss","profit")</f>
        <v>profit</v>
      </c>
      <c r="U953" s="4" t="str" cm="1">
        <f t="array" ref="U953">_xlfn.IFS(Table1[[#This Row],[Sales]]&gt;2000,"large",Table1[[#This Row],[Sales]]&gt;=500,"medium",Table1[[#This Row],[Sales]]&lt;500,"small")</f>
        <v>small</v>
      </c>
      <c r="V953" s="22">
        <f>Table1[[#This Row],[Profit]]/Table1[[#This Row],[Sales]]*100</f>
        <v>39.480561907873245</v>
      </c>
    </row>
    <row r="954" spans="1:22" x14ac:dyDescent="0.35">
      <c r="A954" s="4" t="s">
        <v>1390</v>
      </c>
      <c r="B954" s="5">
        <v>46005</v>
      </c>
      <c r="C954" s="4" t="s">
        <v>800</v>
      </c>
      <c r="D954" s="4" t="s">
        <v>43</v>
      </c>
      <c r="E954" s="4" t="s">
        <v>87</v>
      </c>
      <c r="F954" s="4" t="s">
        <v>88</v>
      </c>
      <c r="G954" s="4" t="s">
        <v>31</v>
      </c>
      <c r="H954" s="4" t="s">
        <v>125</v>
      </c>
      <c r="I954" s="4">
        <v>2</v>
      </c>
      <c r="J954" s="6">
        <v>32.43</v>
      </c>
      <c r="K954" s="7">
        <v>0</v>
      </c>
      <c r="L954" s="6">
        <f t="shared" si="28"/>
        <v>64.86</v>
      </c>
      <c r="M954" s="6">
        <v>20.21</v>
      </c>
      <c r="N954" s="8">
        <f t="shared" si="29"/>
        <v>24.439999999999998</v>
      </c>
      <c r="O954" s="4" t="s">
        <v>25</v>
      </c>
      <c r="P954" s="4" t="s">
        <v>72</v>
      </c>
      <c r="Q954" s="4">
        <v>4</v>
      </c>
      <c r="R954" s="4" t="str">
        <f>TEXT(Table1[[#This Row],[Order Date]],"mmm")</f>
        <v>Dec</v>
      </c>
      <c r="S954" s="4" t="str">
        <f>TEXT(Table1[[#This Row],[Order Date]],"mm")</f>
        <v>12</v>
      </c>
      <c r="T954" s="4" t="str">
        <f>IF(Table1[[#This Row],[Sales]]&lt;0,"loss","profit")</f>
        <v>profit</v>
      </c>
      <c r="U954" s="4" t="str" cm="1">
        <f t="array" ref="U954">_xlfn.IFS(Table1[[#This Row],[Sales]]&gt;2000,"large",Table1[[#This Row],[Sales]]&gt;=500,"medium",Table1[[#This Row],[Sales]]&lt;500,"small")</f>
        <v>small</v>
      </c>
      <c r="V954" s="22">
        <f>Table1[[#This Row],[Profit]]/Table1[[#This Row],[Sales]]*100</f>
        <v>37.681159420289852</v>
      </c>
    </row>
    <row r="955" spans="1:22" x14ac:dyDescent="0.35">
      <c r="A955" s="4" t="s">
        <v>1391</v>
      </c>
      <c r="B955" s="5">
        <v>46005</v>
      </c>
      <c r="C955" s="4" t="s">
        <v>200</v>
      </c>
      <c r="D955" s="4" t="s">
        <v>20</v>
      </c>
      <c r="E955" s="4" t="s">
        <v>36</v>
      </c>
      <c r="F955" s="4" t="s">
        <v>37</v>
      </c>
      <c r="G955" s="4" t="s">
        <v>31</v>
      </c>
      <c r="H955" s="4" t="s">
        <v>32</v>
      </c>
      <c r="I955" s="4">
        <v>2</v>
      </c>
      <c r="J955" s="6">
        <v>219.19</v>
      </c>
      <c r="K955" s="7">
        <v>0.1</v>
      </c>
      <c r="L955" s="6">
        <f t="shared" si="28"/>
        <v>394.54200000000003</v>
      </c>
      <c r="M955" s="6">
        <v>154.97</v>
      </c>
      <c r="N955" s="8">
        <f t="shared" si="29"/>
        <v>84.602000000000032</v>
      </c>
      <c r="O955" s="4" t="s">
        <v>25</v>
      </c>
      <c r="P955" s="4" t="s">
        <v>118</v>
      </c>
      <c r="Q955" s="4">
        <v>5</v>
      </c>
      <c r="R955" s="4" t="str">
        <f>TEXT(Table1[[#This Row],[Order Date]],"mmm")</f>
        <v>Dec</v>
      </c>
      <c r="S955" s="4" t="str">
        <f>TEXT(Table1[[#This Row],[Order Date]],"mm")</f>
        <v>12</v>
      </c>
      <c r="T955" s="4" t="str">
        <f>IF(Table1[[#This Row],[Sales]]&lt;0,"loss","profit")</f>
        <v>profit</v>
      </c>
      <c r="U955" s="4" t="str" cm="1">
        <f t="array" ref="U955">_xlfn.IFS(Table1[[#This Row],[Sales]]&gt;2000,"large",Table1[[#This Row],[Sales]]&gt;=500,"medium",Table1[[#This Row],[Sales]]&lt;500,"small")</f>
        <v>small</v>
      </c>
      <c r="V955" s="22">
        <f>Table1[[#This Row],[Profit]]/Table1[[#This Row],[Sales]]*100</f>
        <v>21.443090976372613</v>
      </c>
    </row>
    <row r="956" spans="1:22" x14ac:dyDescent="0.35">
      <c r="A956" s="4" t="s">
        <v>1392</v>
      </c>
      <c r="B956" s="5">
        <v>46006</v>
      </c>
      <c r="C956" s="4" t="s">
        <v>144</v>
      </c>
      <c r="D956" s="4" t="s">
        <v>20</v>
      </c>
      <c r="E956" s="4" t="s">
        <v>29</v>
      </c>
      <c r="F956" s="4" t="s">
        <v>108</v>
      </c>
      <c r="G956" s="4" t="s">
        <v>38</v>
      </c>
      <c r="H956" s="4" t="s">
        <v>55</v>
      </c>
      <c r="I956" s="4">
        <v>1</v>
      </c>
      <c r="J956" s="6">
        <v>247.89</v>
      </c>
      <c r="K956" s="7">
        <v>0.15</v>
      </c>
      <c r="L956" s="6">
        <f t="shared" si="28"/>
        <v>210.70649999999998</v>
      </c>
      <c r="M956" s="6">
        <v>204.98</v>
      </c>
      <c r="N956" s="8">
        <f t="shared" si="29"/>
        <v>5.7264999999999873</v>
      </c>
      <c r="O956" s="4" t="s">
        <v>25</v>
      </c>
      <c r="P956" s="4" t="s">
        <v>56</v>
      </c>
      <c r="Q956" s="4">
        <v>5</v>
      </c>
      <c r="R956" s="4" t="str">
        <f>TEXT(Table1[[#This Row],[Order Date]],"mmm")</f>
        <v>Dec</v>
      </c>
      <c r="S956" s="4" t="str">
        <f>TEXT(Table1[[#This Row],[Order Date]],"mm")</f>
        <v>12</v>
      </c>
      <c r="T956" s="4" t="str">
        <f>IF(Table1[[#This Row],[Sales]]&lt;0,"loss","profit")</f>
        <v>profit</v>
      </c>
      <c r="U956" s="4" t="str" cm="1">
        <f t="array" ref="U956">_xlfn.IFS(Table1[[#This Row],[Sales]]&gt;2000,"large",Table1[[#This Row],[Sales]]&gt;=500,"medium",Table1[[#This Row],[Sales]]&lt;500,"small")</f>
        <v>small</v>
      </c>
      <c r="V956" s="22">
        <f>Table1[[#This Row],[Profit]]/Table1[[#This Row],[Sales]]*100</f>
        <v>2.7177614359310169</v>
      </c>
    </row>
    <row r="957" spans="1:22" x14ac:dyDescent="0.35">
      <c r="A957" s="4" t="s">
        <v>1393</v>
      </c>
      <c r="B957" s="5">
        <v>46006</v>
      </c>
      <c r="C957" s="4" t="s">
        <v>134</v>
      </c>
      <c r="D957" s="4" t="s">
        <v>43</v>
      </c>
      <c r="E957" s="4" t="s">
        <v>87</v>
      </c>
      <c r="F957" s="4" t="s">
        <v>92</v>
      </c>
      <c r="G957" s="4" t="s">
        <v>23</v>
      </c>
      <c r="H957" s="4" t="s">
        <v>135</v>
      </c>
      <c r="I957" s="4">
        <v>5</v>
      </c>
      <c r="J957" s="6">
        <v>34.049999999999997</v>
      </c>
      <c r="K957" s="7">
        <v>0</v>
      </c>
      <c r="L957" s="6">
        <f t="shared" si="28"/>
        <v>170.25</v>
      </c>
      <c r="M957" s="6">
        <v>21.06</v>
      </c>
      <c r="N957" s="8">
        <f t="shared" si="29"/>
        <v>64.95</v>
      </c>
      <c r="O957" s="4" t="s">
        <v>84</v>
      </c>
      <c r="P957" s="4" t="s">
        <v>118</v>
      </c>
      <c r="Q957" s="4">
        <v>3</v>
      </c>
      <c r="R957" s="4" t="str">
        <f>TEXT(Table1[[#This Row],[Order Date]],"mmm")</f>
        <v>Dec</v>
      </c>
      <c r="S957" s="4" t="str">
        <f>TEXT(Table1[[#This Row],[Order Date]],"mm")</f>
        <v>12</v>
      </c>
      <c r="T957" s="4" t="str">
        <f>IF(Table1[[#This Row],[Sales]]&lt;0,"loss","profit")</f>
        <v>profit</v>
      </c>
      <c r="U957" s="4" t="str" cm="1">
        <f t="array" ref="U957">_xlfn.IFS(Table1[[#This Row],[Sales]]&gt;2000,"large",Table1[[#This Row],[Sales]]&gt;=500,"medium",Table1[[#This Row],[Sales]]&lt;500,"small")</f>
        <v>small</v>
      </c>
      <c r="V957" s="22">
        <f>Table1[[#This Row],[Profit]]/Table1[[#This Row],[Sales]]*100</f>
        <v>38.14977973568282</v>
      </c>
    </row>
    <row r="958" spans="1:22" x14ac:dyDescent="0.35">
      <c r="A958" s="4" t="s">
        <v>1394</v>
      </c>
      <c r="B958" s="5">
        <v>46007</v>
      </c>
      <c r="C958" s="4" t="s">
        <v>335</v>
      </c>
      <c r="D958" s="4" t="s">
        <v>47</v>
      </c>
      <c r="E958" s="4" t="s">
        <v>87</v>
      </c>
      <c r="F958" s="4" t="s">
        <v>92</v>
      </c>
      <c r="G958" s="4" t="s">
        <v>23</v>
      </c>
      <c r="H958" s="4" t="s">
        <v>135</v>
      </c>
      <c r="I958" s="4">
        <v>5</v>
      </c>
      <c r="J958" s="6">
        <v>34.090000000000003</v>
      </c>
      <c r="K958" s="7">
        <v>0.15</v>
      </c>
      <c r="L958" s="6">
        <f t="shared" si="28"/>
        <v>144.88250000000002</v>
      </c>
      <c r="M958" s="6">
        <v>13.88</v>
      </c>
      <c r="N958" s="8">
        <f t="shared" si="29"/>
        <v>75.482500000000016</v>
      </c>
      <c r="O958" s="4" t="s">
        <v>84</v>
      </c>
      <c r="P958" s="4" t="s">
        <v>72</v>
      </c>
      <c r="Q958" s="4">
        <v>5</v>
      </c>
      <c r="R958" s="4" t="str">
        <f>TEXT(Table1[[#This Row],[Order Date]],"mmm")</f>
        <v>Dec</v>
      </c>
      <c r="S958" s="4" t="str">
        <f>TEXT(Table1[[#This Row],[Order Date]],"mm")</f>
        <v>12</v>
      </c>
      <c r="T958" s="4" t="str">
        <f>IF(Table1[[#This Row],[Sales]]&lt;0,"loss","profit")</f>
        <v>profit</v>
      </c>
      <c r="U958" s="4" t="str" cm="1">
        <f t="array" ref="U958">_xlfn.IFS(Table1[[#This Row],[Sales]]&gt;2000,"large",Table1[[#This Row],[Sales]]&gt;=500,"medium",Table1[[#This Row],[Sales]]&lt;500,"small")</f>
        <v>small</v>
      </c>
      <c r="V958" s="22">
        <f>Table1[[#This Row],[Profit]]/Table1[[#This Row],[Sales]]*100</f>
        <v>52.099114799924081</v>
      </c>
    </row>
    <row r="959" spans="1:22" x14ac:dyDescent="0.35">
      <c r="A959" s="4" t="s">
        <v>1395</v>
      </c>
      <c r="B959" s="5">
        <v>46007</v>
      </c>
      <c r="C959" s="4" t="s">
        <v>209</v>
      </c>
      <c r="D959" s="4" t="s">
        <v>47</v>
      </c>
      <c r="E959" s="4" t="s">
        <v>21</v>
      </c>
      <c r="F959" s="4" t="s">
        <v>59</v>
      </c>
      <c r="G959" s="4" t="s">
        <v>38</v>
      </c>
      <c r="H959" s="4" t="s">
        <v>55</v>
      </c>
      <c r="I959" s="4">
        <v>2</v>
      </c>
      <c r="J959" s="6">
        <v>171.91</v>
      </c>
      <c r="K959" s="7">
        <v>0</v>
      </c>
      <c r="L959" s="6">
        <f t="shared" si="28"/>
        <v>343.82</v>
      </c>
      <c r="M959" s="6">
        <v>134.61000000000001</v>
      </c>
      <c r="N959" s="8">
        <f t="shared" si="29"/>
        <v>74.599999999999966</v>
      </c>
      <c r="O959" s="4" t="s">
        <v>25</v>
      </c>
      <c r="P959" s="4" t="s">
        <v>61</v>
      </c>
      <c r="Q959" s="4">
        <v>2</v>
      </c>
      <c r="R959" s="4" t="str">
        <f>TEXT(Table1[[#This Row],[Order Date]],"mmm")</f>
        <v>Dec</v>
      </c>
      <c r="S959" s="4" t="str">
        <f>TEXT(Table1[[#This Row],[Order Date]],"mm")</f>
        <v>12</v>
      </c>
      <c r="T959" s="4" t="str">
        <f>IF(Table1[[#This Row],[Sales]]&lt;0,"loss","profit")</f>
        <v>profit</v>
      </c>
      <c r="U959" s="4" t="str" cm="1">
        <f t="array" ref="U959">_xlfn.IFS(Table1[[#This Row],[Sales]]&gt;2000,"large",Table1[[#This Row],[Sales]]&gt;=500,"medium",Table1[[#This Row],[Sales]]&lt;500,"small")</f>
        <v>small</v>
      </c>
      <c r="V959" s="22">
        <f>Table1[[#This Row],[Profit]]/Table1[[#This Row],[Sales]]*100</f>
        <v>21.697399802222083</v>
      </c>
    </row>
    <row r="960" spans="1:22" x14ac:dyDescent="0.35">
      <c r="A960" s="4" t="s">
        <v>1396</v>
      </c>
      <c r="B960" s="5">
        <v>46007</v>
      </c>
      <c r="C960" s="4" t="s">
        <v>402</v>
      </c>
      <c r="D960" s="4" t="s">
        <v>43</v>
      </c>
      <c r="E960" s="4" t="s">
        <v>87</v>
      </c>
      <c r="F960" s="4" t="s">
        <v>124</v>
      </c>
      <c r="G960" s="4" t="s">
        <v>38</v>
      </c>
      <c r="H960" s="4" t="s">
        <v>39</v>
      </c>
      <c r="I960" s="4">
        <v>8</v>
      </c>
      <c r="J960" s="6">
        <v>163.72</v>
      </c>
      <c r="K960" s="7">
        <v>0.1</v>
      </c>
      <c r="L960" s="6">
        <f t="shared" si="28"/>
        <v>1178.7840000000001</v>
      </c>
      <c r="M960" s="6">
        <v>124.49</v>
      </c>
      <c r="N960" s="8">
        <f t="shared" si="29"/>
        <v>182.86400000000015</v>
      </c>
      <c r="O960" s="4" t="s">
        <v>60</v>
      </c>
      <c r="P960" s="4" t="s">
        <v>97</v>
      </c>
      <c r="Q960" s="4">
        <v>3</v>
      </c>
      <c r="R960" s="4" t="str">
        <f>TEXT(Table1[[#This Row],[Order Date]],"mmm")</f>
        <v>Dec</v>
      </c>
      <c r="S960" s="4" t="str">
        <f>TEXT(Table1[[#This Row],[Order Date]],"mm")</f>
        <v>12</v>
      </c>
      <c r="T960" s="4" t="str">
        <f>IF(Table1[[#This Row],[Sales]]&lt;0,"loss","profit")</f>
        <v>profit</v>
      </c>
      <c r="U960" s="4" t="str" cm="1">
        <f t="array" ref="U960">_xlfn.IFS(Table1[[#This Row],[Sales]]&gt;2000,"large",Table1[[#This Row],[Sales]]&gt;=500,"medium",Table1[[#This Row],[Sales]]&lt;500,"small")</f>
        <v>medium</v>
      </c>
      <c r="V960" s="22">
        <f>Table1[[#This Row],[Profit]]/Table1[[#This Row],[Sales]]*100</f>
        <v>15.512935363900437</v>
      </c>
    </row>
    <row r="961" spans="1:22" x14ac:dyDescent="0.35">
      <c r="A961" s="4" t="s">
        <v>1397</v>
      </c>
      <c r="B961" s="5">
        <v>46008</v>
      </c>
      <c r="C961" s="4" t="s">
        <v>183</v>
      </c>
      <c r="D961" s="4" t="s">
        <v>20</v>
      </c>
      <c r="E961" s="4" t="s">
        <v>87</v>
      </c>
      <c r="F961" s="4" t="s">
        <v>124</v>
      </c>
      <c r="G961" s="4" t="s">
        <v>49</v>
      </c>
      <c r="H961" s="4" t="s">
        <v>187</v>
      </c>
      <c r="I961" s="4">
        <v>8</v>
      </c>
      <c r="J961" s="6">
        <v>164.06</v>
      </c>
      <c r="K961" s="7">
        <v>0</v>
      </c>
      <c r="L961" s="6">
        <f t="shared" si="28"/>
        <v>1312.48</v>
      </c>
      <c r="M961" s="6">
        <v>107.69</v>
      </c>
      <c r="N961" s="8">
        <f t="shared" si="29"/>
        <v>450.96000000000004</v>
      </c>
      <c r="O961" s="4" t="s">
        <v>51</v>
      </c>
      <c r="P961" s="4" t="s">
        <v>33</v>
      </c>
      <c r="Q961" s="4">
        <v>3</v>
      </c>
      <c r="R961" s="4" t="str">
        <f>TEXT(Table1[[#This Row],[Order Date]],"mmm")</f>
        <v>Dec</v>
      </c>
      <c r="S961" s="4" t="str">
        <f>TEXT(Table1[[#This Row],[Order Date]],"mm")</f>
        <v>12</v>
      </c>
      <c r="T961" s="4" t="str">
        <f>IF(Table1[[#This Row],[Sales]]&lt;0,"loss","profit")</f>
        <v>profit</v>
      </c>
      <c r="U961" s="4" t="str" cm="1">
        <f t="array" ref="U961">_xlfn.IFS(Table1[[#This Row],[Sales]]&gt;2000,"large",Table1[[#This Row],[Sales]]&gt;=500,"medium",Table1[[#This Row],[Sales]]&lt;500,"small")</f>
        <v>medium</v>
      </c>
      <c r="V961" s="22">
        <f>Table1[[#This Row],[Profit]]/Table1[[#This Row],[Sales]]*100</f>
        <v>34.359380714372797</v>
      </c>
    </row>
    <row r="962" spans="1:22" x14ac:dyDescent="0.35">
      <c r="A962" s="4" t="s">
        <v>1398</v>
      </c>
      <c r="B962" s="5">
        <v>46008</v>
      </c>
      <c r="C962" s="4" t="s">
        <v>1399</v>
      </c>
      <c r="D962" s="4" t="s">
        <v>43</v>
      </c>
      <c r="E962" s="4" t="s">
        <v>87</v>
      </c>
      <c r="F962" s="4" t="s">
        <v>92</v>
      </c>
      <c r="G962" s="4" t="s">
        <v>31</v>
      </c>
      <c r="H962" s="4" t="s">
        <v>147</v>
      </c>
      <c r="I962" s="4">
        <v>5</v>
      </c>
      <c r="J962" s="6">
        <v>30.63</v>
      </c>
      <c r="K962" s="7">
        <v>0.1</v>
      </c>
      <c r="L962" s="6">
        <f t="shared" ref="L962:L1001" si="30">I962*J962*(1-K962)</f>
        <v>137.83500000000001</v>
      </c>
      <c r="M962" s="6">
        <v>20.46</v>
      </c>
      <c r="N962" s="8">
        <f t="shared" ref="N962:N1001" si="31">L962-I962*M962</f>
        <v>35.534999999999997</v>
      </c>
      <c r="O962" s="4" t="s">
        <v>84</v>
      </c>
      <c r="P962" s="4" t="s">
        <v>97</v>
      </c>
      <c r="Q962" s="4">
        <v>4</v>
      </c>
      <c r="R962" s="4" t="str">
        <f>TEXT(Table1[[#This Row],[Order Date]],"mmm")</f>
        <v>Dec</v>
      </c>
      <c r="S962" s="4" t="str">
        <f>TEXT(Table1[[#This Row],[Order Date]],"mm")</f>
        <v>12</v>
      </c>
      <c r="T962" s="4" t="str">
        <f>IF(Table1[[#This Row],[Sales]]&lt;0,"loss","profit")</f>
        <v>profit</v>
      </c>
      <c r="U962" s="4" t="str" cm="1">
        <f t="array" ref="U962">_xlfn.IFS(Table1[[#This Row],[Sales]]&gt;2000,"large",Table1[[#This Row],[Sales]]&gt;=500,"medium",Table1[[#This Row],[Sales]]&lt;500,"small")</f>
        <v>small</v>
      </c>
      <c r="V962" s="22">
        <f>Table1[[#This Row],[Profit]]/Table1[[#This Row],[Sales]]*100</f>
        <v>25.780824899336157</v>
      </c>
    </row>
    <row r="963" spans="1:22" x14ac:dyDescent="0.35">
      <c r="A963" s="4" t="s">
        <v>1400</v>
      </c>
      <c r="B963" s="5">
        <v>46009</v>
      </c>
      <c r="C963" s="4" t="s">
        <v>176</v>
      </c>
      <c r="D963" s="4" t="s">
        <v>20</v>
      </c>
      <c r="E963" s="4" t="s">
        <v>36</v>
      </c>
      <c r="F963" s="4" t="s">
        <v>48</v>
      </c>
      <c r="G963" s="4" t="s">
        <v>38</v>
      </c>
      <c r="H963" s="4" t="s">
        <v>55</v>
      </c>
      <c r="I963" s="4">
        <v>6</v>
      </c>
      <c r="J963" s="6">
        <v>49.04</v>
      </c>
      <c r="K963" s="7">
        <v>0</v>
      </c>
      <c r="L963" s="6">
        <f t="shared" si="30"/>
        <v>294.24</v>
      </c>
      <c r="M963" s="6">
        <v>37.049999999999997</v>
      </c>
      <c r="N963" s="8">
        <f t="shared" si="31"/>
        <v>71.940000000000026</v>
      </c>
      <c r="O963" s="4" t="s">
        <v>84</v>
      </c>
      <c r="P963" s="4" t="s">
        <v>72</v>
      </c>
      <c r="Q963" s="4">
        <v>4</v>
      </c>
      <c r="R963" s="4" t="str">
        <f>TEXT(Table1[[#This Row],[Order Date]],"mmm")</f>
        <v>Dec</v>
      </c>
      <c r="S963" s="4" t="str">
        <f>TEXT(Table1[[#This Row],[Order Date]],"mm")</f>
        <v>12</v>
      </c>
      <c r="T963" s="4" t="str">
        <f>IF(Table1[[#This Row],[Sales]]&lt;0,"loss","profit")</f>
        <v>profit</v>
      </c>
      <c r="U963" s="4" t="str" cm="1">
        <f t="array" ref="U963">_xlfn.IFS(Table1[[#This Row],[Sales]]&gt;2000,"large",Table1[[#This Row],[Sales]]&gt;=500,"medium",Table1[[#This Row],[Sales]]&lt;500,"small")</f>
        <v>small</v>
      </c>
      <c r="V963" s="22">
        <f>Table1[[#This Row],[Profit]]/Table1[[#This Row],[Sales]]*100</f>
        <v>24.4494290375204</v>
      </c>
    </row>
    <row r="964" spans="1:22" x14ac:dyDescent="0.35">
      <c r="A964" s="4" t="s">
        <v>1401</v>
      </c>
      <c r="B964" s="5">
        <v>46009</v>
      </c>
      <c r="C964" s="4" t="s">
        <v>382</v>
      </c>
      <c r="D964" s="4" t="s">
        <v>47</v>
      </c>
      <c r="E964" s="4" t="s">
        <v>36</v>
      </c>
      <c r="F964" s="4" t="s">
        <v>37</v>
      </c>
      <c r="G964" s="4" t="s">
        <v>31</v>
      </c>
      <c r="H964" s="4" t="s">
        <v>64</v>
      </c>
      <c r="I964" s="4">
        <v>1</v>
      </c>
      <c r="J964" s="6">
        <v>42.26</v>
      </c>
      <c r="K964" s="7">
        <v>0.1</v>
      </c>
      <c r="L964" s="6">
        <f t="shared" si="30"/>
        <v>38.033999999999999</v>
      </c>
      <c r="M964" s="6">
        <v>30.7</v>
      </c>
      <c r="N964" s="8">
        <f t="shared" si="31"/>
        <v>7.3339999999999996</v>
      </c>
      <c r="O964" s="4" t="s">
        <v>40</v>
      </c>
      <c r="P964" s="4" t="s">
        <v>33</v>
      </c>
      <c r="Q964" s="4">
        <v>5</v>
      </c>
      <c r="R964" s="4" t="str">
        <f>TEXT(Table1[[#This Row],[Order Date]],"mmm")</f>
        <v>Dec</v>
      </c>
      <c r="S964" s="4" t="str">
        <f>TEXT(Table1[[#This Row],[Order Date]],"mm")</f>
        <v>12</v>
      </c>
      <c r="T964" s="4" t="str">
        <f>IF(Table1[[#This Row],[Sales]]&lt;0,"loss","profit")</f>
        <v>profit</v>
      </c>
      <c r="U964" s="4" t="str" cm="1">
        <f t="array" ref="U964">_xlfn.IFS(Table1[[#This Row],[Sales]]&gt;2000,"large",Table1[[#This Row],[Sales]]&gt;=500,"medium",Table1[[#This Row],[Sales]]&lt;500,"small")</f>
        <v>small</v>
      </c>
      <c r="V964" s="22">
        <f>Table1[[#This Row],[Profit]]/Table1[[#This Row],[Sales]]*100</f>
        <v>19.28274701582794</v>
      </c>
    </row>
    <row r="965" spans="1:22" x14ac:dyDescent="0.35">
      <c r="A965" s="4" t="s">
        <v>1402</v>
      </c>
      <c r="B965" s="5">
        <v>46009</v>
      </c>
      <c r="C965" s="4" t="s">
        <v>1403</v>
      </c>
      <c r="D965" s="4" t="s">
        <v>47</v>
      </c>
      <c r="E965" s="4" t="s">
        <v>36</v>
      </c>
      <c r="F965" s="4" t="s">
        <v>201</v>
      </c>
      <c r="G965" s="4" t="s">
        <v>23</v>
      </c>
      <c r="H965" s="4" t="s">
        <v>44</v>
      </c>
      <c r="I965" s="4">
        <v>8</v>
      </c>
      <c r="J965" s="6">
        <v>58.44</v>
      </c>
      <c r="K965" s="7">
        <v>0</v>
      </c>
      <c r="L965" s="6">
        <f t="shared" si="30"/>
        <v>467.52</v>
      </c>
      <c r="M965" s="6">
        <v>25.13</v>
      </c>
      <c r="N965" s="8">
        <f t="shared" si="31"/>
        <v>266.48</v>
      </c>
      <c r="O965" s="4" t="s">
        <v>40</v>
      </c>
      <c r="P965" s="4" t="s">
        <v>97</v>
      </c>
      <c r="Q965" s="4">
        <v>4</v>
      </c>
      <c r="R965" s="4" t="str">
        <f>TEXT(Table1[[#This Row],[Order Date]],"mmm")</f>
        <v>Dec</v>
      </c>
      <c r="S965" s="4" t="str">
        <f>TEXT(Table1[[#This Row],[Order Date]],"mm")</f>
        <v>12</v>
      </c>
      <c r="T965" s="4" t="str">
        <f>IF(Table1[[#This Row],[Sales]]&lt;0,"loss","profit")</f>
        <v>profit</v>
      </c>
      <c r="U965" s="4" t="str" cm="1">
        <f t="array" ref="U965">_xlfn.IFS(Table1[[#This Row],[Sales]]&gt;2000,"large",Table1[[#This Row],[Sales]]&gt;=500,"medium",Table1[[#This Row],[Sales]]&lt;500,"small")</f>
        <v>small</v>
      </c>
      <c r="V965" s="22">
        <f>Table1[[#This Row],[Profit]]/Table1[[#This Row],[Sales]]*100</f>
        <v>56.998631074606443</v>
      </c>
    </row>
    <row r="966" spans="1:22" x14ac:dyDescent="0.35">
      <c r="A966" s="4" t="s">
        <v>1404</v>
      </c>
      <c r="B966" s="5">
        <v>46009</v>
      </c>
      <c r="C966" s="4" t="s">
        <v>732</v>
      </c>
      <c r="D966" s="4" t="s">
        <v>43</v>
      </c>
      <c r="E966" s="4" t="s">
        <v>21</v>
      </c>
      <c r="F966" s="4" t="s">
        <v>22</v>
      </c>
      <c r="G966" s="4" t="s">
        <v>49</v>
      </c>
      <c r="H966" s="4" t="s">
        <v>187</v>
      </c>
      <c r="I966" s="4">
        <v>10</v>
      </c>
      <c r="J966" s="6">
        <v>143.77000000000001</v>
      </c>
      <c r="K966" s="7">
        <v>0.1</v>
      </c>
      <c r="L966" s="6">
        <f t="shared" si="30"/>
        <v>1293.93</v>
      </c>
      <c r="M966" s="6">
        <v>101.37</v>
      </c>
      <c r="N966" s="8">
        <f t="shared" si="31"/>
        <v>280.23</v>
      </c>
      <c r="O966" s="4" t="s">
        <v>84</v>
      </c>
      <c r="P966" s="4" t="s">
        <v>26</v>
      </c>
      <c r="Q966" s="4">
        <v>5</v>
      </c>
      <c r="R966" s="4" t="str">
        <f>TEXT(Table1[[#This Row],[Order Date]],"mmm")</f>
        <v>Dec</v>
      </c>
      <c r="S966" s="4" t="str">
        <f>TEXT(Table1[[#This Row],[Order Date]],"mm")</f>
        <v>12</v>
      </c>
      <c r="T966" s="4" t="str">
        <f>IF(Table1[[#This Row],[Sales]]&lt;0,"loss","profit")</f>
        <v>profit</v>
      </c>
      <c r="U966" s="4" t="str" cm="1">
        <f t="array" ref="U966">_xlfn.IFS(Table1[[#This Row],[Sales]]&gt;2000,"large",Table1[[#This Row],[Sales]]&gt;=500,"medium",Table1[[#This Row],[Sales]]&lt;500,"small")</f>
        <v>medium</v>
      </c>
      <c r="V966" s="22">
        <f>Table1[[#This Row],[Profit]]/Table1[[#This Row],[Sales]]*100</f>
        <v>21.657276668753333</v>
      </c>
    </row>
    <row r="967" spans="1:22" x14ac:dyDescent="0.35">
      <c r="A967" s="4" t="s">
        <v>1405</v>
      </c>
      <c r="B967" s="5">
        <v>46010</v>
      </c>
      <c r="C967" s="4" t="s">
        <v>1182</v>
      </c>
      <c r="D967" s="4" t="s">
        <v>20</v>
      </c>
      <c r="E967" s="4" t="s">
        <v>36</v>
      </c>
      <c r="F967" s="4" t="s">
        <v>37</v>
      </c>
      <c r="G967" s="4" t="s">
        <v>49</v>
      </c>
      <c r="H967" s="4" t="s">
        <v>187</v>
      </c>
      <c r="I967" s="4">
        <v>4</v>
      </c>
      <c r="J967" s="6">
        <v>38.5</v>
      </c>
      <c r="K967" s="7">
        <v>0.15</v>
      </c>
      <c r="L967" s="6">
        <f t="shared" si="30"/>
        <v>130.9</v>
      </c>
      <c r="M967" s="6">
        <v>28.07</v>
      </c>
      <c r="N967" s="8">
        <f t="shared" si="31"/>
        <v>18.620000000000005</v>
      </c>
      <c r="O967" s="4" t="s">
        <v>25</v>
      </c>
      <c r="P967" s="4" t="s">
        <v>97</v>
      </c>
      <c r="Q967" s="4">
        <v>4</v>
      </c>
      <c r="R967" s="4" t="str">
        <f>TEXT(Table1[[#This Row],[Order Date]],"mmm")</f>
        <v>Dec</v>
      </c>
      <c r="S967" s="4" t="str">
        <f>TEXT(Table1[[#This Row],[Order Date]],"mm")</f>
        <v>12</v>
      </c>
      <c r="T967" s="4" t="str">
        <f>IF(Table1[[#This Row],[Sales]]&lt;0,"loss","profit")</f>
        <v>profit</v>
      </c>
      <c r="U967" s="4" t="str" cm="1">
        <f t="array" ref="U967">_xlfn.IFS(Table1[[#This Row],[Sales]]&gt;2000,"large",Table1[[#This Row],[Sales]]&gt;=500,"medium",Table1[[#This Row],[Sales]]&lt;500,"small")</f>
        <v>small</v>
      </c>
      <c r="V967" s="22">
        <f>Table1[[#This Row],[Profit]]/Table1[[#This Row],[Sales]]*100</f>
        <v>14.224598930481285</v>
      </c>
    </row>
    <row r="968" spans="1:22" x14ac:dyDescent="0.35">
      <c r="A968" s="4" t="s">
        <v>1406</v>
      </c>
      <c r="B968" s="5">
        <v>46010</v>
      </c>
      <c r="C968" s="4" t="s">
        <v>205</v>
      </c>
      <c r="D968" s="4" t="s">
        <v>20</v>
      </c>
      <c r="E968" s="4" t="s">
        <v>29</v>
      </c>
      <c r="F968" s="4" t="s">
        <v>54</v>
      </c>
      <c r="G968" s="4" t="s">
        <v>67</v>
      </c>
      <c r="H968" s="4" t="s">
        <v>140</v>
      </c>
      <c r="I968" s="4">
        <v>3</v>
      </c>
      <c r="J968" s="6">
        <v>75.790000000000006</v>
      </c>
      <c r="K968" s="7">
        <v>0</v>
      </c>
      <c r="L968" s="6">
        <f t="shared" si="30"/>
        <v>227.37</v>
      </c>
      <c r="M968" s="6">
        <v>59.1</v>
      </c>
      <c r="N968" s="8">
        <f t="shared" si="31"/>
        <v>50.069999999999993</v>
      </c>
      <c r="O968" s="4" t="s">
        <v>25</v>
      </c>
      <c r="P968" s="4" t="s">
        <v>56</v>
      </c>
      <c r="Q968" s="4">
        <v>5</v>
      </c>
      <c r="R968" s="4" t="str">
        <f>TEXT(Table1[[#This Row],[Order Date]],"mmm")</f>
        <v>Dec</v>
      </c>
      <c r="S968" s="4" t="str">
        <f>TEXT(Table1[[#This Row],[Order Date]],"mm")</f>
        <v>12</v>
      </c>
      <c r="T968" s="4" t="str">
        <f>IF(Table1[[#This Row],[Sales]]&lt;0,"loss","profit")</f>
        <v>profit</v>
      </c>
      <c r="U968" s="4" t="str" cm="1">
        <f t="array" ref="U968">_xlfn.IFS(Table1[[#This Row],[Sales]]&gt;2000,"large",Table1[[#This Row],[Sales]]&gt;=500,"medium",Table1[[#This Row],[Sales]]&lt;500,"small")</f>
        <v>small</v>
      </c>
      <c r="V968" s="22">
        <f>Table1[[#This Row],[Profit]]/Table1[[#This Row],[Sales]]*100</f>
        <v>22.021374851563529</v>
      </c>
    </row>
    <row r="969" spans="1:22" x14ac:dyDescent="0.35">
      <c r="A969" s="4" t="s">
        <v>1407</v>
      </c>
      <c r="B969" s="5">
        <v>46010</v>
      </c>
      <c r="C969" s="4" t="s">
        <v>711</v>
      </c>
      <c r="D969" s="4" t="s">
        <v>47</v>
      </c>
      <c r="E969" s="4" t="s">
        <v>29</v>
      </c>
      <c r="F969" s="4" t="s">
        <v>108</v>
      </c>
      <c r="G969" s="4" t="s">
        <v>31</v>
      </c>
      <c r="H969" s="4" t="s">
        <v>32</v>
      </c>
      <c r="I969" s="4">
        <v>2</v>
      </c>
      <c r="J969" s="6">
        <v>255.02</v>
      </c>
      <c r="K969" s="7">
        <v>0.2</v>
      </c>
      <c r="L969" s="6">
        <f t="shared" si="30"/>
        <v>408.03200000000004</v>
      </c>
      <c r="M969" s="6">
        <v>148.55000000000001</v>
      </c>
      <c r="N969" s="8">
        <f t="shared" si="31"/>
        <v>110.93200000000002</v>
      </c>
      <c r="O969" s="4" t="s">
        <v>51</v>
      </c>
      <c r="P969" s="4" t="s">
        <v>56</v>
      </c>
      <c r="Q969" s="4">
        <v>4</v>
      </c>
      <c r="R969" s="4" t="str">
        <f>TEXT(Table1[[#This Row],[Order Date]],"mmm")</f>
        <v>Dec</v>
      </c>
      <c r="S969" s="4" t="str">
        <f>TEXT(Table1[[#This Row],[Order Date]],"mm")</f>
        <v>12</v>
      </c>
      <c r="T969" s="4" t="str">
        <f>IF(Table1[[#This Row],[Sales]]&lt;0,"loss","profit")</f>
        <v>profit</v>
      </c>
      <c r="U969" s="4" t="str" cm="1">
        <f t="array" ref="U969">_xlfn.IFS(Table1[[#This Row],[Sales]]&gt;2000,"large",Table1[[#This Row],[Sales]]&gt;=500,"medium",Table1[[#This Row],[Sales]]&lt;500,"small")</f>
        <v>small</v>
      </c>
      <c r="V969" s="22">
        <f>Table1[[#This Row],[Profit]]/Table1[[#This Row],[Sales]]*100</f>
        <v>27.187083366010512</v>
      </c>
    </row>
    <row r="970" spans="1:22" x14ac:dyDescent="0.35">
      <c r="A970" s="4" t="s">
        <v>1408</v>
      </c>
      <c r="B970" s="5">
        <v>46011</v>
      </c>
      <c r="C970" s="4" t="s">
        <v>1267</v>
      </c>
      <c r="D970" s="4" t="s">
        <v>43</v>
      </c>
      <c r="E970" s="4" t="s">
        <v>87</v>
      </c>
      <c r="F970" s="4" t="s">
        <v>92</v>
      </c>
      <c r="G970" s="4" t="s">
        <v>31</v>
      </c>
      <c r="H970" s="4" t="s">
        <v>147</v>
      </c>
      <c r="I970" s="4">
        <v>3</v>
      </c>
      <c r="J970" s="6">
        <v>79.680000000000007</v>
      </c>
      <c r="K970" s="7">
        <v>0.1</v>
      </c>
      <c r="L970" s="6">
        <f t="shared" si="30"/>
        <v>215.13600000000002</v>
      </c>
      <c r="M970" s="6">
        <v>57.89</v>
      </c>
      <c r="N970" s="8">
        <f t="shared" si="31"/>
        <v>41.466000000000008</v>
      </c>
      <c r="O970" s="4" t="s">
        <v>40</v>
      </c>
      <c r="P970" s="4" t="s">
        <v>75</v>
      </c>
      <c r="Q970" s="4">
        <v>4</v>
      </c>
      <c r="R970" s="4" t="str">
        <f>TEXT(Table1[[#This Row],[Order Date]],"mmm")</f>
        <v>Dec</v>
      </c>
      <c r="S970" s="4" t="str">
        <f>TEXT(Table1[[#This Row],[Order Date]],"mm")</f>
        <v>12</v>
      </c>
      <c r="T970" s="4" t="str">
        <f>IF(Table1[[#This Row],[Sales]]&lt;0,"loss","profit")</f>
        <v>profit</v>
      </c>
      <c r="U970" s="4" t="str" cm="1">
        <f t="array" ref="U970">_xlfn.IFS(Table1[[#This Row],[Sales]]&gt;2000,"large",Table1[[#This Row],[Sales]]&gt;=500,"medium",Table1[[#This Row],[Sales]]&lt;500,"small")</f>
        <v>small</v>
      </c>
      <c r="V970" s="22">
        <f>Table1[[#This Row],[Profit]]/Table1[[#This Row],[Sales]]*100</f>
        <v>19.274319500223118</v>
      </c>
    </row>
    <row r="971" spans="1:22" x14ac:dyDescent="0.35">
      <c r="A971" s="4" t="s">
        <v>1409</v>
      </c>
      <c r="B971" s="5">
        <v>46011</v>
      </c>
      <c r="C971" s="4" t="s">
        <v>463</v>
      </c>
      <c r="D971" s="4" t="s">
        <v>47</v>
      </c>
      <c r="E971" s="4" t="s">
        <v>29</v>
      </c>
      <c r="F971" s="4" t="s">
        <v>108</v>
      </c>
      <c r="G971" s="4" t="s">
        <v>31</v>
      </c>
      <c r="H971" s="4" t="s">
        <v>32</v>
      </c>
      <c r="I971" s="4">
        <v>4</v>
      </c>
      <c r="J971" s="6">
        <v>259.2</v>
      </c>
      <c r="K971" s="7">
        <v>0.05</v>
      </c>
      <c r="L971" s="6">
        <f t="shared" si="30"/>
        <v>984.95999999999992</v>
      </c>
      <c r="M971" s="6">
        <v>167.3</v>
      </c>
      <c r="N971" s="8">
        <f t="shared" si="31"/>
        <v>315.75999999999988</v>
      </c>
      <c r="O971" s="4" t="s">
        <v>51</v>
      </c>
      <c r="P971" s="4" t="s">
        <v>61</v>
      </c>
      <c r="Q971" s="4">
        <v>1</v>
      </c>
      <c r="R971" s="4" t="str">
        <f>TEXT(Table1[[#This Row],[Order Date]],"mmm")</f>
        <v>Dec</v>
      </c>
      <c r="S971" s="4" t="str">
        <f>TEXT(Table1[[#This Row],[Order Date]],"mm")</f>
        <v>12</v>
      </c>
      <c r="T971" s="4" t="str">
        <f>IF(Table1[[#This Row],[Sales]]&lt;0,"loss","profit")</f>
        <v>profit</v>
      </c>
      <c r="U971" s="4" t="str" cm="1">
        <f t="array" ref="U971">_xlfn.IFS(Table1[[#This Row],[Sales]]&gt;2000,"large",Table1[[#This Row],[Sales]]&gt;=500,"medium",Table1[[#This Row],[Sales]]&lt;500,"small")</f>
        <v>medium</v>
      </c>
      <c r="V971" s="22">
        <f>Table1[[#This Row],[Profit]]/Table1[[#This Row],[Sales]]*100</f>
        <v>32.058154645873934</v>
      </c>
    </row>
    <row r="972" spans="1:22" x14ac:dyDescent="0.35">
      <c r="A972" s="4" t="s">
        <v>1410</v>
      </c>
      <c r="B972" s="5">
        <v>46011</v>
      </c>
      <c r="C972" s="4" t="s">
        <v>127</v>
      </c>
      <c r="D972" s="4" t="s">
        <v>20</v>
      </c>
      <c r="E972" s="4" t="s">
        <v>21</v>
      </c>
      <c r="F972" s="4" t="s">
        <v>59</v>
      </c>
      <c r="G972" s="4" t="s">
        <v>49</v>
      </c>
      <c r="H972" s="4" t="s">
        <v>50</v>
      </c>
      <c r="I972" s="4">
        <v>2</v>
      </c>
      <c r="J972" s="6">
        <v>23.11</v>
      </c>
      <c r="K972" s="7">
        <v>0.15</v>
      </c>
      <c r="L972" s="6">
        <f t="shared" si="30"/>
        <v>39.286999999999999</v>
      </c>
      <c r="M972" s="6">
        <v>15.43</v>
      </c>
      <c r="N972" s="8">
        <f t="shared" si="31"/>
        <v>8.4269999999999996</v>
      </c>
      <c r="O972" s="4" t="s">
        <v>25</v>
      </c>
      <c r="P972" s="4" t="s">
        <v>118</v>
      </c>
      <c r="Q972" s="4">
        <v>5</v>
      </c>
      <c r="R972" s="4" t="str">
        <f>TEXT(Table1[[#This Row],[Order Date]],"mmm")</f>
        <v>Dec</v>
      </c>
      <c r="S972" s="4" t="str">
        <f>TEXT(Table1[[#This Row],[Order Date]],"mm")</f>
        <v>12</v>
      </c>
      <c r="T972" s="4" t="str">
        <f>IF(Table1[[#This Row],[Sales]]&lt;0,"loss","profit")</f>
        <v>profit</v>
      </c>
      <c r="U972" s="4" t="str" cm="1">
        <f t="array" ref="U972">_xlfn.IFS(Table1[[#This Row],[Sales]]&gt;2000,"large",Table1[[#This Row],[Sales]]&gt;=500,"medium",Table1[[#This Row],[Sales]]&lt;500,"small")</f>
        <v>small</v>
      </c>
      <c r="V972" s="22">
        <f>Table1[[#This Row],[Profit]]/Table1[[#This Row],[Sales]]*100</f>
        <v>21.449843459668593</v>
      </c>
    </row>
    <row r="973" spans="1:22" x14ac:dyDescent="0.35">
      <c r="A973" s="4" t="s">
        <v>1411</v>
      </c>
      <c r="B973" s="5">
        <v>46011</v>
      </c>
      <c r="C973" s="4" t="s">
        <v>1037</v>
      </c>
      <c r="D973" s="4" t="s">
        <v>20</v>
      </c>
      <c r="E973" s="4" t="s">
        <v>36</v>
      </c>
      <c r="F973" s="4" t="s">
        <v>48</v>
      </c>
      <c r="G973" s="4" t="s">
        <v>38</v>
      </c>
      <c r="H973" s="4" t="s">
        <v>96</v>
      </c>
      <c r="I973" s="4">
        <v>1</v>
      </c>
      <c r="J973" s="6">
        <v>581.04</v>
      </c>
      <c r="K973" s="7">
        <v>0.1</v>
      </c>
      <c r="L973" s="6">
        <f t="shared" si="30"/>
        <v>522.93600000000004</v>
      </c>
      <c r="M973" s="6">
        <v>494.65</v>
      </c>
      <c r="N973" s="8">
        <f t="shared" si="31"/>
        <v>28.286000000000058</v>
      </c>
      <c r="O973" s="4" t="s">
        <v>25</v>
      </c>
      <c r="P973" s="4" t="s">
        <v>97</v>
      </c>
      <c r="Q973" s="4">
        <v>5</v>
      </c>
      <c r="R973" s="4" t="str">
        <f>TEXT(Table1[[#This Row],[Order Date]],"mmm")</f>
        <v>Dec</v>
      </c>
      <c r="S973" s="4" t="str">
        <f>TEXT(Table1[[#This Row],[Order Date]],"mm")</f>
        <v>12</v>
      </c>
      <c r="T973" s="4" t="str">
        <f>IF(Table1[[#This Row],[Sales]]&lt;0,"loss","profit")</f>
        <v>profit</v>
      </c>
      <c r="U973" s="4" t="str" cm="1">
        <f t="array" ref="U973">_xlfn.IFS(Table1[[#This Row],[Sales]]&gt;2000,"large",Table1[[#This Row],[Sales]]&gt;=500,"medium",Table1[[#This Row],[Sales]]&lt;500,"small")</f>
        <v>medium</v>
      </c>
      <c r="V973" s="22">
        <f>Table1[[#This Row],[Profit]]/Table1[[#This Row],[Sales]]*100</f>
        <v>5.4090749154772393</v>
      </c>
    </row>
    <row r="974" spans="1:22" x14ac:dyDescent="0.35">
      <c r="A974" s="4" t="s">
        <v>1412</v>
      </c>
      <c r="B974" s="5">
        <v>46011</v>
      </c>
      <c r="C974" s="4" t="s">
        <v>1179</v>
      </c>
      <c r="D974" s="4" t="s">
        <v>43</v>
      </c>
      <c r="E974" s="4" t="s">
        <v>36</v>
      </c>
      <c r="F974" s="4" t="s">
        <v>201</v>
      </c>
      <c r="G974" s="4" t="s">
        <v>31</v>
      </c>
      <c r="H974" s="4" t="s">
        <v>125</v>
      </c>
      <c r="I974" s="4">
        <v>3</v>
      </c>
      <c r="J974" s="6">
        <v>173.6</v>
      </c>
      <c r="K974" s="7">
        <v>0.1</v>
      </c>
      <c r="L974" s="6">
        <f t="shared" si="30"/>
        <v>468.71999999999997</v>
      </c>
      <c r="M974" s="6">
        <v>100.46</v>
      </c>
      <c r="N974" s="8">
        <f t="shared" si="31"/>
        <v>167.33999999999997</v>
      </c>
      <c r="O974" s="4" t="s">
        <v>25</v>
      </c>
      <c r="P974" s="4" t="s">
        <v>56</v>
      </c>
      <c r="Q974" s="4">
        <v>5</v>
      </c>
      <c r="R974" s="4" t="str">
        <f>TEXT(Table1[[#This Row],[Order Date]],"mmm")</f>
        <v>Dec</v>
      </c>
      <c r="S974" s="4" t="str">
        <f>TEXT(Table1[[#This Row],[Order Date]],"mm")</f>
        <v>12</v>
      </c>
      <c r="T974" s="4" t="str">
        <f>IF(Table1[[#This Row],[Sales]]&lt;0,"loss","profit")</f>
        <v>profit</v>
      </c>
      <c r="U974" s="4" t="str" cm="1">
        <f t="array" ref="U974">_xlfn.IFS(Table1[[#This Row],[Sales]]&gt;2000,"large",Table1[[#This Row],[Sales]]&gt;=500,"medium",Table1[[#This Row],[Sales]]&lt;500,"small")</f>
        <v>small</v>
      </c>
      <c r="V974" s="22">
        <f>Table1[[#This Row],[Profit]]/Table1[[#This Row],[Sales]]*100</f>
        <v>35.701484895033282</v>
      </c>
    </row>
    <row r="975" spans="1:22" x14ac:dyDescent="0.35">
      <c r="A975" s="4" t="s">
        <v>1413</v>
      </c>
      <c r="B975" s="5">
        <v>46012</v>
      </c>
      <c r="C975" s="4" t="s">
        <v>365</v>
      </c>
      <c r="D975" s="4" t="s">
        <v>43</v>
      </c>
      <c r="E975" s="4" t="s">
        <v>87</v>
      </c>
      <c r="F975" s="4" t="s">
        <v>92</v>
      </c>
      <c r="G975" s="4" t="s">
        <v>38</v>
      </c>
      <c r="H975" s="4" t="s">
        <v>96</v>
      </c>
      <c r="I975" s="4">
        <v>1</v>
      </c>
      <c r="J975" s="6">
        <v>322.11</v>
      </c>
      <c r="K975" s="7">
        <v>0.15</v>
      </c>
      <c r="L975" s="6">
        <f t="shared" si="30"/>
        <v>273.79349999999999</v>
      </c>
      <c r="M975" s="6">
        <v>265.88</v>
      </c>
      <c r="N975" s="8">
        <f t="shared" si="31"/>
        <v>7.9134999999999991</v>
      </c>
      <c r="O975" s="4" t="s">
        <v>25</v>
      </c>
      <c r="P975" s="4" t="s">
        <v>26</v>
      </c>
      <c r="Q975" s="4">
        <v>5</v>
      </c>
      <c r="R975" s="4" t="str">
        <f>TEXT(Table1[[#This Row],[Order Date]],"mmm")</f>
        <v>Dec</v>
      </c>
      <c r="S975" s="4" t="str">
        <f>TEXT(Table1[[#This Row],[Order Date]],"mm")</f>
        <v>12</v>
      </c>
      <c r="T975" s="4" t="str">
        <f>IF(Table1[[#This Row],[Sales]]&lt;0,"loss","profit")</f>
        <v>profit</v>
      </c>
      <c r="U975" s="4" t="str" cm="1">
        <f t="array" ref="U975">_xlfn.IFS(Table1[[#This Row],[Sales]]&gt;2000,"large",Table1[[#This Row],[Sales]]&gt;=500,"medium",Table1[[#This Row],[Sales]]&lt;500,"small")</f>
        <v>small</v>
      </c>
      <c r="V975" s="22">
        <f>Table1[[#This Row],[Profit]]/Table1[[#This Row],[Sales]]*100</f>
        <v>2.890316972462823</v>
      </c>
    </row>
    <row r="976" spans="1:22" x14ac:dyDescent="0.35">
      <c r="A976" s="4" t="s">
        <v>1414</v>
      </c>
      <c r="B976" s="5">
        <v>46013</v>
      </c>
      <c r="C976" s="4" t="s">
        <v>1415</v>
      </c>
      <c r="D976" s="4" t="s">
        <v>20</v>
      </c>
      <c r="E976" s="4" t="s">
        <v>36</v>
      </c>
      <c r="F976" s="4" t="s">
        <v>37</v>
      </c>
      <c r="G976" s="4" t="s">
        <v>31</v>
      </c>
      <c r="H976" s="4" t="s">
        <v>125</v>
      </c>
      <c r="I976" s="4">
        <v>4</v>
      </c>
      <c r="J976" s="6">
        <v>84.87</v>
      </c>
      <c r="K976" s="7">
        <v>0.05</v>
      </c>
      <c r="L976" s="6">
        <f t="shared" si="30"/>
        <v>322.50600000000003</v>
      </c>
      <c r="M976" s="6">
        <v>61.76</v>
      </c>
      <c r="N976" s="8">
        <f t="shared" si="31"/>
        <v>75.466000000000037</v>
      </c>
      <c r="O976" s="4" t="s">
        <v>51</v>
      </c>
      <c r="P976" s="4" t="s">
        <v>61</v>
      </c>
      <c r="Q976" s="4">
        <v>4</v>
      </c>
      <c r="R976" s="4" t="str">
        <f>TEXT(Table1[[#This Row],[Order Date]],"mmm")</f>
        <v>Dec</v>
      </c>
      <c r="S976" s="4" t="str">
        <f>TEXT(Table1[[#This Row],[Order Date]],"mm")</f>
        <v>12</v>
      </c>
      <c r="T976" s="4" t="str">
        <f>IF(Table1[[#This Row],[Sales]]&lt;0,"loss","profit")</f>
        <v>profit</v>
      </c>
      <c r="U976" s="4" t="str" cm="1">
        <f t="array" ref="U976">_xlfn.IFS(Table1[[#This Row],[Sales]]&gt;2000,"large",Table1[[#This Row],[Sales]]&gt;=500,"medium",Table1[[#This Row],[Sales]]&lt;500,"small")</f>
        <v>small</v>
      </c>
      <c r="V976" s="22">
        <f>Table1[[#This Row],[Profit]]/Table1[[#This Row],[Sales]]*100</f>
        <v>23.399874731012765</v>
      </c>
    </row>
    <row r="977" spans="1:22" x14ac:dyDescent="0.35">
      <c r="A977" s="4" t="s">
        <v>1416</v>
      </c>
      <c r="B977" s="5">
        <v>46014</v>
      </c>
      <c r="C977" s="4" t="s">
        <v>333</v>
      </c>
      <c r="D977" s="4" t="s">
        <v>43</v>
      </c>
      <c r="E977" s="4" t="s">
        <v>29</v>
      </c>
      <c r="F977" s="4" t="s">
        <v>30</v>
      </c>
      <c r="G977" s="4" t="s">
        <v>31</v>
      </c>
      <c r="H977" s="4" t="s">
        <v>125</v>
      </c>
      <c r="I977" s="4">
        <v>1</v>
      </c>
      <c r="J977" s="6">
        <v>45.87</v>
      </c>
      <c r="K977" s="7">
        <v>0</v>
      </c>
      <c r="L977" s="6">
        <f t="shared" si="30"/>
        <v>45.87</v>
      </c>
      <c r="M977" s="6">
        <v>27.87</v>
      </c>
      <c r="N977" s="8">
        <f t="shared" si="31"/>
        <v>17.999999999999996</v>
      </c>
      <c r="O977" s="4" t="s">
        <v>84</v>
      </c>
      <c r="P977" s="4" t="s">
        <v>97</v>
      </c>
      <c r="Q977" s="4">
        <v>2</v>
      </c>
      <c r="R977" s="4" t="str">
        <f>TEXT(Table1[[#This Row],[Order Date]],"mmm")</f>
        <v>Dec</v>
      </c>
      <c r="S977" s="4" t="str">
        <f>TEXT(Table1[[#This Row],[Order Date]],"mm")</f>
        <v>12</v>
      </c>
      <c r="T977" s="4" t="str">
        <f>IF(Table1[[#This Row],[Sales]]&lt;0,"loss","profit")</f>
        <v>profit</v>
      </c>
      <c r="U977" s="4" t="str" cm="1">
        <f t="array" ref="U977">_xlfn.IFS(Table1[[#This Row],[Sales]]&gt;2000,"large",Table1[[#This Row],[Sales]]&gt;=500,"medium",Table1[[#This Row],[Sales]]&lt;500,"small")</f>
        <v>small</v>
      </c>
      <c r="V977" s="22">
        <f>Table1[[#This Row],[Profit]]/Table1[[#This Row],[Sales]]*100</f>
        <v>39.241334205362975</v>
      </c>
    </row>
    <row r="978" spans="1:22" x14ac:dyDescent="0.35">
      <c r="A978" s="4" t="s">
        <v>1417</v>
      </c>
      <c r="B978" s="5">
        <v>46014</v>
      </c>
      <c r="C978" s="4" t="s">
        <v>1037</v>
      </c>
      <c r="D978" s="4" t="s">
        <v>47</v>
      </c>
      <c r="E978" s="4" t="s">
        <v>36</v>
      </c>
      <c r="F978" s="4" t="s">
        <v>48</v>
      </c>
      <c r="G978" s="4" t="s">
        <v>49</v>
      </c>
      <c r="H978" s="4" t="s">
        <v>78</v>
      </c>
      <c r="I978" s="4">
        <v>2</v>
      </c>
      <c r="J978" s="6">
        <v>548.72</v>
      </c>
      <c r="K978" s="7">
        <v>0</v>
      </c>
      <c r="L978" s="6">
        <f t="shared" si="30"/>
        <v>1097.44</v>
      </c>
      <c r="M978" s="6">
        <v>305.01</v>
      </c>
      <c r="N978" s="8">
        <f t="shared" si="31"/>
        <v>487.42000000000007</v>
      </c>
      <c r="O978" s="4" t="s">
        <v>25</v>
      </c>
      <c r="P978" s="4" t="s">
        <v>75</v>
      </c>
      <c r="Q978" s="4">
        <v>4</v>
      </c>
      <c r="R978" s="4" t="str">
        <f>TEXT(Table1[[#This Row],[Order Date]],"mmm")</f>
        <v>Dec</v>
      </c>
      <c r="S978" s="4" t="str">
        <f>TEXT(Table1[[#This Row],[Order Date]],"mm")</f>
        <v>12</v>
      </c>
      <c r="T978" s="4" t="str">
        <f>IF(Table1[[#This Row],[Sales]]&lt;0,"loss","profit")</f>
        <v>profit</v>
      </c>
      <c r="U978" s="4" t="str" cm="1">
        <f t="array" ref="U978">_xlfn.IFS(Table1[[#This Row],[Sales]]&gt;2000,"large",Table1[[#This Row],[Sales]]&gt;=500,"medium",Table1[[#This Row],[Sales]]&lt;500,"small")</f>
        <v>medium</v>
      </c>
      <c r="V978" s="22">
        <f>Table1[[#This Row],[Profit]]/Table1[[#This Row],[Sales]]*100</f>
        <v>44.414273217670221</v>
      </c>
    </row>
    <row r="979" spans="1:22" x14ac:dyDescent="0.35">
      <c r="A979" s="4" t="s">
        <v>1418</v>
      </c>
      <c r="B979" s="5">
        <v>46014</v>
      </c>
      <c r="C979" s="4" t="s">
        <v>120</v>
      </c>
      <c r="D979" s="4" t="s">
        <v>20</v>
      </c>
      <c r="E979" s="4" t="s">
        <v>87</v>
      </c>
      <c r="F979" s="4" t="s">
        <v>88</v>
      </c>
      <c r="G979" s="4" t="s">
        <v>31</v>
      </c>
      <c r="H979" s="4" t="s">
        <v>125</v>
      </c>
      <c r="I979" s="4">
        <v>1</v>
      </c>
      <c r="J979" s="6">
        <v>71.709999999999994</v>
      </c>
      <c r="K979" s="7">
        <v>0</v>
      </c>
      <c r="L979" s="6">
        <f t="shared" si="30"/>
        <v>71.709999999999994</v>
      </c>
      <c r="M979" s="6">
        <v>50.54</v>
      </c>
      <c r="N979" s="8">
        <f t="shared" si="31"/>
        <v>21.169999999999995</v>
      </c>
      <c r="O979" s="4" t="s">
        <v>40</v>
      </c>
      <c r="P979" s="4" t="s">
        <v>26</v>
      </c>
      <c r="Q979" s="4">
        <v>4</v>
      </c>
      <c r="R979" s="4" t="str">
        <f>TEXT(Table1[[#This Row],[Order Date]],"mmm")</f>
        <v>Dec</v>
      </c>
      <c r="S979" s="4" t="str">
        <f>TEXT(Table1[[#This Row],[Order Date]],"mm")</f>
        <v>12</v>
      </c>
      <c r="T979" s="4" t="str">
        <f>IF(Table1[[#This Row],[Sales]]&lt;0,"loss","profit")</f>
        <v>profit</v>
      </c>
      <c r="U979" s="4" t="str" cm="1">
        <f t="array" ref="U979">_xlfn.IFS(Table1[[#This Row],[Sales]]&gt;2000,"large",Table1[[#This Row],[Sales]]&gt;=500,"medium",Table1[[#This Row],[Sales]]&lt;500,"small")</f>
        <v>small</v>
      </c>
      <c r="V979" s="22">
        <f>Table1[[#This Row],[Profit]]/Table1[[#This Row],[Sales]]*100</f>
        <v>29.521684562822475</v>
      </c>
    </row>
    <row r="980" spans="1:22" x14ac:dyDescent="0.35">
      <c r="A980" s="4" t="s">
        <v>1419</v>
      </c>
      <c r="B980" s="5">
        <v>46014</v>
      </c>
      <c r="C980" s="4" t="s">
        <v>195</v>
      </c>
      <c r="D980" s="4" t="s">
        <v>20</v>
      </c>
      <c r="E980" s="4" t="s">
        <v>29</v>
      </c>
      <c r="F980" s="4" t="s">
        <v>108</v>
      </c>
      <c r="G980" s="4" t="s">
        <v>23</v>
      </c>
      <c r="H980" s="4" t="s">
        <v>24</v>
      </c>
      <c r="I980" s="4">
        <v>3</v>
      </c>
      <c r="J980" s="6">
        <v>51.8</v>
      </c>
      <c r="K980" s="7">
        <v>0.15</v>
      </c>
      <c r="L980" s="6">
        <f t="shared" si="30"/>
        <v>132.08999999999997</v>
      </c>
      <c r="M980" s="6">
        <v>22.69</v>
      </c>
      <c r="N980" s="8">
        <f t="shared" si="31"/>
        <v>64.019999999999968</v>
      </c>
      <c r="O980" s="4" t="s">
        <v>25</v>
      </c>
      <c r="P980" s="4" t="s">
        <v>118</v>
      </c>
      <c r="Q980" s="4">
        <v>5</v>
      </c>
      <c r="R980" s="4" t="str">
        <f>TEXT(Table1[[#This Row],[Order Date]],"mmm")</f>
        <v>Dec</v>
      </c>
      <c r="S980" s="4" t="str">
        <f>TEXT(Table1[[#This Row],[Order Date]],"mm")</f>
        <v>12</v>
      </c>
      <c r="T980" s="4" t="str">
        <f>IF(Table1[[#This Row],[Sales]]&lt;0,"loss","profit")</f>
        <v>profit</v>
      </c>
      <c r="U980" s="4" t="str" cm="1">
        <f t="array" ref="U980">_xlfn.IFS(Table1[[#This Row],[Sales]]&gt;2000,"large",Table1[[#This Row],[Sales]]&gt;=500,"medium",Table1[[#This Row],[Sales]]&lt;500,"small")</f>
        <v>small</v>
      </c>
      <c r="V980" s="22">
        <f>Table1[[#This Row],[Profit]]/Table1[[#This Row],[Sales]]*100</f>
        <v>48.466954349307272</v>
      </c>
    </row>
    <row r="981" spans="1:22" x14ac:dyDescent="0.35">
      <c r="A981" s="4" t="s">
        <v>1420</v>
      </c>
      <c r="B981" s="5">
        <v>46014</v>
      </c>
      <c r="C981" s="4" t="s">
        <v>180</v>
      </c>
      <c r="D981" s="4" t="s">
        <v>47</v>
      </c>
      <c r="E981" s="4" t="s">
        <v>87</v>
      </c>
      <c r="F981" s="4" t="s">
        <v>92</v>
      </c>
      <c r="G981" s="4" t="s">
        <v>67</v>
      </c>
      <c r="H981" s="4" t="s">
        <v>140</v>
      </c>
      <c r="I981" s="4">
        <v>2</v>
      </c>
      <c r="J981" s="6">
        <v>129.26</v>
      </c>
      <c r="K981" s="7">
        <v>0</v>
      </c>
      <c r="L981" s="6">
        <f t="shared" si="30"/>
        <v>258.52</v>
      </c>
      <c r="M981" s="6">
        <v>79.48</v>
      </c>
      <c r="N981" s="8">
        <f t="shared" si="31"/>
        <v>99.559999999999974</v>
      </c>
      <c r="O981" s="4" t="s">
        <v>25</v>
      </c>
      <c r="P981" s="4" t="s">
        <v>72</v>
      </c>
      <c r="Q981" s="4">
        <v>5</v>
      </c>
      <c r="R981" s="4" t="str">
        <f>TEXT(Table1[[#This Row],[Order Date]],"mmm")</f>
        <v>Dec</v>
      </c>
      <c r="S981" s="4" t="str">
        <f>TEXT(Table1[[#This Row],[Order Date]],"mm")</f>
        <v>12</v>
      </c>
      <c r="T981" s="4" t="str">
        <f>IF(Table1[[#This Row],[Sales]]&lt;0,"loss","profit")</f>
        <v>profit</v>
      </c>
      <c r="U981" s="4" t="str" cm="1">
        <f t="array" ref="U981">_xlfn.IFS(Table1[[#This Row],[Sales]]&gt;2000,"large",Table1[[#This Row],[Sales]]&gt;=500,"medium",Table1[[#This Row],[Sales]]&lt;500,"small")</f>
        <v>small</v>
      </c>
      <c r="V981" s="22">
        <f>Table1[[#This Row],[Profit]]/Table1[[#This Row],[Sales]]*100</f>
        <v>38.511527154572171</v>
      </c>
    </row>
    <row r="982" spans="1:22" x14ac:dyDescent="0.35">
      <c r="A982" s="4" t="s">
        <v>1421</v>
      </c>
      <c r="B982" s="5">
        <v>46014</v>
      </c>
      <c r="C982" s="4" t="s">
        <v>1267</v>
      </c>
      <c r="D982" s="4" t="s">
        <v>47</v>
      </c>
      <c r="E982" s="4" t="s">
        <v>29</v>
      </c>
      <c r="F982" s="4" t="s">
        <v>108</v>
      </c>
      <c r="G982" s="4" t="s">
        <v>23</v>
      </c>
      <c r="H982" s="4" t="s">
        <v>135</v>
      </c>
      <c r="I982" s="4">
        <v>2</v>
      </c>
      <c r="J982" s="6">
        <v>34.49</v>
      </c>
      <c r="K982" s="7">
        <v>0.15</v>
      </c>
      <c r="L982" s="6">
        <f t="shared" si="30"/>
        <v>58.633000000000003</v>
      </c>
      <c r="M982" s="6">
        <v>15.66</v>
      </c>
      <c r="N982" s="8">
        <f t="shared" si="31"/>
        <v>27.313000000000002</v>
      </c>
      <c r="O982" s="4" t="s">
        <v>25</v>
      </c>
      <c r="P982" s="4" t="s">
        <v>72</v>
      </c>
      <c r="Q982" s="4">
        <v>4</v>
      </c>
      <c r="R982" s="4" t="str">
        <f>TEXT(Table1[[#This Row],[Order Date]],"mmm")</f>
        <v>Dec</v>
      </c>
      <c r="S982" s="4" t="str">
        <f>TEXT(Table1[[#This Row],[Order Date]],"mm")</f>
        <v>12</v>
      </c>
      <c r="T982" s="4" t="str">
        <f>IF(Table1[[#This Row],[Sales]]&lt;0,"loss","profit")</f>
        <v>profit</v>
      </c>
      <c r="U982" s="4" t="str" cm="1">
        <f t="array" ref="U982">_xlfn.IFS(Table1[[#This Row],[Sales]]&gt;2000,"large",Table1[[#This Row],[Sales]]&gt;=500,"medium",Table1[[#This Row],[Sales]]&lt;500,"small")</f>
        <v>small</v>
      </c>
      <c r="V982" s="22">
        <f>Table1[[#This Row],[Profit]]/Table1[[#This Row],[Sales]]*100</f>
        <v>46.582982279603641</v>
      </c>
    </row>
    <row r="983" spans="1:22" x14ac:dyDescent="0.35">
      <c r="A983" s="4" t="s">
        <v>1422</v>
      </c>
      <c r="B983" s="5">
        <v>46015</v>
      </c>
      <c r="C983" s="4" t="s">
        <v>341</v>
      </c>
      <c r="D983" s="4" t="s">
        <v>43</v>
      </c>
      <c r="E983" s="4" t="s">
        <v>29</v>
      </c>
      <c r="F983" s="4" t="s">
        <v>54</v>
      </c>
      <c r="G983" s="4" t="s">
        <v>23</v>
      </c>
      <c r="H983" s="4" t="s">
        <v>135</v>
      </c>
      <c r="I983" s="4">
        <v>8</v>
      </c>
      <c r="J983" s="6">
        <v>20.43</v>
      </c>
      <c r="K983" s="7">
        <v>0</v>
      </c>
      <c r="L983" s="6">
        <f t="shared" si="30"/>
        <v>163.44</v>
      </c>
      <c r="M983" s="6">
        <v>11.04</v>
      </c>
      <c r="N983" s="8">
        <f t="shared" si="31"/>
        <v>75.12</v>
      </c>
      <c r="O983" s="4" t="s">
        <v>51</v>
      </c>
      <c r="P983" s="4" t="s">
        <v>75</v>
      </c>
      <c r="Q983" s="4">
        <v>5</v>
      </c>
      <c r="R983" s="4" t="str">
        <f>TEXT(Table1[[#This Row],[Order Date]],"mmm")</f>
        <v>Dec</v>
      </c>
      <c r="S983" s="4" t="str">
        <f>TEXT(Table1[[#This Row],[Order Date]],"mm")</f>
        <v>12</v>
      </c>
      <c r="T983" s="4" t="str">
        <f>IF(Table1[[#This Row],[Sales]]&lt;0,"loss","profit")</f>
        <v>profit</v>
      </c>
      <c r="U983" s="4" t="str" cm="1">
        <f t="array" ref="U983">_xlfn.IFS(Table1[[#This Row],[Sales]]&gt;2000,"large",Table1[[#This Row],[Sales]]&gt;=500,"medium",Table1[[#This Row],[Sales]]&lt;500,"small")</f>
        <v>small</v>
      </c>
      <c r="V983" s="22">
        <f>Table1[[#This Row],[Profit]]/Table1[[#This Row],[Sales]]*100</f>
        <v>45.961820851688692</v>
      </c>
    </row>
    <row r="984" spans="1:22" x14ac:dyDescent="0.35">
      <c r="A984" s="4" t="s">
        <v>1423</v>
      </c>
      <c r="B984" s="5">
        <v>46015</v>
      </c>
      <c r="C984" s="4" t="s">
        <v>186</v>
      </c>
      <c r="D984" s="4" t="s">
        <v>20</v>
      </c>
      <c r="E984" s="4" t="s">
        <v>36</v>
      </c>
      <c r="F984" s="4" t="s">
        <v>37</v>
      </c>
      <c r="G984" s="4" t="s">
        <v>23</v>
      </c>
      <c r="H984" s="4" t="s">
        <v>24</v>
      </c>
      <c r="I984" s="4">
        <v>1</v>
      </c>
      <c r="J984" s="6">
        <v>29.15</v>
      </c>
      <c r="K984" s="7">
        <v>0.15</v>
      </c>
      <c r="L984" s="6">
        <f t="shared" si="30"/>
        <v>24.7775</v>
      </c>
      <c r="M984" s="6">
        <v>16.36</v>
      </c>
      <c r="N984" s="8">
        <f t="shared" si="31"/>
        <v>8.4175000000000004</v>
      </c>
      <c r="O984" s="4" t="s">
        <v>51</v>
      </c>
      <c r="P984" s="4" t="s">
        <v>26</v>
      </c>
      <c r="Q984" s="4">
        <v>4</v>
      </c>
      <c r="R984" s="4" t="str">
        <f>TEXT(Table1[[#This Row],[Order Date]],"mmm")</f>
        <v>Dec</v>
      </c>
      <c r="S984" s="4" t="str">
        <f>TEXT(Table1[[#This Row],[Order Date]],"mm")</f>
        <v>12</v>
      </c>
      <c r="T984" s="4" t="str">
        <f>IF(Table1[[#This Row],[Sales]]&lt;0,"loss","profit")</f>
        <v>profit</v>
      </c>
      <c r="U984" s="4" t="str" cm="1">
        <f t="array" ref="U984">_xlfn.IFS(Table1[[#This Row],[Sales]]&gt;2000,"large",Table1[[#This Row],[Sales]]&gt;=500,"medium",Table1[[#This Row],[Sales]]&lt;500,"small")</f>
        <v>small</v>
      </c>
      <c r="V984" s="22">
        <f>Table1[[#This Row],[Profit]]/Table1[[#This Row],[Sales]]*100</f>
        <v>33.972353950156389</v>
      </c>
    </row>
    <row r="985" spans="1:22" x14ac:dyDescent="0.35">
      <c r="A985" s="4" t="s">
        <v>1424</v>
      </c>
      <c r="B985" s="5">
        <v>46016</v>
      </c>
      <c r="C985" s="4" t="s">
        <v>309</v>
      </c>
      <c r="D985" s="4" t="s">
        <v>47</v>
      </c>
      <c r="E985" s="4" t="s">
        <v>29</v>
      </c>
      <c r="F985" s="4" t="s">
        <v>30</v>
      </c>
      <c r="G985" s="4" t="s">
        <v>31</v>
      </c>
      <c r="H985" s="4" t="s">
        <v>125</v>
      </c>
      <c r="I985" s="4">
        <v>2</v>
      </c>
      <c r="J985" s="6">
        <v>197.66</v>
      </c>
      <c r="K985" s="7">
        <v>0.1</v>
      </c>
      <c r="L985" s="6">
        <f t="shared" si="30"/>
        <v>355.78800000000001</v>
      </c>
      <c r="M985" s="6">
        <v>139.74</v>
      </c>
      <c r="N985" s="8">
        <f t="shared" si="31"/>
        <v>76.307999999999993</v>
      </c>
      <c r="O985" s="4" t="s">
        <v>51</v>
      </c>
      <c r="P985" s="4" t="s">
        <v>97</v>
      </c>
      <c r="Q985" s="4">
        <v>3</v>
      </c>
      <c r="R985" s="4" t="str">
        <f>TEXT(Table1[[#This Row],[Order Date]],"mmm")</f>
        <v>Dec</v>
      </c>
      <c r="S985" s="4" t="str">
        <f>TEXT(Table1[[#This Row],[Order Date]],"mm")</f>
        <v>12</v>
      </c>
      <c r="T985" s="4" t="str">
        <f>IF(Table1[[#This Row],[Sales]]&lt;0,"loss","profit")</f>
        <v>profit</v>
      </c>
      <c r="U985" s="4" t="str" cm="1">
        <f t="array" ref="U985">_xlfn.IFS(Table1[[#This Row],[Sales]]&gt;2000,"large",Table1[[#This Row],[Sales]]&gt;=500,"medium",Table1[[#This Row],[Sales]]&lt;500,"small")</f>
        <v>small</v>
      </c>
      <c r="V985" s="22">
        <f>Table1[[#This Row],[Profit]]/Table1[[#This Row],[Sales]]*100</f>
        <v>21.447603629127453</v>
      </c>
    </row>
    <row r="986" spans="1:22" x14ac:dyDescent="0.35">
      <c r="A986" s="4" t="s">
        <v>1425</v>
      </c>
      <c r="B986" s="5">
        <v>46017</v>
      </c>
      <c r="C986" s="4" t="s">
        <v>1426</v>
      </c>
      <c r="D986" s="4" t="s">
        <v>47</v>
      </c>
      <c r="E986" s="4" t="s">
        <v>21</v>
      </c>
      <c r="F986" s="4" t="s">
        <v>59</v>
      </c>
      <c r="G986" s="4" t="s">
        <v>23</v>
      </c>
      <c r="H986" s="4" t="s">
        <v>71</v>
      </c>
      <c r="I986" s="4">
        <v>4</v>
      </c>
      <c r="J986" s="6">
        <v>195.98</v>
      </c>
      <c r="K986" s="7">
        <v>0.05</v>
      </c>
      <c r="L986" s="6">
        <f t="shared" si="30"/>
        <v>744.72399999999993</v>
      </c>
      <c r="M986" s="6">
        <v>79.819999999999993</v>
      </c>
      <c r="N986" s="8">
        <f t="shared" si="31"/>
        <v>425.44399999999996</v>
      </c>
      <c r="O986" s="4" t="s">
        <v>51</v>
      </c>
      <c r="P986" s="4" t="s">
        <v>56</v>
      </c>
      <c r="Q986" s="4">
        <v>4</v>
      </c>
      <c r="R986" s="4" t="str">
        <f>TEXT(Table1[[#This Row],[Order Date]],"mmm")</f>
        <v>Dec</v>
      </c>
      <c r="S986" s="4" t="str">
        <f>TEXT(Table1[[#This Row],[Order Date]],"mm")</f>
        <v>12</v>
      </c>
      <c r="T986" s="4" t="str">
        <f>IF(Table1[[#This Row],[Sales]]&lt;0,"loss","profit")</f>
        <v>profit</v>
      </c>
      <c r="U986" s="4" t="str" cm="1">
        <f t="array" ref="U986">_xlfn.IFS(Table1[[#This Row],[Sales]]&gt;2000,"large",Table1[[#This Row],[Sales]]&gt;=500,"medium",Table1[[#This Row],[Sales]]&lt;500,"small")</f>
        <v>medium</v>
      </c>
      <c r="V986" s="22">
        <f>Table1[[#This Row],[Profit]]/Table1[[#This Row],[Sales]]*100</f>
        <v>57.127741284019315</v>
      </c>
    </row>
    <row r="987" spans="1:22" x14ac:dyDescent="0.35">
      <c r="A987" s="4" t="s">
        <v>1427</v>
      </c>
      <c r="B987" s="5">
        <v>46017</v>
      </c>
      <c r="C987" s="4" t="s">
        <v>787</v>
      </c>
      <c r="D987" s="4" t="s">
        <v>47</v>
      </c>
      <c r="E987" s="4" t="s">
        <v>87</v>
      </c>
      <c r="F987" s="4" t="s">
        <v>88</v>
      </c>
      <c r="G987" s="4" t="s">
        <v>31</v>
      </c>
      <c r="H987" s="4" t="s">
        <v>125</v>
      </c>
      <c r="I987" s="4">
        <v>1</v>
      </c>
      <c r="J987" s="6">
        <v>72.3</v>
      </c>
      <c r="K987" s="7">
        <v>0.2</v>
      </c>
      <c r="L987" s="6">
        <f t="shared" si="30"/>
        <v>57.84</v>
      </c>
      <c r="M987" s="6">
        <v>45.53</v>
      </c>
      <c r="N987" s="8">
        <f t="shared" si="31"/>
        <v>12.310000000000002</v>
      </c>
      <c r="O987" s="4" t="s">
        <v>25</v>
      </c>
      <c r="P987" s="4" t="s">
        <v>56</v>
      </c>
      <c r="Q987" s="4">
        <v>2</v>
      </c>
      <c r="R987" s="4" t="str">
        <f>TEXT(Table1[[#This Row],[Order Date]],"mmm")</f>
        <v>Dec</v>
      </c>
      <c r="S987" s="4" t="str">
        <f>TEXT(Table1[[#This Row],[Order Date]],"mm")</f>
        <v>12</v>
      </c>
      <c r="T987" s="4" t="str">
        <f>IF(Table1[[#This Row],[Sales]]&lt;0,"loss","profit")</f>
        <v>profit</v>
      </c>
      <c r="U987" s="4" t="str" cm="1">
        <f t="array" ref="U987">_xlfn.IFS(Table1[[#This Row],[Sales]]&gt;2000,"large",Table1[[#This Row],[Sales]]&gt;=500,"medium",Table1[[#This Row],[Sales]]&lt;500,"small")</f>
        <v>small</v>
      </c>
      <c r="V987" s="22">
        <f>Table1[[#This Row],[Profit]]/Table1[[#This Row],[Sales]]*100</f>
        <v>21.282849239280775</v>
      </c>
    </row>
    <row r="988" spans="1:22" x14ac:dyDescent="0.35">
      <c r="A988" s="4" t="s">
        <v>1428</v>
      </c>
      <c r="B988" s="5">
        <v>46017</v>
      </c>
      <c r="C988" s="4" t="s">
        <v>659</v>
      </c>
      <c r="D988" s="4" t="s">
        <v>43</v>
      </c>
      <c r="E988" s="4" t="s">
        <v>29</v>
      </c>
      <c r="F988" s="4" t="s">
        <v>54</v>
      </c>
      <c r="G988" s="4" t="s">
        <v>23</v>
      </c>
      <c r="H988" s="4" t="s">
        <v>44</v>
      </c>
      <c r="I988" s="4">
        <v>5</v>
      </c>
      <c r="J988" s="6">
        <v>136.59</v>
      </c>
      <c r="K988" s="7">
        <v>0</v>
      </c>
      <c r="L988" s="6">
        <f t="shared" si="30"/>
        <v>682.95</v>
      </c>
      <c r="M988" s="6">
        <v>75.760000000000005</v>
      </c>
      <c r="N988" s="8">
        <f t="shared" si="31"/>
        <v>304.15000000000003</v>
      </c>
      <c r="O988" s="4" t="s">
        <v>84</v>
      </c>
      <c r="P988" s="4" t="s">
        <v>97</v>
      </c>
      <c r="Q988" s="4">
        <v>5</v>
      </c>
      <c r="R988" s="4" t="str">
        <f>TEXT(Table1[[#This Row],[Order Date]],"mmm")</f>
        <v>Dec</v>
      </c>
      <c r="S988" s="4" t="str">
        <f>TEXT(Table1[[#This Row],[Order Date]],"mm")</f>
        <v>12</v>
      </c>
      <c r="T988" s="4" t="str">
        <f>IF(Table1[[#This Row],[Sales]]&lt;0,"loss","profit")</f>
        <v>profit</v>
      </c>
      <c r="U988" s="4" t="str" cm="1">
        <f t="array" ref="U988">_xlfn.IFS(Table1[[#This Row],[Sales]]&gt;2000,"large",Table1[[#This Row],[Sales]]&gt;=500,"medium",Table1[[#This Row],[Sales]]&lt;500,"small")</f>
        <v>medium</v>
      </c>
      <c r="V988" s="22">
        <f>Table1[[#This Row],[Profit]]/Table1[[#This Row],[Sales]]*100</f>
        <v>44.534738999926795</v>
      </c>
    </row>
    <row r="989" spans="1:22" x14ac:dyDescent="0.35">
      <c r="A989" s="4" t="s">
        <v>1429</v>
      </c>
      <c r="B989" s="5">
        <v>46017</v>
      </c>
      <c r="C989" s="4" t="s">
        <v>515</v>
      </c>
      <c r="D989" s="4" t="s">
        <v>47</v>
      </c>
      <c r="E989" s="4" t="s">
        <v>36</v>
      </c>
      <c r="F989" s="4" t="s">
        <v>37</v>
      </c>
      <c r="G989" s="4" t="s">
        <v>23</v>
      </c>
      <c r="H989" s="4" t="s">
        <v>24</v>
      </c>
      <c r="I989" s="4">
        <v>3</v>
      </c>
      <c r="J989" s="6">
        <v>41.93</v>
      </c>
      <c r="K989" s="7">
        <v>0</v>
      </c>
      <c r="L989" s="6">
        <f t="shared" si="30"/>
        <v>125.78999999999999</v>
      </c>
      <c r="M989" s="6">
        <v>25.15</v>
      </c>
      <c r="N989" s="8">
        <f t="shared" si="31"/>
        <v>50.34</v>
      </c>
      <c r="O989" s="4" t="s">
        <v>51</v>
      </c>
      <c r="P989" s="4" t="s">
        <v>33</v>
      </c>
      <c r="Q989" s="4">
        <v>1</v>
      </c>
      <c r="R989" s="4" t="str">
        <f>TEXT(Table1[[#This Row],[Order Date]],"mmm")</f>
        <v>Dec</v>
      </c>
      <c r="S989" s="4" t="str">
        <f>TEXT(Table1[[#This Row],[Order Date]],"mm")</f>
        <v>12</v>
      </c>
      <c r="T989" s="4" t="str">
        <f>IF(Table1[[#This Row],[Sales]]&lt;0,"loss","profit")</f>
        <v>profit</v>
      </c>
      <c r="U989" s="4" t="str" cm="1">
        <f t="array" ref="U989">_xlfn.IFS(Table1[[#This Row],[Sales]]&gt;2000,"large",Table1[[#This Row],[Sales]]&gt;=500,"medium",Table1[[#This Row],[Sales]]&lt;500,"small")</f>
        <v>small</v>
      </c>
      <c r="V989" s="22">
        <f>Table1[[#This Row],[Profit]]/Table1[[#This Row],[Sales]]*100</f>
        <v>40.019079418077752</v>
      </c>
    </row>
    <row r="990" spans="1:22" x14ac:dyDescent="0.35">
      <c r="A990" s="4" t="s">
        <v>1430</v>
      </c>
      <c r="B990" s="5">
        <v>46017</v>
      </c>
      <c r="C990" s="4" t="s">
        <v>782</v>
      </c>
      <c r="D990" s="4" t="s">
        <v>47</v>
      </c>
      <c r="E990" s="4" t="s">
        <v>21</v>
      </c>
      <c r="F990" s="4" t="s">
        <v>59</v>
      </c>
      <c r="G990" s="4" t="s">
        <v>23</v>
      </c>
      <c r="H990" s="4" t="s">
        <v>135</v>
      </c>
      <c r="I990" s="4">
        <v>1</v>
      </c>
      <c r="J990" s="6">
        <v>26.43</v>
      </c>
      <c r="K990" s="7">
        <v>0</v>
      </c>
      <c r="L990" s="6">
        <f t="shared" si="30"/>
        <v>26.43</v>
      </c>
      <c r="M990" s="6">
        <v>16.55</v>
      </c>
      <c r="N990" s="8">
        <f t="shared" si="31"/>
        <v>9.879999999999999</v>
      </c>
      <c r="O990" s="4" t="s">
        <v>51</v>
      </c>
      <c r="P990" s="4" t="s">
        <v>118</v>
      </c>
      <c r="Q990" s="4">
        <v>5</v>
      </c>
      <c r="R990" s="4" t="str">
        <f>TEXT(Table1[[#This Row],[Order Date]],"mmm")</f>
        <v>Dec</v>
      </c>
      <c r="S990" s="4" t="str">
        <f>TEXT(Table1[[#This Row],[Order Date]],"mm")</f>
        <v>12</v>
      </c>
      <c r="T990" s="4" t="str">
        <f>IF(Table1[[#This Row],[Sales]]&lt;0,"loss","profit")</f>
        <v>profit</v>
      </c>
      <c r="U990" s="4" t="str" cm="1">
        <f t="array" ref="U990">_xlfn.IFS(Table1[[#This Row],[Sales]]&gt;2000,"large",Table1[[#This Row],[Sales]]&gt;=500,"medium",Table1[[#This Row],[Sales]]&lt;500,"small")</f>
        <v>small</v>
      </c>
      <c r="V990" s="22">
        <f>Table1[[#This Row],[Profit]]/Table1[[#This Row],[Sales]]*100</f>
        <v>37.381763147937946</v>
      </c>
    </row>
    <row r="991" spans="1:22" x14ac:dyDescent="0.35">
      <c r="A991" s="4" t="s">
        <v>1431</v>
      </c>
      <c r="B991" s="5">
        <v>46017</v>
      </c>
      <c r="C991" s="4" t="s">
        <v>1347</v>
      </c>
      <c r="D991" s="4" t="s">
        <v>20</v>
      </c>
      <c r="E991" s="4" t="s">
        <v>87</v>
      </c>
      <c r="F991" s="4" t="s">
        <v>92</v>
      </c>
      <c r="G991" s="4" t="s">
        <v>49</v>
      </c>
      <c r="H991" s="4" t="s">
        <v>128</v>
      </c>
      <c r="I991" s="4">
        <v>1</v>
      </c>
      <c r="J991" s="6">
        <v>104.56</v>
      </c>
      <c r="K991" s="7">
        <v>0.1</v>
      </c>
      <c r="L991" s="6">
        <f t="shared" si="30"/>
        <v>94.103999999999999</v>
      </c>
      <c r="M991" s="6">
        <v>68</v>
      </c>
      <c r="N991" s="8">
        <f t="shared" si="31"/>
        <v>26.103999999999999</v>
      </c>
      <c r="O991" s="4" t="s">
        <v>25</v>
      </c>
      <c r="P991" s="4" t="s">
        <v>61</v>
      </c>
      <c r="Q991" s="4">
        <v>5</v>
      </c>
      <c r="R991" s="4" t="str">
        <f>TEXT(Table1[[#This Row],[Order Date]],"mmm")</f>
        <v>Dec</v>
      </c>
      <c r="S991" s="4" t="str">
        <f>TEXT(Table1[[#This Row],[Order Date]],"mm")</f>
        <v>12</v>
      </c>
      <c r="T991" s="4" t="str">
        <f>IF(Table1[[#This Row],[Sales]]&lt;0,"loss","profit")</f>
        <v>profit</v>
      </c>
      <c r="U991" s="4" t="str" cm="1">
        <f t="array" ref="U991">_xlfn.IFS(Table1[[#This Row],[Sales]]&gt;2000,"large",Table1[[#This Row],[Sales]]&gt;=500,"medium",Table1[[#This Row],[Sales]]&lt;500,"small")</f>
        <v>small</v>
      </c>
      <c r="V991" s="22">
        <f>Table1[[#This Row],[Profit]]/Table1[[#This Row],[Sales]]*100</f>
        <v>27.739522230723455</v>
      </c>
    </row>
    <row r="992" spans="1:22" x14ac:dyDescent="0.35">
      <c r="A992" s="4" t="s">
        <v>1432</v>
      </c>
      <c r="B992" s="5">
        <v>46018</v>
      </c>
      <c r="C992" s="4" t="s">
        <v>392</v>
      </c>
      <c r="D992" s="4" t="s">
        <v>43</v>
      </c>
      <c r="E992" s="4" t="s">
        <v>29</v>
      </c>
      <c r="F992" s="4" t="s">
        <v>54</v>
      </c>
      <c r="G992" s="4" t="s">
        <v>31</v>
      </c>
      <c r="H992" s="4" t="s">
        <v>125</v>
      </c>
      <c r="I992" s="4">
        <v>3</v>
      </c>
      <c r="J992" s="6">
        <v>116.25</v>
      </c>
      <c r="K992" s="7">
        <v>0.2</v>
      </c>
      <c r="L992" s="6">
        <f t="shared" si="30"/>
        <v>279</v>
      </c>
      <c r="M992" s="6">
        <v>68.25</v>
      </c>
      <c r="N992" s="8">
        <f t="shared" si="31"/>
        <v>74.25</v>
      </c>
      <c r="O992" s="4" t="s">
        <v>25</v>
      </c>
      <c r="P992" s="4" t="s">
        <v>56</v>
      </c>
      <c r="Q992" s="4">
        <v>4</v>
      </c>
      <c r="R992" s="4" t="str">
        <f>TEXT(Table1[[#This Row],[Order Date]],"mmm")</f>
        <v>Dec</v>
      </c>
      <c r="S992" s="4" t="str">
        <f>TEXT(Table1[[#This Row],[Order Date]],"mm")</f>
        <v>12</v>
      </c>
      <c r="T992" s="4" t="str">
        <f>IF(Table1[[#This Row],[Sales]]&lt;0,"loss","profit")</f>
        <v>profit</v>
      </c>
      <c r="U992" s="4" t="str" cm="1">
        <f t="array" ref="U992">_xlfn.IFS(Table1[[#This Row],[Sales]]&gt;2000,"large",Table1[[#This Row],[Sales]]&gt;=500,"medium",Table1[[#This Row],[Sales]]&lt;500,"small")</f>
        <v>small</v>
      </c>
      <c r="V992" s="22">
        <f>Table1[[#This Row],[Profit]]/Table1[[#This Row],[Sales]]*100</f>
        <v>26.612903225806448</v>
      </c>
    </row>
    <row r="993" spans="1:22" x14ac:dyDescent="0.35">
      <c r="A993" s="4" t="s">
        <v>1433</v>
      </c>
      <c r="B993" s="5">
        <v>46018</v>
      </c>
      <c r="C993" s="4" t="s">
        <v>834</v>
      </c>
      <c r="D993" s="4" t="s">
        <v>43</v>
      </c>
      <c r="E993" s="4" t="s">
        <v>87</v>
      </c>
      <c r="F993" s="4" t="s">
        <v>124</v>
      </c>
      <c r="G993" s="4" t="s">
        <v>38</v>
      </c>
      <c r="H993" s="4" t="s">
        <v>39</v>
      </c>
      <c r="I993" s="4">
        <v>1</v>
      </c>
      <c r="J993" s="6">
        <v>141.93</v>
      </c>
      <c r="K993" s="7">
        <v>0.1</v>
      </c>
      <c r="L993" s="6">
        <f t="shared" si="30"/>
        <v>127.73700000000001</v>
      </c>
      <c r="M993" s="6">
        <v>125.61</v>
      </c>
      <c r="N993" s="8">
        <f t="shared" si="31"/>
        <v>2.1270000000000095</v>
      </c>
      <c r="O993" s="4" t="s">
        <v>51</v>
      </c>
      <c r="P993" s="4" t="s">
        <v>97</v>
      </c>
      <c r="Q993" s="4">
        <v>5</v>
      </c>
      <c r="R993" s="4" t="str">
        <f>TEXT(Table1[[#This Row],[Order Date]],"mmm")</f>
        <v>Dec</v>
      </c>
      <c r="S993" s="4" t="str">
        <f>TEXT(Table1[[#This Row],[Order Date]],"mm")</f>
        <v>12</v>
      </c>
      <c r="T993" s="4" t="str">
        <f>IF(Table1[[#This Row],[Sales]]&lt;0,"loss","profit")</f>
        <v>profit</v>
      </c>
      <c r="U993" s="4" t="str" cm="1">
        <f t="array" ref="U993">_xlfn.IFS(Table1[[#This Row],[Sales]]&gt;2000,"large",Table1[[#This Row],[Sales]]&gt;=500,"medium",Table1[[#This Row],[Sales]]&lt;500,"small")</f>
        <v>small</v>
      </c>
      <c r="V993" s="22">
        <f>Table1[[#This Row],[Profit]]/Table1[[#This Row],[Sales]]*100</f>
        <v>1.6651400925338855</v>
      </c>
    </row>
    <row r="994" spans="1:22" x14ac:dyDescent="0.35">
      <c r="A994" s="4" t="s">
        <v>1434</v>
      </c>
      <c r="B994" s="5">
        <v>46019</v>
      </c>
      <c r="C994" s="4" t="s">
        <v>127</v>
      </c>
      <c r="D994" s="4" t="s">
        <v>47</v>
      </c>
      <c r="E994" s="4" t="s">
        <v>87</v>
      </c>
      <c r="F994" s="4" t="s">
        <v>92</v>
      </c>
      <c r="G994" s="4" t="s">
        <v>49</v>
      </c>
      <c r="H994" s="4" t="s">
        <v>50</v>
      </c>
      <c r="I994" s="4">
        <v>1</v>
      </c>
      <c r="J994" s="6">
        <v>24.86</v>
      </c>
      <c r="K994" s="7">
        <v>0.05</v>
      </c>
      <c r="L994" s="6">
        <f t="shared" si="30"/>
        <v>23.616999999999997</v>
      </c>
      <c r="M994" s="6">
        <v>16.829999999999998</v>
      </c>
      <c r="N994" s="8">
        <f t="shared" si="31"/>
        <v>6.786999999999999</v>
      </c>
      <c r="O994" s="4" t="s">
        <v>40</v>
      </c>
      <c r="P994" s="4" t="s">
        <v>56</v>
      </c>
      <c r="Q994" s="4">
        <v>5</v>
      </c>
      <c r="R994" s="4" t="str">
        <f>TEXT(Table1[[#This Row],[Order Date]],"mmm")</f>
        <v>Dec</v>
      </c>
      <c r="S994" s="4" t="str">
        <f>TEXT(Table1[[#This Row],[Order Date]],"mm")</f>
        <v>12</v>
      </c>
      <c r="T994" s="4" t="str">
        <f>IF(Table1[[#This Row],[Sales]]&lt;0,"loss","profit")</f>
        <v>profit</v>
      </c>
      <c r="U994" s="4" t="str" cm="1">
        <f t="array" ref="U994">_xlfn.IFS(Table1[[#This Row],[Sales]]&gt;2000,"large",Table1[[#This Row],[Sales]]&gt;=500,"medium",Table1[[#This Row],[Sales]]&lt;500,"small")</f>
        <v>small</v>
      </c>
      <c r="V994" s="22">
        <f>Table1[[#This Row],[Profit]]/Table1[[#This Row],[Sales]]*100</f>
        <v>28.737773637633907</v>
      </c>
    </row>
    <row r="995" spans="1:22" x14ac:dyDescent="0.35">
      <c r="A995" s="4" t="s">
        <v>1435</v>
      </c>
      <c r="B995" s="5">
        <v>46019</v>
      </c>
      <c r="C995" s="4" t="s">
        <v>603</v>
      </c>
      <c r="D995" s="4" t="s">
        <v>43</v>
      </c>
      <c r="E995" s="4" t="s">
        <v>29</v>
      </c>
      <c r="F995" s="4" t="s">
        <v>108</v>
      </c>
      <c r="G995" s="4" t="s">
        <v>38</v>
      </c>
      <c r="H995" s="4" t="s">
        <v>55</v>
      </c>
      <c r="I995" s="4">
        <v>3</v>
      </c>
      <c r="J995" s="6">
        <v>276.2</v>
      </c>
      <c r="K995" s="7">
        <v>0</v>
      </c>
      <c r="L995" s="6">
        <f t="shared" si="30"/>
        <v>828.59999999999991</v>
      </c>
      <c r="M995" s="6">
        <v>225.26</v>
      </c>
      <c r="N995" s="8">
        <f t="shared" si="31"/>
        <v>152.81999999999994</v>
      </c>
      <c r="O995" s="4" t="s">
        <v>84</v>
      </c>
      <c r="P995" s="4" t="s">
        <v>33</v>
      </c>
      <c r="Q995" s="4">
        <v>5</v>
      </c>
      <c r="R995" s="4" t="str">
        <f>TEXT(Table1[[#This Row],[Order Date]],"mmm")</f>
        <v>Dec</v>
      </c>
      <c r="S995" s="4" t="str">
        <f>TEXT(Table1[[#This Row],[Order Date]],"mm")</f>
        <v>12</v>
      </c>
      <c r="T995" s="4" t="str">
        <f>IF(Table1[[#This Row],[Sales]]&lt;0,"loss","profit")</f>
        <v>profit</v>
      </c>
      <c r="U995" s="4" t="str" cm="1">
        <f t="array" ref="U995">_xlfn.IFS(Table1[[#This Row],[Sales]]&gt;2000,"large",Table1[[#This Row],[Sales]]&gt;=500,"medium",Table1[[#This Row],[Sales]]&lt;500,"small")</f>
        <v>medium</v>
      </c>
      <c r="V995" s="22">
        <f>Table1[[#This Row],[Profit]]/Table1[[#This Row],[Sales]]*100</f>
        <v>18.443157132512667</v>
      </c>
    </row>
    <row r="996" spans="1:22" x14ac:dyDescent="0.35">
      <c r="A996" s="4" t="s">
        <v>1436</v>
      </c>
      <c r="B996" s="5">
        <v>46019</v>
      </c>
      <c r="C996" s="4" t="s">
        <v>614</v>
      </c>
      <c r="D996" s="4" t="s">
        <v>43</v>
      </c>
      <c r="E996" s="4" t="s">
        <v>29</v>
      </c>
      <c r="F996" s="4" t="s">
        <v>54</v>
      </c>
      <c r="G996" s="4" t="s">
        <v>23</v>
      </c>
      <c r="H996" s="4" t="s">
        <v>44</v>
      </c>
      <c r="I996" s="4">
        <v>2</v>
      </c>
      <c r="J996" s="6">
        <v>85.25</v>
      </c>
      <c r="K996" s="7">
        <v>0.05</v>
      </c>
      <c r="L996" s="6">
        <f t="shared" si="30"/>
        <v>161.97499999999999</v>
      </c>
      <c r="M996" s="6">
        <v>44.96</v>
      </c>
      <c r="N996" s="8">
        <f t="shared" si="31"/>
        <v>72.054999999999993</v>
      </c>
      <c r="O996" s="4" t="s">
        <v>40</v>
      </c>
      <c r="P996" s="4" t="s">
        <v>33</v>
      </c>
      <c r="Q996" s="4">
        <v>5</v>
      </c>
      <c r="R996" s="4" t="str">
        <f>TEXT(Table1[[#This Row],[Order Date]],"mmm")</f>
        <v>Dec</v>
      </c>
      <c r="S996" s="4" t="str">
        <f>TEXT(Table1[[#This Row],[Order Date]],"mm")</f>
        <v>12</v>
      </c>
      <c r="T996" s="4" t="str">
        <f>IF(Table1[[#This Row],[Sales]]&lt;0,"loss","profit")</f>
        <v>profit</v>
      </c>
      <c r="U996" s="4" t="str" cm="1">
        <f t="array" ref="U996">_xlfn.IFS(Table1[[#This Row],[Sales]]&gt;2000,"large",Table1[[#This Row],[Sales]]&gt;=500,"medium",Table1[[#This Row],[Sales]]&lt;500,"small")</f>
        <v>small</v>
      </c>
      <c r="V996" s="22">
        <f>Table1[[#This Row],[Profit]]/Table1[[#This Row],[Sales]]*100</f>
        <v>44.485260070998606</v>
      </c>
    </row>
    <row r="997" spans="1:22" x14ac:dyDescent="0.35">
      <c r="A997" s="4" t="s">
        <v>1437</v>
      </c>
      <c r="B997" s="5">
        <v>46020</v>
      </c>
      <c r="C997" s="4" t="s">
        <v>186</v>
      </c>
      <c r="D997" s="4" t="s">
        <v>47</v>
      </c>
      <c r="E997" s="4" t="s">
        <v>87</v>
      </c>
      <c r="F997" s="4" t="s">
        <v>124</v>
      </c>
      <c r="G997" s="4" t="s">
        <v>31</v>
      </c>
      <c r="H997" s="4" t="s">
        <v>147</v>
      </c>
      <c r="I997" s="4">
        <v>2</v>
      </c>
      <c r="J997" s="6">
        <v>42.87</v>
      </c>
      <c r="K997" s="7">
        <v>0</v>
      </c>
      <c r="L997" s="6">
        <f t="shared" si="30"/>
        <v>85.74</v>
      </c>
      <c r="M997" s="6">
        <v>31.39</v>
      </c>
      <c r="N997" s="8">
        <f t="shared" si="31"/>
        <v>22.959999999999994</v>
      </c>
      <c r="O997" s="4" t="s">
        <v>25</v>
      </c>
      <c r="P997" s="4" t="s">
        <v>97</v>
      </c>
      <c r="Q997" s="4">
        <v>3</v>
      </c>
      <c r="R997" s="4" t="str">
        <f>TEXT(Table1[[#This Row],[Order Date]],"mmm")</f>
        <v>Dec</v>
      </c>
      <c r="S997" s="4" t="str">
        <f>TEXT(Table1[[#This Row],[Order Date]],"mm")</f>
        <v>12</v>
      </c>
      <c r="T997" s="4" t="str">
        <f>IF(Table1[[#This Row],[Sales]]&lt;0,"loss","profit")</f>
        <v>profit</v>
      </c>
      <c r="U997" s="4" t="str" cm="1">
        <f t="array" ref="U997">_xlfn.IFS(Table1[[#This Row],[Sales]]&gt;2000,"large",Table1[[#This Row],[Sales]]&gt;=500,"medium",Table1[[#This Row],[Sales]]&lt;500,"small")</f>
        <v>small</v>
      </c>
      <c r="V997" s="22">
        <f>Table1[[#This Row],[Profit]]/Table1[[#This Row],[Sales]]*100</f>
        <v>26.778633076743635</v>
      </c>
    </row>
    <row r="998" spans="1:22" x14ac:dyDescent="0.35">
      <c r="A998" s="4" t="s">
        <v>1438</v>
      </c>
      <c r="B998" s="5">
        <v>46020</v>
      </c>
      <c r="C998" s="4" t="s">
        <v>1439</v>
      </c>
      <c r="D998" s="4" t="s">
        <v>43</v>
      </c>
      <c r="E998" s="4" t="s">
        <v>29</v>
      </c>
      <c r="F998" s="4" t="s">
        <v>108</v>
      </c>
      <c r="G998" s="4" t="s">
        <v>49</v>
      </c>
      <c r="H998" s="4" t="s">
        <v>50</v>
      </c>
      <c r="I998" s="4">
        <v>2</v>
      </c>
      <c r="J998" s="6">
        <v>43.3</v>
      </c>
      <c r="K998" s="7">
        <v>0.15</v>
      </c>
      <c r="L998" s="6">
        <f t="shared" si="30"/>
        <v>73.61</v>
      </c>
      <c r="M998" s="6">
        <v>26.55</v>
      </c>
      <c r="N998" s="8">
        <f t="shared" si="31"/>
        <v>20.509999999999998</v>
      </c>
      <c r="O998" s="4" t="s">
        <v>60</v>
      </c>
      <c r="P998" s="4" t="s">
        <v>72</v>
      </c>
      <c r="Q998" s="4">
        <v>2</v>
      </c>
      <c r="R998" s="4" t="str">
        <f>TEXT(Table1[[#This Row],[Order Date]],"mmm")</f>
        <v>Dec</v>
      </c>
      <c r="S998" s="4" t="str">
        <f>TEXT(Table1[[#This Row],[Order Date]],"mm")</f>
        <v>12</v>
      </c>
      <c r="T998" s="4" t="str">
        <f>IF(Table1[[#This Row],[Sales]]&lt;0,"loss","profit")</f>
        <v>profit</v>
      </c>
      <c r="U998" s="4" t="str" cm="1">
        <f t="array" ref="U998">_xlfn.IFS(Table1[[#This Row],[Sales]]&gt;2000,"large",Table1[[#This Row],[Sales]]&gt;=500,"medium",Table1[[#This Row],[Sales]]&lt;500,"small")</f>
        <v>small</v>
      </c>
      <c r="V998" s="22">
        <f>Table1[[#This Row],[Profit]]/Table1[[#This Row],[Sales]]*100</f>
        <v>27.863062083955981</v>
      </c>
    </row>
    <row r="999" spans="1:22" x14ac:dyDescent="0.35">
      <c r="A999" s="4" t="s">
        <v>1440</v>
      </c>
      <c r="B999" s="5">
        <v>46020</v>
      </c>
      <c r="C999" s="4" t="s">
        <v>107</v>
      </c>
      <c r="D999" s="4" t="s">
        <v>47</v>
      </c>
      <c r="E999" s="4" t="s">
        <v>87</v>
      </c>
      <c r="F999" s="4" t="s">
        <v>92</v>
      </c>
      <c r="G999" s="4" t="s">
        <v>49</v>
      </c>
      <c r="H999" s="4" t="s">
        <v>128</v>
      </c>
      <c r="I999" s="4">
        <v>1</v>
      </c>
      <c r="J999" s="6">
        <v>114.05</v>
      </c>
      <c r="K999" s="7">
        <v>0.1</v>
      </c>
      <c r="L999" s="6">
        <f t="shared" si="30"/>
        <v>102.645</v>
      </c>
      <c r="M999" s="6">
        <v>83.87</v>
      </c>
      <c r="N999" s="8">
        <f t="shared" si="31"/>
        <v>18.774999999999991</v>
      </c>
      <c r="O999" s="4" t="s">
        <v>40</v>
      </c>
      <c r="P999" s="4" t="s">
        <v>72</v>
      </c>
      <c r="Q999" s="4">
        <v>5</v>
      </c>
      <c r="R999" s="4" t="str">
        <f>TEXT(Table1[[#This Row],[Order Date]],"mmm")</f>
        <v>Dec</v>
      </c>
      <c r="S999" s="4" t="str">
        <f>TEXT(Table1[[#This Row],[Order Date]],"mm")</f>
        <v>12</v>
      </c>
      <c r="T999" s="4" t="str">
        <f>IF(Table1[[#This Row],[Sales]]&lt;0,"loss","profit")</f>
        <v>profit</v>
      </c>
      <c r="U999" s="4" t="str" cm="1">
        <f t="array" ref="U999">_xlfn.IFS(Table1[[#This Row],[Sales]]&gt;2000,"large",Table1[[#This Row],[Sales]]&gt;=500,"medium",Table1[[#This Row],[Sales]]&lt;500,"small")</f>
        <v>small</v>
      </c>
      <c r="V999" s="22">
        <f>Table1[[#This Row],[Profit]]/Table1[[#This Row],[Sales]]*100</f>
        <v>18.291197817721265</v>
      </c>
    </row>
    <row r="1000" spans="1:22" x14ac:dyDescent="0.35">
      <c r="A1000" s="4" t="s">
        <v>1441</v>
      </c>
      <c r="B1000" s="5">
        <v>46020</v>
      </c>
      <c r="C1000" s="4" t="s">
        <v>792</v>
      </c>
      <c r="D1000" s="4" t="s">
        <v>43</v>
      </c>
      <c r="E1000" s="4" t="s">
        <v>36</v>
      </c>
      <c r="F1000" s="4" t="s">
        <v>48</v>
      </c>
      <c r="G1000" s="4" t="s">
        <v>38</v>
      </c>
      <c r="H1000" s="4" t="s">
        <v>55</v>
      </c>
      <c r="I1000" s="4">
        <v>10</v>
      </c>
      <c r="J1000" s="6">
        <v>31.28</v>
      </c>
      <c r="K1000" s="7">
        <v>0.15</v>
      </c>
      <c r="L1000" s="6">
        <f t="shared" si="30"/>
        <v>265.88</v>
      </c>
      <c r="M1000" s="6">
        <v>27.02</v>
      </c>
      <c r="N1000" s="8">
        <f t="shared" si="31"/>
        <v>-4.3199999999999932</v>
      </c>
      <c r="O1000" s="4" t="s">
        <v>60</v>
      </c>
      <c r="P1000" s="4" t="s">
        <v>61</v>
      </c>
      <c r="Q1000" s="4">
        <v>3</v>
      </c>
      <c r="R1000" s="4" t="str">
        <f>TEXT(Table1[[#This Row],[Order Date]],"mmm")</f>
        <v>Dec</v>
      </c>
      <c r="S1000" s="4" t="str">
        <f>TEXT(Table1[[#This Row],[Order Date]],"mm")</f>
        <v>12</v>
      </c>
      <c r="T1000" s="4" t="str">
        <f>IF(Table1[[#This Row],[Sales]]&lt;0,"loss","profit")</f>
        <v>profit</v>
      </c>
      <c r="U1000" s="4" t="str" cm="1">
        <f t="array" ref="U1000">_xlfn.IFS(Table1[[#This Row],[Sales]]&gt;2000,"large",Table1[[#This Row],[Sales]]&gt;=500,"medium",Table1[[#This Row],[Sales]]&lt;500,"small")</f>
        <v>small</v>
      </c>
      <c r="V1000" s="22">
        <f>Table1[[#This Row],[Profit]]/Table1[[#This Row],[Sales]]*100</f>
        <v>-1.6247931397622963</v>
      </c>
    </row>
    <row r="1001" spans="1:22" x14ac:dyDescent="0.35">
      <c r="A1001" s="4" t="s">
        <v>1442</v>
      </c>
      <c r="B1001" s="5">
        <v>46022</v>
      </c>
      <c r="C1001" s="4" t="s">
        <v>1443</v>
      </c>
      <c r="D1001" s="4" t="s">
        <v>43</v>
      </c>
      <c r="E1001" s="4" t="s">
        <v>36</v>
      </c>
      <c r="F1001" s="4" t="s">
        <v>48</v>
      </c>
      <c r="G1001" s="4" t="s">
        <v>38</v>
      </c>
      <c r="H1001" s="4" t="s">
        <v>55</v>
      </c>
      <c r="I1001" s="4">
        <v>8</v>
      </c>
      <c r="J1001" s="6">
        <v>268.13</v>
      </c>
      <c r="K1001" s="7">
        <v>0.1</v>
      </c>
      <c r="L1001" s="6">
        <f t="shared" si="30"/>
        <v>1930.5360000000001</v>
      </c>
      <c r="M1001" s="6">
        <v>224.31</v>
      </c>
      <c r="N1001" s="8">
        <f t="shared" si="31"/>
        <v>136.05600000000004</v>
      </c>
      <c r="O1001" s="4" t="s">
        <v>60</v>
      </c>
      <c r="P1001" s="4" t="s">
        <v>97</v>
      </c>
      <c r="Q1001" s="4">
        <v>5</v>
      </c>
      <c r="R1001" s="4" t="str">
        <f>TEXT(Table1[[#This Row],[Order Date]],"mmm")</f>
        <v>Dec</v>
      </c>
      <c r="S1001" s="4" t="str">
        <f>TEXT(Table1[[#This Row],[Order Date]],"mm")</f>
        <v>12</v>
      </c>
      <c r="T1001" s="4" t="str">
        <f>IF(Table1[[#This Row],[Sales]]&lt;0,"loss","profit")</f>
        <v>profit</v>
      </c>
      <c r="U1001" s="4" t="str" cm="1">
        <f t="array" ref="U1001">_xlfn.IFS(Table1[[#This Row],[Sales]]&gt;2000,"large",Table1[[#This Row],[Sales]]&gt;=500,"medium",Table1[[#This Row],[Sales]]&lt;500,"small")</f>
        <v>medium</v>
      </c>
      <c r="V1001" s="22">
        <f>Table1[[#This Row],[Profit]]/Table1[[#This Row],[Sales]]*100</f>
        <v>7.0475764243712646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BH369"/>
  <sheetViews>
    <sheetView topLeftCell="A24" zoomScale="34" zoomScaleNormal="58" workbookViewId="0">
      <selection activeCell="X109" sqref="X109"/>
    </sheetView>
  </sheetViews>
  <sheetFormatPr defaultColWidth="8.6328125" defaultRowHeight="14.5" x14ac:dyDescent="0.35"/>
  <cols>
    <col min="1" max="1" width="22" customWidth="1"/>
    <col min="2" max="3" width="16" customWidth="1"/>
    <col min="4" max="5" width="12" customWidth="1"/>
  </cols>
  <sheetData>
    <row r="1" spans="1:5" ht="19" x14ac:dyDescent="0.4">
      <c r="A1" s="9" t="s">
        <v>1465</v>
      </c>
    </row>
    <row r="3" spans="1:5" ht="16.5" x14ac:dyDescent="0.35">
      <c r="A3" s="2" t="s">
        <v>1444</v>
      </c>
    </row>
    <row r="4" spans="1:5" x14ac:dyDescent="0.35">
      <c r="A4" s="10" t="s">
        <v>1445</v>
      </c>
      <c r="B4" s="11">
        <f>SUM(Data!L2:L1001)</f>
        <v>692809.63350000023</v>
      </c>
      <c r="C4" s="12"/>
      <c r="D4" s="12"/>
      <c r="E4" s="12"/>
    </row>
    <row r="5" spans="1:5" x14ac:dyDescent="0.35">
      <c r="A5" s="10" t="s">
        <v>1446</v>
      </c>
      <c r="B5" s="11">
        <f>SUM(Data!N2:N1001)</f>
        <v>146599.9535</v>
      </c>
      <c r="C5" s="12"/>
      <c r="D5" s="12"/>
      <c r="E5" s="12"/>
    </row>
    <row r="6" spans="1:5" x14ac:dyDescent="0.35">
      <c r="A6" s="10" t="s">
        <v>1447</v>
      </c>
      <c r="B6" s="13">
        <f>B5/B4</f>
        <v>0.21160207135023903</v>
      </c>
      <c r="C6" s="12"/>
      <c r="D6" s="12"/>
      <c r="E6" s="12"/>
    </row>
    <row r="7" spans="1:5" x14ac:dyDescent="0.35">
      <c r="A7" s="10" t="s">
        <v>1448</v>
      </c>
      <c r="B7" s="11">
        <f>COUNTA(Data!A2:A1001)</f>
        <v>1000</v>
      </c>
      <c r="C7" s="12"/>
      <c r="D7" s="12"/>
      <c r="E7" s="12"/>
    </row>
    <row r="8" spans="1:5" x14ac:dyDescent="0.35">
      <c r="A8" s="10" t="s">
        <v>1449</v>
      </c>
      <c r="B8" s="14">
        <f>B4/B7</f>
        <v>692.80963350000025</v>
      </c>
      <c r="C8" s="12"/>
      <c r="D8" s="12"/>
      <c r="E8" s="12"/>
    </row>
    <row r="9" spans="1:5" x14ac:dyDescent="0.35">
      <c r="A9" s="10" t="s">
        <v>1450</v>
      </c>
      <c r="B9" s="15">
        <f>AVERAGE(Data!Q2:Q1001)</f>
        <v>3.839</v>
      </c>
      <c r="C9" s="12"/>
      <c r="D9" s="12"/>
      <c r="E9" s="12"/>
    </row>
    <row r="10" spans="1:5" x14ac:dyDescent="0.35">
      <c r="A10" s="12"/>
      <c r="B10" s="12"/>
      <c r="C10" s="12"/>
      <c r="D10" s="12"/>
      <c r="E10" s="12"/>
    </row>
    <row r="11" spans="1:5" x14ac:dyDescent="0.35">
      <c r="A11" s="12"/>
      <c r="B11" s="12"/>
      <c r="C11" s="12"/>
      <c r="D11" s="12"/>
      <c r="E11" s="12"/>
    </row>
    <row r="12" spans="1:5" ht="16.5" x14ac:dyDescent="0.35">
      <c r="A12" s="2" t="s">
        <v>1451</v>
      </c>
      <c r="B12" s="12"/>
      <c r="C12" s="12"/>
      <c r="D12" s="12"/>
      <c r="E12" s="12"/>
    </row>
    <row r="13" spans="1:5" x14ac:dyDescent="0.35">
      <c r="A13" s="1" t="s">
        <v>5</v>
      </c>
      <c r="B13" s="1" t="s">
        <v>12</v>
      </c>
      <c r="C13" s="1" t="s">
        <v>14</v>
      </c>
      <c r="D13" s="1" t="s">
        <v>1452</v>
      </c>
      <c r="E13" s="1" t="s">
        <v>1453</v>
      </c>
    </row>
    <row r="14" spans="1:5" x14ac:dyDescent="0.35">
      <c r="A14" s="12" t="s">
        <v>21</v>
      </c>
      <c r="B14" s="16">
        <f>SUMIFS(Data!$L$2:$L$1001,Data!$E$2:$E$1001,A14)</f>
        <v>169068.1575</v>
      </c>
      <c r="C14" s="16">
        <f>SUMIFS(Data!$N$2:$N$1001,Data!$E$2:$E$1001,A14)</f>
        <v>35386.37750000001</v>
      </c>
      <c r="D14" s="16">
        <f>COUNTIFS(Data!$E$2:$E$1001,A14)</f>
        <v>226</v>
      </c>
      <c r="E14" s="17">
        <f>IF(B14=0,0,C14/B14)</f>
        <v>0.2093024376870021</v>
      </c>
    </row>
    <row r="15" spans="1:5" x14ac:dyDescent="0.35">
      <c r="A15" s="12" t="s">
        <v>87</v>
      </c>
      <c r="B15" s="16">
        <f>SUMIFS(Data!$L$2:$L$1001,Data!$E$2:$E$1001,A15)</f>
        <v>178929.03299999982</v>
      </c>
      <c r="C15" s="16">
        <f>SUMIFS(Data!$N$2:$N$1001,Data!$E$2:$E$1001,A15)</f>
        <v>39407.082999999984</v>
      </c>
      <c r="D15" s="16">
        <f>COUNTIFS(Data!$E$2:$E$1001,A15)</f>
        <v>267</v>
      </c>
      <c r="E15" s="17">
        <f>IF(B15=0,0,C15/B15)</f>
        <v>0.22023861829063829</v>
      </c>
    </row>
    <row r="16" spans="1:5" x14ac:dyDescent="0.35">
      <c r="A16" s="12" t="s">
        <v>36</v>
      </c>
      <c r="B16" s="16">
        <f>SUMIFS(Data!$L$2:$L$1001,Data!$E$2:$E$1001,A16)</f>
        <v>170329.22950000007</v>
      </c>
      <c r="C16" s="16">
        <f>SUMIFS(Data!$N$2:$N$1001,Data!$E$2:$E$1001,A16)</f>
        <v>32090.349499999978</v>
      </c>
      <c r="D16" s="16">
        <f>COUNTIFS(Data!$E$2:$E$1001,A16)</f>
        <v>254</v>
      </c>
      <c r="E16" s="17">
        <f>IF(B16=0,0,C16/B16)</f>
        <v>0.18840189434427029</v>
      </c>
    </row>
    <row r="17" spans="1:5" x14ac:dyDescent="0.35">
      <c r="A17" s="12" t="s">
        <v>29</v>
      </c>
      <c r="B17" s="16">
        <f>SUMIFS(Data!$L$2:$L$1001,Data!$E$2:$E$1001,A17)</f>
        <v>174483.21350000004</v>
      </c>
      <c r="C17" s="16">
        <f>SUMIFS(Data!$N$2:$N$1001,Data!$E$2:$E$1001,A17)</f>
        <v>39716.143500000035</v>
      </c>
      <c r="D17" s="16">
        <f>COUNTIFS(Data!$E$2:$E$1001,A17)</f>
        <v>253</v>
      </c>
      <c r="E17" s="17">
        <f>IF(B17=0,0,C17/B17)</f>
        <v>0.22762157289130869</v>
      </c>
    </row>
    <row r="18" spans="1:5" x14ac:dyDescent="0.35">
      <c r="A18" s="12"/>
      <c r="B18" s="16"/>
      <c r="C18" s="16"/>
      <c r="D18" s="12"/>
      <c r="E18" s="17"/>
    </row>
    <row r="19" spans="1:5" x14ac:dyDescent="0.35">
      <c r="A19" s="12"/>
      <c r="B19" s="16"/>
      <c r="C19" s="16"/>
      <c r="D19" s="12"/>
      <c r="E19" s="17"/>
    </row>
    <row r="20" spans="1:5" ht="16.5" x14ac:dyDescent="0.35">
      <c r="A20" s="2" t="s">
        <v>1454</v>
      </c>
      <c r="B20" s="16"/>
      <c r="C20" s="16"/>
      <c r="D20" s="12"/>
      <c r="E20" s="17"/>
    </row>
    <row r="21" spans="1:5" x14ac:dyDescent="0.35">
      <c r="A21" s="1" t="s">
        <v>7</v>
      </c>
      <c r="B21" s="18" t="s">
        <v>12</v>
      </c>
      <c r="C21" s="18" t="s">
        <v>14</v>
      </c>
      <c r="D21" s="1" t="s">
        <v>1452</v>
      </c>
      <c r="E21" s="19" t="s">
        <v>1453</v>
      </c>
    </row>
    <row r="22" spans="1:5" x14ac:dyDescent="0.35">
      <c r="A22" s="12" t="s">
        <v>38</v>
      </c>
      <c r="B22" s="16">
        <f>SUMIFS(Data!$L$2:$L$1001,Data!$G$2:$G$1001,A22)</f>
        <v>330663.06300000026</v>
      </c>
      <c r="C22" s="16">
        <f>SUMIFS(Data!$N$2:$N$1001,Data!$G$2:$G$1001,A22)</f>
        <v>37116.163000000015</v>
      </c>
      <c r="D22" s="12">
        <f>COUNTIFS(Data!$G$2:$G$1001,A22)</f>
        <v>268</v>
      </c>
      <c r="E22" s="17">
        <f>IF(B22=0,0,C22/B22)</f>
        <v>0.112247683981564</v>
      </c>
    </row>
    <row r="23" spans="1:5" x14ac:dyDescent="0.35">
      <c r="A23" s="12" t="s">
        <v>67</v>
      </c>
      <c r="B23" s="16">
        <f>SUMIFS(Data!$L$2:$L$1001,Data!$G$2:$G$1001,A23)</f>
        <v>147942.92650000003</v>
      </c>
      <c r="C23" s="16">
        <f>SUMIFS(Data!$N$2:$N$1001,Data!$G$2:$G$1001,A23)</f>
        <v>38043.946500000035</v>
      </c>
      <c r="D23" s="12">
        <f>COUNTIFS(Data!$G$2:$G$1001,A23)</f>
        <v>140</v>
      </c>
      <c r="E23" s="17">
        <f>IF(B23=0,0,C23/B23)</f>
        <v>0.25715285887629125</v>
      </c>
    </row>
    <row r="24" spans="1:5" x14ac:dyDescent="0.35">
      <c r="A24" s="12" t="s">
        <v>23</v>
      </c>
      <c r="B24" s="16">
        <f>SUMIFS(Data!$L$2:$L$1001,Data!$G$2:$G$1001,A24)</f>
        <v>49082.554499999977</v>
      </c>
      <c r="C24" s="16">
        <f>SUMIFS(Data!$N$2:$N$1001,Data!$G$2:$G$1001,A24)</f>
        <v>21714.064499999986</v>
      </c>
      <c r="D24" s="12">
        <f>COUNTIFS(Data!$G$2:$G$1001,A24)</f>
        <v>246</v>
      </c>
      <c r="E24" s="17">
        <f>IF(B24=0,0,C24/B24)</f>
        <v>0.44239882624691013</v>
      </c>
    </row>
    <row r="25" spans="1:5" x14ac:dyDescent="0.35">
      <c r="A25" s="12" t="s">
        <v>31</v>
      </c>
      <c r="B25" s="16">
        <f>SUMIFS(Data!$L$2:$L$1001,Data!$G$2:$G$1001,A25)</f>
        <v>94428.272000000041</v>
      </c>
      <c r="C25" s="16">
        <f>SUMIFS(Data!$N$2:$N$1001,Data!$G$2:$G$1001,A25)</f>
        <v>28837.641999999989</v>
      </c>
      <c r="D25" s="12">
        <f>COUNTIFS(Data!$G$2:$G$1001,A25)</f>
        <v>211</v>
      </c>
      <c r="E25" s="17">
        <f>IF(B25=0,0,C25/B25)</f>
        <v>0.30539203343676541</v>
      </c>
    </row>
    <row r="26" spans="1:5" x14ac:dyDescent="0.35">
      <c r="A26" s="12" t="s">
        <v>49</v>
      </c>
      <c r="B26" s="16">
        <f>SUMIFS(Data!$L$2:$L$1001,Data!$G$2:$G$1001,A26)</f>
        <v>70692.817500000005</v>
      </c>
      <c r="C26" s="16">
        <f>SUMIFS(Data!$N$2:$N$1001,Data!$G$2:$G$1001,A26)</f>
        <v>20888.13749999999</v>
      </c>
      <c r="D26" s="12">
        <f>COUNTIFS(Data!$G$2:$G$1001,A26)</f>
        <v>135</v>
      </c>
      <c r="E26" s="17">
        <f>IF(B26=0,0,C26/B26)</f>
        <v>0.29547750731536465</v>
      </c>
    </row>
    <row r="27" spans="1:5" x14ac:dyDescent="0.35">
      <c r="A27" s="12"/>
      <c r="B27" s="16"/>
      <c r="C27" s="16"/>
      <c r="D27" s="12"/>
      <c r="E27" s="17"/>
    </row>
    <row r="28" spans="1:5" x14ac:dyDescent="0.35">
      <c r="A28" s="12"/>
      <c r="B28" s="16"/>
      <c r="C28" s="16"/>
      <c r="D28" s="12"/>
      <c r="E28" s="17"/>
    </row>
    <row r="29" spans="1:5" ht="16.5" x14ac:dyDescent="0.35">
      <c r="A29" s="2" t="s">
        <v>1455</v>
      </c>
      <c r="B29" s="16"/>
      <c r="C29" s="16"/>
      <c r="D29" s="12"/>
      <c r="E29" s="17"/>
    </row>
    <row r="30" spans="1:5" x14ac:dyDescent="0.35">
      <c r="A30" s="1" t="s">
        <v>1456</v>
      </c>
      <c r="B30" s="18" t="s">
        <v>12</v>
      </c>
      <c r="C30" s="18" t="s">
        <v>14</v>
      </c>
      <c r="D30" s="1" t="s">
        <v>1452</v>
      </c>
      <c r="E30" s="17"/>
    </row>
    <row r="31" spans="1:5" x14ac:dyDescent="0.35">
      <c r="A31" s="20">
        <v>45658</v>
      </c>
      <c r="B31" s="16">
        <f>SUMIFS(Data!$L$2:$L$1001,Data!$B$2:$B$1001,"&gt;="&amp;A31,Data!$B$2:$B$1001,"&lt;"&amp;EDATE(A31,1))</f>
        <v>57653.931000000019</v>
      </c>
      <c r="C31" s="16">
        <f>SUMIFS(Data!$N$2:$N$1001,Data!$B$2:$B$1001,"&gt;="&amp;A31,Data!$B$2:$B$1001,"&lt;"&amp;EDATE(A31,1))</f>
        <v>13836.601000000001</v>
      </c>
      <c r="D31" s="16">
        <f>COUNTIFS(Data!$B$2:$B$1001,"&gt;="&amp;A31,Data!$B$2:$B$1001,"&lt;"&amp;EDATE(A31,1))</f>
        <v>76</v>
      </c>
      <c r="E31" s="17"/>
    </row>
    <row r="32" spans="1:5" x14ac:dyDescent="0.35">
      <c r="A32" s="20">
        <v>45689</v>
      </c>
      <c r="B32" s="16">
        <f>SUMIFS(Data!$L$2:$L$1001,Data!$B$2:$B$1001,"&gt;="&amp;A32,Data!$B$2:$B$1001,"&lt;"&amp;EDATE(A32,1))</f>
        <v>65058.560999999987</v>
      </c>
      <c r="C32" s="16">
        <f>SUMIFS(Data!$N$2:$N$1001,Data!$B$2:$B$1001,"&gt;="&amp;A32,Data!$B$2:$B$1001,"&lt;"&amp;EDATE(A32,1))</f>
        <v>11736.741000000004</v>
      </c>
      <c r="D32" s="16">
        <f>COUNTIFS(Data!$B$2:$B$1001,"&gt;="&amp;A32,Data!$B$2:$B$1001,"&lt;"&amp;EDATE(A32,1))</f>
        <v>86</v>
      </c>
      <c r="E32" s="17"/>
    </row>
    <row r="33" spans="1:5" x14ac:dyDescent="0.35">
      <c r="A33" s="20">
        <v>45717</v>
      </c>
      <c r="B33" s="16">
        <f>SUMIFS(Data!$L$2:$L$1001,Data!$B$2:$B$1001,"&gt;="&amp;A33,Data!$B$2:$B$1001,"&lt;"&amp;EDATE(A33,1))</f>
        <v>54263.726999999999</v>
      </c>
      <c r="C33" s="16">
        <f>SUMIFS(Data!$N$2:$N$1001,Data!$B$2:$B$1001,"&gt;="&amp;A33,Data!$B$2:$B$1001,"&lt;"&amp;EDATE(A33,1))</f>
        <v>10384.146999999997</v>
      </c>
      <c r="D33" s="16">
        <f>COUNTIFS(Data!$B$2:$B$1001,"&gt;="&amp;A33,Data!$B$2:$B$1001,"&lt;"&amp;EDATE(A33,1))</f>
        <v>73</v>
      </c>
      <c r="E33" s="17"/>
    </row>
    <row r="34" spans="1:5" x14ac:dyDescent="0.35">
      <c r="A34" s="20">
        <v>45748</v>
      </c>
      <c r="B34" s="16">
        <f>SUMIFS(Data!$L$2:$L$1001,Data!$B$2:$B$1001,"&gt;="&amp;A34,Data!$B$2:$B$1001,"&lt;"&amp;EDATE(A34,1))</f>
        <v>63909.560999999994</v>
      </c>
      <c r="C34" s="16">
        <f>SUMIFS(Data!$N$2:$N$1001,Data!$B$2:$B$1001,"&gt;="&amp;A34,Data!$B$2:$B$1001,"&lt;"&amp;EDATE(A34,1))</f>
        <v>13819.880999999996</v>
      </c>
      <c r="D34" s="16">
        <f>COUNTIFS(Data!$B$2:$B$1001,"&gt;="&amp;A34,Data!$B$2:$B$1001,"&lt;"&amp;EDATE(A34,1))</f>
        <v>86</v>
      </c>
      <c r="E34" s="17"/>
    </row>
    <row r="35" spans="1:5" x14ac:dyDescent="0.35">
      <c r="A35" s="20">
        <v>45778</v>
      </c>
      <c r="B35" s="16">
        <f>SUMIFS(Data!$L$2:$L$1001,Data!$B$2:$B$1001,"&gt;="&amp;A35,Data!$B$2:$B$1001,"&lt;"&amp;EDATE(A35,1))</f>
        <v>60650.416000000012</v>
      </c>
      <c r="C35" s="16">
        <f>SUMIFS(Data!$N$2:$N$1001,Data!$B$2:$B$1001,"&gt;="&amp;A35,Data!$B$2:$B$1001,"&lt;"&amp;EDATE(A35,1))</f>
        <v>12445.135999999997</v>
      </c>
      <c r="D35" s="16">
        <f>COUNTIFS(Data!$B$2:$B$1001,"&gt;="&amp;A35,Data!$B$2:$B$1001,"&lt;"&amp;EDATE(A35,1))</f>
        <v>105</v>
      </c>
      <c r="E35" s="17"/>
    </row>
    <row r="36" spans="1:5" x14ac:dyDescent="0.35">
      <c r="A36" s="20">
        <v>45809</v>
      </c>
      <c r="B36" s="16">
        <f>SUMIFS(Data!$L$2:$L$1001,Data!$B$2:$B$1001,"&gt;="&amp;A36,Data!$B$2:$B$1001,"&lt;"&amp;EDATE(A36,1))</f>
        <v>53418.729499999994</v>
      </c>
      <c r="C36" s="16">
        <f>SUMIFS(Data!$N$2:$N$1001,Data!$B$2:$B$1001,"&gt;="&amp;A36,Data!$B$2:$B$1001,"&lt;"&amp;EDATE(A36,1))</f>
        <v>14467.599500000002</v>
      </c>
      <c r="D36" s="16">
        <f>COUNTIFS(Data!$B$2:$B$1001,"&gt;="&amp;A36,Data!$B$2:$B$1001,"&lt;"&amp;EDATE(A36,1))</f>
        <v>77</v>
      </c>
      <c r="E36" s="17"/>
    </row>
    <row r="37" spans="1:5" x14ac:dyDescent="0.35">
      <c r="A37" s="20">
        <v>45839</v>
      </c>
      <c r="B37" s="16">
        <f>SUMIFS(Data!$L$2:$L$1001,Data!$B$2:$B$1001,"&gt;="&amp;A37,Data!$B$2:$B$1001,"&lt;"&amp;EDATE(A37,1))</f>
        <v>55141.331500000008</v>
      </c>
      <c r="C37" s="16">
        <f>SUMIFS(Data!$N$2:$N$1001,Data!$B$2:$B$1001,"&gt;="&amp;A37,Data!$B$2:$B$1001,"&lt;"&amp;EDATE(A37,1))</f>
        <v>10426.151499999998</v>
      </c>
      <c r="D37" s="16">
        <f>COUNTIFS(Data!$B$2:$B$1001,"&gt;="&amp;A37,Data!$B$2:$B$1001,"&lt;"&amp;EDATE(A37,1))</f>
        <v>72</v>
      </c>
      <c r="E37" s="17"/>
    </row>
    <row r="38" spans="1:5" x14ac:dyDescent="0.35">
      <c r="A38" s="20">
        <v>45870</v>
      </c>
      <c r="B38" s="16">
        <f>SUMIFS(Data!$L$2:$L$1001,Data!$B$2:$B$1001,"&gt;="&amp;A38,Data!$B$2:$B$1001,"&lt;"&amp;EDATE(A38,1))</f>
        <v>63671.493000000017</v>
      </c>
      <c r="C38" s="16">
        <f>SUMIFS(Data!$N$2:$N$1001,Data!$B$2:$B$1001,"&gt;="&amp;A38,Data!$B$2:$B$1001,"&lt;"&amp;EDATE(A38,1))</f>
        <v>14990.563000000004</v>
      </c>
      <c r="D38" s="16">
        <f>COUNTIFS(Data!$B$2:$B$1001,"&gt;="&amp;A38,Data!$B$2:$B$1001,"&lt;"&amp;EDATE(A38,1))</f>
        <v>95</v>
      </c>
      <c r="E38" s="17"/>
    </row>
    <row r="39" spans="1:5" x14ac:dyDescent="0.35">
      <c r="A39" s="20">
        <v>45901</v>
      </c>
      <c r="B39" s="16">
        <f>SUMIFS(Data!$L$2:$L$1001,Data!$B$2:$B$1001,"&gt;="&amp;A39,Data!$B$2:$B$1001,"&lt;"&amp;EDATE(A39,1))</f>
        <v>57260.531500000005</v>
      </c>
      <c r="C39" s="16">
        <f>SUMIFS(Data!$N$2:$N$1001,Data!$B$2:$B$1001,"&gt;="&amp;A39,Data!$B$2:$B$1001,"&lt;"&amp;EDATE(A39,1))</f>
        <v>8494.3014999999978</v>
      </c>
      <c r="D39" s="16">
        <f>COUNTIFS(Data!$B$2:$B$1001,"&gt;="&amp;A39,Data!$B$2:$B$1001,"&lt;"&amp;EDATE(A39,1))</f>
        <v>65</v>
      </c>
      <c r="E39" s="17"/>
    </row>
    <row r="40" spans="1:5" x14ac:dyDescent="0.35">
      <c r="A40" s="20">
        <v>45931</v>
      </c>
      <c r="B40" s="16">
        <f>SUMIFS(Data!$L$2:$L$1001,Data!$B$2:$B$1001,"&gt;="&amp;A40,Data!$B$2:$B$1001,"&lt;"&amp;EDATE(A40,1))</f>
        <v>59391.194999999978</v>
      </c>
      <c r="C40" s="16">
        <f>SUMIFS(Data!$N$2:$N$1001,Data!$B$2:$B$1001,"&gt;="&amp;A40,Data!$B$2:$B$1001,"&lt;"&amp;EDATE(A40,1))</f>
        <v>12760.105000000001</v>
      </c>
      <c r="D40" s="16">
        <f>COUNTIFS(Data!$B$2:$B$1001,"&gt;="&amp;A40,Data!$B$2:$B$1001,"&lt;"&amp;EDATE(A40,1))</f>
        <v>96</v>
      </c>
      <c r="E40" s="17"/>
    </row>
    <row r="41" spans="1:5" x14ac:dyDescent="0.35">
      <c r="A41" s="20">
        <v>45962</v>
      </c>
      <c r="B41" s="16">
        <f>SUMIFS(Data!$L$2:$L$1001,Data!$B$2:$B$1001,"&gt;="&amp;A41,Data!$B$2:$B$1001,"&lt;"&amp;EDATE(A41,1))</f>
        <v>50726.044499999975</v>
      </c>
      <c r="C41" s="16">
        <f>SUMIFS(Data!$N$2:$N$1001,Data!$B$2:$B$1001,"&gt;="&amp;A41,Data!$B$2:$B$1001,"&lt;"&amp;EDATE(A41,1))</f>
        <v>12120.754499999997</v>
      </c>
      <c r="D41" s="16">
        <f>COUNTIFS(Data!$B$2:$B$1001,"&gt;="&amp;A41,Data!$B$2:$B$1001,"&lt;"&amp;EDATE(A41,1))</f>
        <v>78</v>
      </c>
      <c r="E41" s="17"/>
    </row>
    <row r="42" spans="1:5" x14ac:dyDescent="0.35">
      <c r="A42" s="20">
        <v>45992</v>
      </c>
      <c r="B42" s="16">
        <f>SUMIFS(Data!$L$2:$L$1001,Data!$B$2:$B$1001,"&gt;="&amp;A42,Data!$B$2:$B$1001,"&lt;"&amp;EDATE(A42,1))</f>
        <v>51664.112499999974</v>
      </c>
      <c r="C42" s="16">
        <f>SUMIFS(Data!$N$2:$N$1001,Data!$B$2:$B$1001,"&gt;="&amp;A42,Data!$B$2:$B$1001,"&lt;"&amp;EDATE(A42,1))</f>
        <v>11117.972499999998</v>
      </c>
      <c r="D42" s="16">
        <f>COUNTIFS(Data!$B$2:$B$1001,"&gt;="&amp;A42,Data!$B$2:$B$1001,"&lt;"&amp;EDATE(A42,1))</f>
        <v>91</v>
      </c>
      <c r="E42" s="17"/>
    </row>
    <row r="43" spans="1:5" x14ac:dyDescent="0.35">
      <c r="A43" s="12"/>
      <c r="B43" s="16"/>
      <c r="C43" s="16"/>
      <c r="D43" s="12"/>
      <c r="E43" s="17"/>
    </row>
    <row r="44" spans="1:5" ht="16.5" x14ac:dyDescent="0.35">
      <c r="A44" s="2" t="s">
        <v>1457</v>
      </c>
      <c r="B44" s="16"/>
      <c r="C44" s="16"/>
      <c r="D44" s="12"/>
      <c r="E44" s="17"/>
    </row>
    <row r="45" spans="1:5" x14ac:dyDescent="0.35">
      <c r="A45" s="1" t="s">
        <v>16</v>
      </c>
      <c r="B45" s="18" t="s">
        <v>12</v>
      </c>
      <c r="C45" s="18" t="s">
        <v>14</v>
      </c>
      <c r="D45" s="1" t="s">
        <v>1452</v>
      </c>
      <c r="E45" s="17"/>
    </row>
    <row r="46" spans="1:5" x14ac:dyDescent="0.35">
      <c r="A46" s="12" t="s">
        <v>75</v>
      </c>
      <c r="B46" s="16">
        <f>SUMIFS(Data!$L$2:$L$1001,Data!$P$2:$P$1001,A46)</f>
        <v>73411.411500000017</v>
      </c>
      <c r="C46" s="16">
        <f>SUMIFS(Data!$N$2:$N$1001,Data!$P$2:$P$1001,A46)</f>
        <v>16418.161499999998</v>
      </c>
      <c r="D46" s="12">
        <f>COUNTIFS(Data!$P$2:$P$1001,A46)</f>
        <v>112</v>
      </c>
      <c r="E46" s="17"/>
    </row>
    <row r="47" spans="1:5" x14ac:dyDescent="0.35">
      <c r="A47" s="12" t="s">
        <v>56</v>
      </c>
      <c r="B47" s="16">
        <f>SUMIFS(Data!$L$2:$L$1001,Data!$P$2:$P$1001,A47)</f>
        <v>97597.533500000005</v>
      </c>
      <c r="C47" s="16">
        <f>SUMIFS(Data!$N$2:$N$1001,Data!$P$2:$P$1001,A47)</f>
        <v>18769.503499999992</v>
      </c>
      <c r="D47" s="12">
        <f>COUNTIFS(Data!$P$2:$P$1001,A47)</f>
        <v>140</v>
      </c>
      <c r="E47" s="17"/>
    </row>
    <row r="48" spans="1:5" x14ac:dyDescent="0.35">
      <c r="A48" s="12" t="s">
        <v>61</v>
      </c>
      <c r="B48" s="16">
        <f>SUMIFS(Data!$L$2:$L$1001,Data!$P$2:$P$1001,A48)</f>
        <v>99153.0625</v>
      </c>
      <c r="C48" s="16">
        <f>SUMIFS(Data!$N$2:$N$1001,Data!$P$2:$P$1001,A48)</f>
        <v>21912.202499999996</v>
      </c>
      <c r="D48" s="12">
        <f>COUNTIFS(Data!$P$2:$P$1001,A48)</f>
        <v>128</v>
      </c>
      <c r="E48" s="17"/>
    </row>
    <row r="49" spans="1:20" ht="17" x14ac:dyDescent="0.5">
      <c r="A49" s="12" t="s">
        <v>72</v>
      </c>
      <c r="B49" s="16">
        <f>SUMIFS(Data!$L$2:$L$1001,Data!$P$2:$P$1001,A49)</f>
        <v>83739.372500000027</v>
      </c>
      <c r="C49" s="16">
        <f>SUMIFS(Data!$N$2:$N$1001,Data!$P$2:$P$1001,A49)</f>
        <v>15879.062499999993</v>
      </c>
      <c r="D49" s="12">
        <f>COUNTIFS(Data!$P$2:$P$1001,A49)</f>
        <v>134</v>
      </c>
      <c r="E49" s="36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</row>
    <row r="50" spans="1:20" ht="17" x14ac:dyDescent="0.5">
      <c r="A50" s="12" t="s">
        <v>33</v>
      </c>
      <c r="B50" s="16">
        <f>SUMIFS(Data!$L$2:$L$1001,Data!$P$2:$P$1001,A50)</f>
        <v>78865.852499999979</v>
      </c>
      <c r="C50" s="16">
        <f>SUMIFS(Data!$N$2:$N$1001,Data!$P$2:$P$1001,A50)</f>
        <v>16565.952500000003</v>
      </c>
      <c r="D50" s="12">
        <f>COUNTIFS(Data!$P$2:$P$1001,A50)</f>
        <v>119</v>
      </c>
      <c r="E50" s="36"/>
      <c r="F50" s="40" t="s">
        <v>1521</v>
      </c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</row>
    <row r="51" spans="1:20" ht="17" x14ac:dyDescent="0.5">
      <c r="A51" s="12" t="s">
        <v>118</v>
      </c>
      <c r="B51" s="16">
        <f>SUMIFS(Data!$L$2:$L$1001,Data!$P$2:$P$1001,A51)</f>
        <v>70757.180499999988</v>
      </c>
      <c r="C51" s="16">
        <f>SUMIFS(Data!$N$2:$N$1001,Data!$P$2:$P$1001,A51)</f>
        <v>15585.4005</v>
      </c>
      <c r="D51" s="12">
        <f>COUNTIFS(Data!$P$2:$P$1001,A51)</f>
        <v>108</v>
      </c>
      <c r="E51" s="36"/>
      <c r="F51" s="42" t="s">
        <v>1522</v>
      </c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</row>
    <row r="52" spans="1:20" ht="17" x14ac:dyDescent="0.5">
      <c r="A52" s="12" t="s">
        <v>97</v>
      </c>
      <c r="B52" s="16">
        <f>SUMIFS(Data!$L$2:$L$1001,Data!$P$2:$P$1001,A52)</f>
        <v>106727.4565</v>
      </c>
      <c r="C52" s="16">
        <f>SUMIFS(Data!$N$2:$N$1001,Data!$P$2:$P$1001,A52)</f>
        <v>21688.876500000002</v>
      </c>
      <c r="D52" s="12">
        <f>COUNTIFS(Data!$P$2:$P$1001,A52)</f>
        <v>138</v>
      </c>
      <c r="E52" s="36"/>
      <c r="F52" s="40" t="s">
        <v>1523</v>
      </c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</row>
    <row r="53" spans="1:20" ht="17" x14ac:dyDescent="0.5">
      <c r="A53" s="12" t="s">
        <v>26</v>
      </c>
      <c r="B53" s="16">
        <f>SUMIFS(Data!$L$2:$L$1001,Data!$P$2:$P$1001,A53)</f>
        <v>82557.76400000001</v>
      </c>
      <c r="C53" s="16">
        <f>SUMIFS(Data!$N$2:$N$1001,Data!$P$2:$P$1001,A53)</f>
        <v>19780.793999999998</v>
      </c>
      <c r="D53" s="12">
        <f>COUNTIFS(Data!$P$2:$P$1001,A53)</f>
        <v>121</v>
      </c>
      <c r="E53" s="36"/>
      <c r="F53" s="42" t="s">
        <v>1524</v>
      </c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</row>
    <row r="54" spans="1:20" ht="17" x14ac:dyDescent="0.5">
      <c r="A54" s="12"/>
      <c r="B54" s="16"/>
      <c r="C54" s="16"/>
      <c r="D54" s="12"/>
      <c r="E54" s="36"/>
      <c r="F54" s="42" t="s">
        <v>1525</v>
      </c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</row>
    <row r="55" spans="1:20" ht="17" x14ac:dyDescent="0.5">
      <c r="A55" s="12"/>
      <c r="B55" s="16"/>
      <c r="C55" s="16"/>
      <c r="D55" s="12"/>
      <c r="E55" s="36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</row>
    <row r="56" spans="1:20" ht="17" x14ac:dyDescent="0.5">
      <c r="A56" s="12"/>
      <c r="B56" s="16"/>
      <c r="C56" s="16"/>
      <c r="D56" s="12"/>
      <c r="E56" s="36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</row>
    <row r="57" spans="1:20" x14ac:dyDescent="0.35">
      <c r="A57" s="12"/>
      <c r="B57" s="16"/>
      <c r="C57" s="16"/>
      <c r="D57" s="12"/>
      <c r="E57" s="17"/>
    </row>
    <row r="58" spans="1:20" x14ac:dyDescent="0.35">
      <c r="A58" s="12"/>
      <c r="B58" s="16"/>
      <c r="C58" s="16"/>
      <c r="D58" s="12"/>
      <c r="E58" s="17"/>
    </row>
    <row r="59" spans="1:20" x14ac:dyDescent="0.35">
      <c r="A59" s="12"/>
      <c r="B59" s="16"/>
      <c r="C59" s="16"/>
      <c r="D59" s="12"/>
      <c r="E59" s="17"/>
    </row>
    <row r="60" spans="1:20" x14ac:dyDescent="0.35">
      <c r="A60" s="12"/>
      <c r="B60" s="16"/>
      <c r="C60" s="16"/>
      <c r="D60" s="12"/>
      <c r="E60" s="17"/>
    </row>
    <row r="88" spans="1:60" x14ac:dyDescent="0.3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</row>
    <row r="89" spans="1:60" x14ac:dyDescent="0.3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</row>
    <row r="90" spans="1:60" x14ac:dyDescent="0.3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</row>
    <row r="91" spans="1:60" x14ac:dyDescent="0.3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</row>
    <row r="92" spans="1:60" x14ac:dyDescent="0.3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</row>
    <row r="93" spans="1:60" x14ac:dyDescent="0.3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</row>
    <row r="94" spans="1:60" x14ac:dyDescent="0.3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</row>
    <row r="95" spans="1:60" x14ac:dyDescent="0.3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</row>
    <row r="96" spans="1:60" x14ac:dyDescent="0.3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</row>
    <row r="97" spans="1:60" x14ac:dyDescent="0.3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</row>
    <row r="98" spans="1:60" x14ac:dyDescent="0.3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</row>
    <row r="99" spans="1:60" x14ac:dyDescent="0.3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</row>
    <row r="100" spans="1:60" x14ac:dyDescent="0.3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</row>
    <row r="101" spans="1:60" x14ac:dyDescent="0.3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</row>
    <row r="102" spans="1:60" x14ac:dyDescent="0.3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</row>
    <row r="103" spans="1:60" x14ac:dyDescent="0.3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</row>
    <row r="104" spans="1:60" x14ac:dyDescent="0.3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</row>
    <row r="105" spans="1:60" x14ac:dyDescent="0.3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</row>
    <row r="106" spans="1:60" x14ac:dyDescent="0.3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</row>
    <row r="107" spans="1:60" x14ac:dyDescent="0.3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</row>
    <row r="108" spans="1:60" x14ac:dyDescent="0.3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</row>
    <row r="109" spans="1:60" x14ac:dyDescent="0.3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</row>
    <row r="110" spans="1:60" x14ac:dyDescent="0.3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</row>
    <row r="111" spans="1:60" x14ac:dyDescent="0.3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</row>
    <row r="112" spans="1:60" x14ac:dyDescent="0.3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</row>
    <row r="113" spans="1:60" x14ac:dyDescent="0.3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</row>
    <row r="114" spans="1:60" x14ac:dyDescent="0.3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</row>
    <row r="115" spans="1:60" x14ac:dyDescent="0.3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</row>
    <row r="116" spans="1:60" x14ac:dyDescent="0.3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</row>
    <row r="117" spans="1:60" x14ac:dyDescent="0.3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</row>
    <row r="118" spans="1:60" x14ac:dyDescent="0.3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</row>
    <row r="119" spans="1:60" x14ac:dyDescent="0.3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</row>
    <row r="120" spans="1:60" x14ac:dyDescent="0.3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</row>
    <row r="121" spans="1:60" x14ac:dyDescent="0.3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</row>
    <row r="122" spans="1:60" x14ac:dyDescent="0.3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</row>
    <row r="123" spans="1:60" x14ac:dyDescent="0.3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</row>
    <row r="124" spans="1:60" x14ac:dyDescent="0.3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</row>
    <row r="125" spans="1:60" x14ac:dyDescent="0.3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</row>
    <row r="126" spans="1:60" x14ac:dyDescent="0.3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</row>
    <row r="127" spans="1:60" x14ac:dyDescent="0.3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</row>
    <row r="128" spans="1:60" x14ac:dyDescent="0.3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</row>
    <row r="129" spans="1:60" x14ac:dyDescent="0.3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</row>
    <row r="130" spans="1:60" x14ac:dyDescent="0.3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</row>
    <row r="131" spans="1:60" x14ac:dyDescent="0.3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</row>
    <row r="132" spans="1:60" x14ac:dyDescent="0.3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</row>
    <row r="133" spans="1:60" x14ac:dyDescent="0.3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</row>
    <row r="134" spans="1:60" x14ac:dyDescent="0.3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</row>
    <row r="135" spans="1:60" x14ac:dyDescent="0.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</row>
    <row r="136" spans="1:60" x14ac:dyDescent="0.3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</row>
    <row r="137" spans="1:60" x14ac:dyDescent="0.3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</row>
    <row r="138" spans="1:60" x14ac:dyDescent="0.3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</row>
    <row r="139" spans="1:60" x14ac:dyDescent="0.3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</row>
    <row r="140" spans="1:60" x14ac:dyDescent="0.3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</row>
    <row r="141" spans="1:60" x14ac:dyDescent="0.3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</row>
    <row r="142" spans="1:60" x14ac:dyDescent="0.3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</row>
    <row r="143" spans="1:60" x14ac:dyDescent="0.3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</row>
    <row r="144" spans="1:60" x14ac:dyDescent="0.3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</row>
    <row r="145" spans="1:60" x14ac:dyDescent="0.3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</row>
    <row r="146" spans="1:60" x14ac:dyDescent="0.3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</row>
    <row r="147" spans="1:60" x14ac:dyDescent="0.35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</row>
    <row r="148" spans="1:60" x14ac:dyDescent="0.35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</row>
    <row r="149" spans="1:60" x14ac:dyDescent="0.3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</row>
    <row r="150" spans="1:60" x14ac:dyDescent="0.35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</row>
    <row r="151" spans="1:60" x14ac:dyDescent="0.3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</row>
    <row r="152" spans="1:60" x14ac:dyDescent="0.35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</row>
    <row r="153" spans="1:60" x14ac:dyDescent="0.3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</row>
    <row r="154" spans="1:60" x14ac:dyDescent="0.3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</row>
    <row r="155" spans="1:60" x14ac:dyDescent="0.3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</row>
    <row r="156" spans="1:60" x14ac:dyDescent="0.35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</row>
    <row r="157" spans="1:60" x14ac:dyDescent="0.3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</row>
    <row r="158" spans="1:60" x14ac:dyDescent="0.3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</row>
    <row r="159" spans="1:60" x14ac:dyDescent="0.3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</row>
    <row r="160" spans="1:60" x14ac:dyDescent="0.3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</row>
    <row r="161" spans="1:60" x14ac:dyDescent="0.3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</row>
    <row r="162" spans="1:60" x14ac:dyDescent="0.3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</row>
    <row r="163" spans="1:60" x14ac:dyDescent="0.3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</row>
    <row r="164" spans="1:60" x14ac:dyDescent="0.3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</row>
    <row r="165" spans="1:60" x14ac:dyDescent="0.3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</row>
    <row r="166" spans="1:60" x14ac:dyDescent="0.3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</row>
    <row r="167" spans="1:60" x14ac:dyDescent="0.3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</row>
    <row r="168" spans="1:60" x14ac:dyDescent="0.35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</row>
    <row r="169" spans="1:60" x14ac:dyDescent="0.35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</row>
    <row r="170" spans="1:60" x14ac:dyDescent="0.3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</row>
    <row r="171" spans="1:60" x14ac:dyDescent="0.3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</row>
    <row r="172" spans="1:60" x14ac:dyDescent="0.35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</row>
    <row r="173" spans="1:60" x14ac:dyDescent="0.35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</row>
    <row r="174" spans="1:60" x14ac:dyDescent="0.35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</row>
    <row r="175" spans="1:60" x14ac:dyDescent="0.3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</row>
    <row r="176" spans="1:60" x14ac:dyDescent="0.3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</row>
    <row r="177" spans="1:60" x14ac:dyDescent="0.35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</row>
    <row r="178" spans="1:60" x14ac:dyDescent="0.35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</row>
    <row r="179" spans="1:60" x14ac:dyDescent="0.35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</row>
    <row r="180" spans="1:60" x14ac:dyDescent="0.35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</row>
    <row r="181" spans="1:60" x14ac:dyDescent="0.35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</row>
    <row r="182" spans="1:60" x14ac:dyDescent="0.35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</row>
    <row r="183" spans="1:60" x14ac:dyDescent="0.3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</row>
    <row r="184" spans="1:60" x14ac:dyDescent="0.35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</row>
    <row r="185" spans="1:60" x14ac:dyDescent="0.3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</row>
    <row r="186" spans="1:60" x14ac:dyDescent="0.3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</row>
    <row r="187" spans="1:60" x14ac:dyDescent="0.35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</row>
    <row r="188" spans="1:60" x14ac:dyDescent="0.35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</row>
    <row r="189" spans="1:60" x14ac:dyDescent="0.35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</row>
    <row r="190" spans="1:60" x14ac:dyDescent="0.35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</row>
    <row r="191" spans="1:60" x14ac:dyDescent="0.35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</row>
    <row r="192" spans="1:60" x14ac:dyDescent="0.35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</row>
    <row r="193" spans="1:60" x14ac:dyDescent="0.35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</row>
    <row r="194" spans="1:60" x14ac:dyDescent="0.35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</row>
    <row r="195" spans="1:60" x14ac:dyDescent="0.3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</row>
    <row r="196" spans="1:60" x14ac:dyDescent="0.35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</row>
    <row r="197" spans="1:60" x14ac:dyDescent="0.35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</row>
    <row r="198" spans="1:60" x14ac:dyDescent="0.3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</row>
    <row r="199" spans="1:60" x14ac:dyDescent="0.35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</row>
    <row r="200" spans="1:60" x14ac:dyDescent="0.3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</row>
    <row r="201" spans="1:60" x14ac:dyDescent="0.35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</row>
    <row r="202" spans="1:60" x14ac:dyDescent="0.35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</row>
    <row r="203" spans="1:60" x14ac:dyDescent="0.35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</row>
    <row r="204" spans="1:60" x14ac:dyDescent="0.35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</row>
    <row r="205" spans="1:60" x14ac:dyDescent="0.3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</row>
    <row r="206" spans="1:60" x14ac:dyDescent="0.35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</row>
    <row r="207" spans="1:60" x14ac:dyDescent="0.35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</row>
    <row r="208" spans="1:60" x14ac:dyDescent="0.35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</row>
    <row r="209" spans="1:60" x14ac:dyDescent="0.35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</row>
    <row r="210" spans="1:60" x14ac:dyDescent="0.35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</row>
    <row r="211" spans="1:60" x14ac:dyDescent="0.35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</row>
    <row r="212" spans="1:60" x14ac:dyDescent="0.35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</row>
    <row r="213" spans="1:60" x14ac:dyDescent="0.35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</row>
    <row r="214" spans="1:60" x14ac:dyDescent="0.35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</row>
    <row r="215" spans="1:60" x14ac:dyDescent="0.3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</row>
    <row r="216" spans="1:60" x14ac:dyDescent="0.35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</row>
    <row r="217" spans="1:60" x14ac:dyDescent="0.35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</row>
    <row r="218" spans="1:60" x14ac:dyDescent="0.35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</row>
    <row r="219" spans="1:60" x14ac:dyDescent="0.35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</row>
    <row r="220" spans="1:60" x14ac:dyDescent="0.35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</row>
    <row r="221" spans="1:60" x14ac:dyDescent="0.35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</row>
    <row r="222" spans="1:60" x14ac:dyDescent="0.35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</row>
    <row r="223" spans="1:60" x14ac:dyDescent="0.35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</row>
    <row r="224" spans="1:60" x14ac:dyDescent="0.35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</row>
    <row r="225" spans="1:60" x14ac:dyDescent="0.3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</row>
    <row r="226" spans="1:60" x14ac:dyDescent="0.35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</row>
    <row r="227" spans="1:60" x14ac:dyDescent="0.35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</row>
    <row r="228" spans="1:60" x14ac:dyDescent="0.35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</row>
    <row r="229" spans="1:60" x14ac:dyDescent="0.35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</row>
    <row r="230" spans="1:60" x14ac:dyDescent="0.35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</row>
    <row r="231" spans="1:60" x14ac:dyDescent="0.35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</row>
    <row r="232" spans="1:60" x14ac:dyDescent="0.35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</row>
    <row r="233" spans="1:60" x14ac:dyDescent="0.35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</row>
    <row r="234" spans="1:60" x14ac:dyDescent="0.3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</row>
    <row r="235" spans="1:60" x14ac:dyDescent="0.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</row>
    <row r="236" spans="1:60" x14ac:dyDescent="0.35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</row>
    <row r="237" spans="1:60" x14ac:dyDescent="0.35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</row>
    <row r="238" spans="1:60" x14ac:dyDescent="0.35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</row>
    <row r="239" spans="1:60" x14ac:dyDescent="0.35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</row>
    <row r="240" spans="1:60" x14ac:dyDescent="0.35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</row>
    <row r="241" spans="1:60" x14ac:dyDescent="0.35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</row>
    <row r="242" spans="1:60" x14ac:dyDescent="0.35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</row>
    <row r="243" spans="1:60" x14ac:dyDescent="0.35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</row>
    <row r="244" spans="1:60" x14ac:dyDescent="0.35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</row>
    <row r="245" spans="1:60" x14ac:dyDescent="0.3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</row>
    <row r="246" spans="1:60" x14ac:dyDescent="0.35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</row>
    <row r="247" spans="1:60" x14ac:dyDescent="0.35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</row>
    <row r="248" spans="1:60" x14ac:dyDescent="0.35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</row>
    <row r="249" spans="1:60" x14ac:dyDescent="0.35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</row>
    <row r="250" spans="1:60" x14ac:dyDescent="0.35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8"/>
    </row>
    <row r="251" spans="1:60" x14ac:dyDescent="0.35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</row>
    <row r="252" spans="1:60" x14ac:dyDescent="0.35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</row>
    <row r="253" spans="1:60" x14ac:dyDescent="0.35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</row>
    <row r="254" spans="1:60" x14ac:dyDescent="0.35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</row>
    <row r="255" spans="1:60" x14ac:dyDescent="0.3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</row>
    <row r="256" spans="1:60" x14ac:dyDescent="0.35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</row>
    <row r="257" spans="1:60" x14ac:dyDescent="0.35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</row>
    <row r="258" spans="1:60" x14ac:dyDescent="0.35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</row>
    <row r="259" spans="1:60" x14ac:dyDescent="0.35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</row>
    <row r="260" spans="1:60" x14ac:dyDescent="0.35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</row>
    <row r="261" spans="1:60" x14ac:dyDescent="0.35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</row>
    <row r="262" spans="1:60" x14ac:dyDescent="0.35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</row>
    <row r="263" spans="1:60" x14ac:dyDescent="0.35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</row>
    <row r="264" spans="1:60" x14ac:dyDescent="0.35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</row>
    <row r="265" spans="1:60" x14ac:dyDescent="0.3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</row>
    <row r="266" spans="1:60" x14ac:dyDescent="0.35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</row>
    <row r="267" spans="1:60" x14ac:dyDescent="0.35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</row>
    <row r="268" spans="1:60" x14ac:dyDescent="0.35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</row>
    <row r="269" spans="1:60" x14ac:dyDescent="0.35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</row>
    <row r="270" spans="1:60" x14ac:dyDescent="0.35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</row>
    <row r="271" spans="1:60" x14ac:dyDescent="0.35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</row>
    <row r="272" spans="1:60" x14ac:dyDescent="0.35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</row>
    <row r="273" spans="1:60" x14ac:dyDescent="0.35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</row>
    <row r="274" spans="1:60" x14ac:dyDescent="0.35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</row>
    <row r="275" spans="1:60" x14ac:dyDescent="0.3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</row>
    <row r="276" spans="1:60" x14ac:dyDescent="0.35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</row>
    <row r="277" spans="1:60" x14ac:dyDescent="0.35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</row>
    <row r="278" spans="1:60" x14ac:dyDescent="0.35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</row>
    <row r="279" spans="1:60" x14ac:dyDescent="0.35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</row>
    <row r="280" spans="1:60" x14ac:dyDescent="0.3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</row>
    <row r="281" spans="1:60" x14ac:dyDescent="0.35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</row>
    <row r="282" spans="1:60" x14ac:dyDescent="0.35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</row>
    <row r="283" spans="1:60" x14ac:dyDescent="0.35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</row>
    <row r="284" spans="1:60" x14ac:dyDescent="0.35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</row>
    <row r="285" spans="1:60" x14ac:dyDescent="0.3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</row>
    <row r="286" spans="1:60" x14ac:dyDescent="0.35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</row>
    <row r="287" spans="1:60" x14ac:dyDescent="0.35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</row>
    <row r="288" spans="1:60" x14ac:dyDescent="0.35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</row>
    <row r="289" spans="1:60" x14ac:dyDescent="0.35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</row>
    <row r="290" spans="1:60" x14ac:dyDescent="0.35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</row>
    <row r="291" spans="1:60" x14ac:dyDescent="0.35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</row>
    <row r="292" spans="1:60" x14ac:dyDescent="0.35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</row>
    <row r="293" spans="1:60" x14ac:dyDescent="0.35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</row>
    <row r="294" spans="1:60" x14ac:dyDescent="0.35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</row>
    <row r="295" spans="1:60" x14ac:dyDescent="0.3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</row>
    <row r="296" spans="1:60" x14ac:dyDescent="0.35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</row>
    <row r="297" spans="1:60" x14ac:dyDescent="0.35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</row>
    <row r="298" spans="1:60" x14ac:dyDescent="0.35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</row>
    <row r="299" spans="1:60" x14ac:dyDescent="0.35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</row>
    <row r="300" spans="1:60" x14ac:dyDescent="0.35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</row>
    <row r="301" spans="1:60" x14ac:dyDescent="0.35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</row>
    <row r="302" spans="1:60" x14ac:dyDescent="0.35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</row>
    <row r="303" spans="1:60" x14ac:dyDescent="0.35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</row>
    <row r="304" spans="1:60" x14ac:dyDescent="0.35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</row>
    <row r="305" spans="1:60" x14ac:dyDescent="0.3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</row>
    <row r="306" spans="1:60" x14ac:dyDescent="0.35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</row>
    <row r="307" spans="1:60" x14ac:dyDescent="0.35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</row>
    <row r="308" spans="1:60" x14ac:dyDescent="0.35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</row>
    <row r="309" spans="1:60" x14ac:dyDescent="0.35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</row>
    <row r="310" spans="1:60" x14ac:dyDescent="0.35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</row>
    <row r="311" spans="1:60" x14ac:dyDescent="0.35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</row>
    <row r="312" spans="1:60" x14ac:dyDescent="0.35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</row>
    <row r="313" spans="1:60" x14ac:dyDescent="0.35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</row>
    <row r="314" spans="1:60" x14ac:dyDescent="0.35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</row>
    <row r="315" spans="1:60" x14ac:dyDescent="0.3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</row>
    <row r="316" spans="1:60" x14ac:dyDescent="0.35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</row>
    <row r="317" spans="1:60" x14ac:dyDescent="0.35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</row>
    <row r="318" spans="1:60" x14ac:dyDescent="0.35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</row>
    <row r="319" spans="1:60" x14ac:dyDescent="0.35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</row>
    <row r="320" spans="1:60" x14ac:dyDescent="0.35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</row>
    <row r="321" spans="1:60" x14ac:dyDescent="0.35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</row>
    <row r="322" spans="1:60" x14ac:dyDescent="0.35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</row>
    <row r="323" spans="1:60" x14ac:dyDescent="0.35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</row>
    <row r="324" spans="1:60" x14ac:dyDescent="0.35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</row>
    <row r="325" spans="1:60" x14ac:dyDescent="0.3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</row>
    <row r="326" spans="1:60" x14ac:dyDescent="0.35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</row>
    <row r="327" spans="1:60" x14ac:dyDescent="0.35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</row>
    <row r="328" spans="1:60" x14ac:dyDescent="0.35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</row>
    <row r="329" spans="1:60" x14ac:dyDescent="0.35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</row>
    <row r="330" spans="1:60" x14ac:dyDescent="0.35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</row>
    <row r="331" spans="1:60" x14ac:dyDescent="0.35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</row>
    <row r="332" spans="1:60" x14ac:dyDescent="0.35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</row>
    <row r="333" spans="1:60" x14ac:dyDescent="0.35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</row>
    <row r="334" spans="1:60" x14ac:dyDescent="0.35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</row>
    <row r="335" spans="1:60" x14ac:dyDescent="0.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</row>
    <row r="336" spans="1:60" x14ac:dyDescent="0.35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</row>
    <row r="337" spans="1:60" x14ac:dyDescent="0.35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</row>
    <row r="338" spans="1:60" x14ac:dyDescent="0.35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</row>
    <row r="339" spans="1:60" x14ac:dyDescent="0.35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</row>
    <row r="340" spans="1:60" x14ac:dyDescent="0.35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</row>
    <row r="341" spans="1:60" x14ac:dyDescent="0.35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</row>
    <row r="342" spans="1:60" x14ac:dyDescent="0.35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</row>
    <row r="343" spans="1:60" x14ac:dyDescent="0.35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</row>
    <row r="344" spans="1:60" x14ac:dyDescent="0.35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</row>
    <row r="345" spans="1:60" x14ac:dyDescent="0.3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</row>
    <row r="346" spans="1:60" x14ac:dyDescent="0.35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</row>
    <row r="347" spans="1:60" x14ac:dyDescent="0.35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</row>
    <row r="348" spans="1:60" x14ac:dyDescent="0.35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</row>
    <row r="349" spans="1:60" x14ac:dyDescent="0.35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</row>
    <row r="350" spans="1:60" x14ac:dyDescent="0.35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</row>
    <row r="351" spans="1:60" x14ac:dyDescent="0.35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</row>
    <row r="352" spans="1:60" x14ac:dyDescent="0.35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</row>
    <row r="353" spans="1:60" x14ac:dyDescent="0.35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</row>
    <row r="354" spans="1:60" x14ac:dyDescent="0.35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</row>
    <row r="355" spans="1:60" x14ac:dyDescent="0.3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</row>
    <row r="356" spans="1:60" x14ac:dyDescent="0.35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</row>
    <row r="357" spans="1:60" x14ac:dyDescent="0.35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</row>
    <row r="358" spans="1:60" x14ac:dyDescent="0.35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</row>
    <row r="359" spans="1:60" x14ac:dyDescent="0.35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</row>
    <row r="360" spans="1:60" x14ac:dyDescent="0.35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</row>
    <row r="361" spans="1:60" x14ac:dyDescent="0.35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</row>
    <row r="362" spans="1:60" x14ac:dyDescent="0.35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</row>
    <row r="363" spans="1:60" x14ac:dyDescent="0.35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</row>
    <row r="364" spans="1:60" x14ac:dyDescent="0.3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</row>
    <row r="365" spans="1:60" x14ac:dyDescent="0.3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</row>
    <row r="366" spans="1:60" x14ac:dyDescent="0.3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</row>
    <row r="367" spans="1:60" x14ac:dyDescent="0.3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</row>
    <row r="368" spans="1:60" x14ac:dyDescent="0.3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</row>
    <row r="369" spans="1:60" x14ac:dyDescent="0.3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</row>
  </sheetData>
  <conditionalFormatting sqref="B22:B26">
    <cfRule type="top10" dxfId="6" priority="2" rank="1"/>
  </conditionalFormatting>
  <conditionalFormatting sqref="B31:B42">
    <cfRule type="top10" dxfId="5" priority="7" rank="3"/>
  </conditionalFormatting>
  <conditionalFormatting sqref="B14:E17">
    <cfRule type="top10" dxfId="4" priority="6" rank="1"/>
  </conditionalFormatting>
  <conditionalFormatting sqref="C14:C17">
    <cfRule type="top10" dxfId="3" priority="5" rank="1"/>
  </conditionalFormatting>
  <conditionalFormatting sqref="C22:C26">
    <cfRule type="top10" dxfId="2" priority="1" rank="1"/>
  </conditionalFormatting>
  <conditionalFormatting sqref="C31:C42">
    <cfRule type="top10" dxfId="1" priority="4" rank="3"/>
  </conditionalFormatting>
  <conditionalFormatting sqref="D13:D17">
    <cfRule type="top10" dxfId="0" priority="3" rank="1"/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65CD-854B-4349-A794-77BBB852BA3F}">
  <sheetPr>
    <tabColor rgb="FF4472C4"/>
  </sheetPr>
  <dimension ref="A1:C24"/>
  <sheetViews>
    <sheetView topLeftCell="A18" zoomScale="60" workbookViewId="0">
      <selection activeCell="A26" sqref="A26"/>
    </sheetView>
  </sheetViews>
  <sheetFormatPr defaultRowHeight="14.5" x14ac:dyDescent="0.35"/>
  <cols>
    <col min="1" max="1" width="26.7265625" customWidth="1"/>
    <col min="2" max="2" width="11.453125" bestFit="1" customWidth="1"/>
    <col min="3" max="3" width="76.36328125" customWidth="1"/>
  </cols>
  <sheetData>
    <row r="1" spans="1:3" ht="21" x14ac:dyDescent="0.5">
      <c r="A1" s="30" t="s">
        <v>1485</v>
      </c>
    </row>
    <row r="2" spans="1:3" x14ac:dyDescent="0.35">
      <c r="A2" s="26" t="s">
        <v>1486</v>
      </c>
      <c r="C2" t="s">
        <v>1487</v>
      </c>
    </row>
    <row r="3" spans="1:3" x14ac:dyDescent="0.35">
      <c r="A3" s="26" t="s">
        <v>1488</v>
      </c>
      <c r="C3" t="s">
        <v>1489</v>
      </c>
    </row>
    <row r="5" spans="1:3" x14ac:dyDescent="0.35">
      <c r="A5" s="31" t="s">
        <v>1490</v>
      </c>
    </row>
    <row r="6" spans="1:3" x14ac:dyDescent="0.35">
      <c r="A6" s="32" t="s">
        <v>1491</v>
      </c>
      <c r="B6" s="32" t="s">
        <v>1492</v>
      </c>
      <c r="C6" s="32" t="s">
        <v>0</v>
      </c>
    </row>
    <row r="7" spans="1:3" x14ac:dyDescent="0.35">
      <c r="A7" t="s">
        <v>1464</v>
      </c>
      <c r="B7" s="33">
        <f>Analysis!B4</f>
        <v>692809.63350000023</v>
      </c>
      <c r="C7" t="s">
        <v>1493</v>
      </c>
    </row>
    <row r="8" spans="1:3" x14ac:dyDescent="0.35">
      <c r="A8" t="s">
        <v>1494</v>
      </c>
      <c r="B8" s="33">
        <f>Analysis!B5</f>
        <v>146599.9535</v>
      </c>
      <c r="C8" t="s">
        <v>1495</v>
      </c>
    </row>
    <row r="9" spans="1:3" x14ac:dyDescent="0.35">
      <c r="A9" t="s">
        <v>1496</v>
      </c>
      <c r="B9" s="21">
        <f>Analysis!B6</f>
        <v>0.21160207135023903</v>
      </c>
      <c r="C9" t="s">
        <v>1497</v>
      </c>
    </row>
    <row r="10" spans="1:3" x14ac:dyDescent="0.35">
      <c r="A10" t="s">
        <v>1452</v>
      </c>
      <c r="B10" s="34">
        <f>Analysis!B7</f>
        <v>1000</v>
      </c>
      <c r="C10" t="s">
        <v>1498</v>
      </c>
    </row>
    <row r="11" spans="1:3" x14ac:dyDescent="0.35">
      <c r="A11" t="s">
        <v>1499</v>
      </c>
      <c r="B11" s="33">
        <f>Analysis!B8</f>
        <v>692.80963350000025</v>
      </c>
      <c r="C11" t="s">
        <v>1500</v>
      </c>
    </row>
    <row r="12" spans="1:3" x14ac:dyDescent="0.35">
      <c r="A12" t="s">
        <v>1501</v>
      </c>
      <c r="B12" s="35">
        <f>Analysis!B9</f>
        <v>3.839</v>
      </c>
      <c r="C12" t="s">
        <v>1502</v>
      </c>
    </row>
    <row r="14" spans="1:3" x14ac:dyDescent="0.35">
      <c r="A14" s="31" t="s">
        <v>1503</v>
      </c>
    </row>
    <row r="15" spans="1:3" x14ac:dyDescent="0.35">
      <c r="A15" s="32" t="s">
        <v>1504</v>
      </c>
      <c r="C15" s="32" t="s">
        <v>1505</v>
      </c>
    </row>
    <row r="16" spans="1:3" ht="29" x14ac:dyDescent="0.35">
      <c r="A16" t="s">
        <v>1506</v>
      </c>
      <c r="C16" s="39" t="s">
        <v>1507</v>
      </c>
    </row>
    <row r="17" spans="1:3" ht="43.5" x14ac:dyDescent="0.35">
      <c r="A17" t="s">
        <v>1508</v>
      </c>
      <c r="C17" s="39" t="s">
        <v>1509</v>
      </c>
    </row>
    <row r="18" spans="1:3" ht="29" x14ac:dyDescent="0.35">
      <c r="A18" t="s">
        <v>1510</v>
      </c>
      <c r="C18" s="39" t="s">
        <v>1511</v>
      </c>
    </row>
    <row r="19" spans="1:3" ht="43.5" x14ac:dyDescent="0.35">
      <c r="A19" t="s">
        <v>1512</v>
      </c>
      <c r="C19" s="39" t="s">
        <v>1513</v>
      </c>
    </row>
    <row r="20" spans="1:3" ht="29" x14ac:dyDescent="0.35">
      <c r="A20" t="s">
        <v>1514</v>
      </c>
      <c r="C20" s="39" t="s">
        <v>1515</v>
      </c>
    </row>
    <row r="22" spans="1:3" x14ac:dyDescent="0.35">
      <c r="A22" s="31" t="s">
        <v>1516</v>
      </c>
    </row>
    <row r="23" spans="1:3" x14ac:dyDescent="0.35">
      <c r="A23" t="s">
        <v>1517</v>
      </c>
      <c r="C23" t="s">
        <v>1518</v>
      </c>
    </row>
    <row r="24" spans="1:3" x14ac:dyDescent="0.35">
      <c r="A24" t="s">
        <v>1519</v>
      </c>
      <c r="C24" t="s">
        <v>1520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A2E5-124A-439D-B89D-DBB2F364562B}">
  <dimension ref="A1:S1001"/>
  <sheetViews>
    <sheetView tabSelected="1" topLeftCell="G1" workbookViewId="0">
      <selection activeCell="U4" sqref="U4"/>
    </sheetView>
  </sheetViews>
  <sheetFormatPr defaultRowHeight="14.5" x14ac:dyDescent="0.35"/>
  <cols>
    <col min="1" max="1" width="9.6328125" customWidth="1"/>
    <col min="2" max="2" width="11" customWidth="1"/>
  </cols>
  <sheetData>
    <row r="1" spans="1:19" ht="42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1447</v>
      </c>
      <c r="S1" s="3" t="s">
        <v>1461</v>
      </c>
    </row>
    <row r="2" spans="1:19" x14ac:dyDescent="0.35">
      <c r="A2" s="4" t="s">
        <v>18</v>
      </c>
      <c r="B2" s="5">
        <v>45658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>
        <v>1</v>
      </c>
      <c r="J2" s="6">
        <v>84.05</v>
      </c>
      <c r="K2" s="7">
        <v>0</v>
      </c>
      <c r="L2" s="6">
        <f t="shared" ref="L2:L65" si="0">I2*J2*(1-K2)</f>
        <v>84.05</v>
      </c>
      <c r="M2" s="6">
        <v>37.26</v>
      </c>
      <c r="N2" s="8">
        <f t="shared" ref="N2:N65" si="1">L2-I2*M2</f>
        <v>46.79</v>
      </c>
      <c r="O2" s="4" t="s">
        <v>25</v>
      </c>
      <c r="P2" s="4" t="s">
        <v>26</v>
      </c>
      <c r="Q2" s="4">
        <v>3</v>
      </c>
      <c r="R2" s="21">
        <f>IF(L2=0,0,N2/L2)</f>
        <v>0.55669244497323023</v>
      </c>
      <c r="S2" t="str">
        <f>IF(L2&gt;=2000,"Large",IF(L2&gt;=500,"Medium","Small"))</f>
        <v>Small</v>
      </c>
    </row>
    <row r="3" spans="1:19" x14ac:dyDescent="0.35">
      <c r="A3" s="4" t="s">
        <v>27</v>
      </c>
      <c r="B3" s="5">
        <v>45658</v>
      </c>
      <c r="C3" s="4" t="s">
        <v>28</v>
      </c>
      <c r="D3" s="4" t="s">
        <v>20</v>
      </c>
      <c r="E3" s="4" t="s">
        <v>29</v>
      </c>
      <c r="F3" s="4" t="s">
        <v>30</v>
      </c>
      <c r="G3" s="4" t="s">
        <v>31</v>
      </c>
      <c r="H3" s="4" t="s">
        <v>32</v>
      </c>
      <c r="I3" s="4">
        <v>1</v>
      </c>
      <c r="J3" s="6">
        <v>381.08</v>
      </c>
      <c r="K3" s="7">
        <v>0</v>
      </c>
      <c r="L3" s="6">
        <f t="shared" si="0"/>
        <v>381.08</v>
      </c>
      <c r="M3" s="6">
        <v>247.67</v>
      </c>
      <c r="N3" s="8">
        <f t="shared" si="1"/>
        <v>133.41</v>
      </c>
      <c r="O3" s="4" t="s">
        <v>25</v>
      </c>
      <c r="P3" s="4" t="s">
        <v>33</v>
      </c>
      <c r="Q3" s="4">
        <v>1</v>
      </c>
      <c r="R3" s="21">
        <f t="shared" ref="R3:R66" si="2">IF(L3=0,0,N3/L3)</f>
        <v>0.35008397186942375</v>
      </c>
      <c r="S3" t="str">
        <f t="shared" ref="S3:S66" si="3">IF(L3&gt;=2000,"Large",IF(L3&gt;=500,"Medium","Small"))</f>
        <v>Small</v>
      </c>
    </row>
    <row r="4" spans="1:19" x14ac:dyDescent="0.35">
      <c r="A4" s="4" t="s">
        <v>34</v>
      </c>
      <c r="B4" s="5">
        <v>45658</v>
      </c>
      <c r="C4" s="4" t="s">
        <v>35</v>
      </c>
      <c r="D4" s="4" t="s">
        <v>20</v>
      </c>
      <c r="E4" s="4" t="s">
        <v>36</v>
      </c>
      <c r="F4" s="4" t="s">
        <v>37</v>
      </c>
      <c r="G4" s="4" t="s">
        <v>38</v>
      </c>
      <c r="H4" s="4" t="s">
        <v>39</v>
      </c>
      <c r="I4" s="4">
        <v>1</v>
      </c>
      <c r="J4" s="6">
        <v>297.24</v>
      </c>
      <c r="K4" s="7">
        <v>0.1</v>
      </c>
      <c r="L4" s="6">
        <f t="shared" si="0"/>
        <v>267.51600000000002</v>
      </c>
      <c r="M4" s="6">
        <v>266.58999999999997</v>
      </c>
      <c r="N4" s="8">
        <f t="shared" si="1"/>
        <v>0.92600000000004457</v>
      </c>
      <c r="O4" s="4" t="s">
        <v>40</v>
      </c>
      <c r="P4" s="4" t="s">
        <v>33</v>
      </c>
      <c r="Q4" s="4">
        <v>3</v>
      </c>
      <c r="R4" s="21">
        <f t="shared" si="2"/>
        <v>3.4614752014834422E-3</v>
      </c>
      <c r="S4" t="str">
        <f t="shared" si="3"/>
        <v>Small</v>
      </c>
    </row>
    <row r="5" spans="1:19" x14ac:dyDescent="0.35">
      <c r="A5" s="4" t="s">
        <v>41</v>
      </c>
      <c r="B5" s="5">
        <v>45659</v>
      </c>
      <c r="C5" s="4" t="s">
        <v>42</v>
      </c>
      <c r="D5" s="4" t="s">
        <v>43</v>
      </c>
      <c r="E5" s="4" t="s">
        <v>29</v>
      </c>
      <c r="F5" s="4" t="s">
        <v>30</v>
      </c>
      <c r="G5" s="4" t="s">
        <v>23</v>
      </c>
      <c r="H5" s="4" t="s">
        <v>44</v>
      </c>
      <c r="I5" s="4">
        <v>2</v>
      </c>
      <c r="J5" s="6">
        <v>156.29</v>
      </c>
      <c r="K5" s="7">
        <v>0</v>
      </c>
      <c r="L5" s="6">
        <f t="shared" si="0"/>
        <v>312.58</v>
      </c>
      <c r="M5" s="6">
        <v>83.22</v>
      </c>
      <c r="N5" s="8">
        <f t="shared" si="1"/>
        <v>146.13999999999999</v>
      </c>
      <c r="O5" s="4" t="s">
        <v>40</v>
      </c>
      <c r="P5" s="4" t="s">
        <v>26</v>
      </c>
      <c r="Q5" s="4">
        <v>3</v>
      </c>
      <c r="R5" s="21">
        <f t="shared" si="2"/>
        <v>0.46752831275193546</v>
      </c>
      <c r="S5" t="str">
        <f t="shared" si="3"/>
        <v>Small</v>
      </c>
    </row>
    <row r="6" spans="1:19" x14ac:dyDescent="0.35">
      <c r="A6" s="4" t="s">
        <v>45</v>
      </c>
      <c r="B6" s="5">
        <v>45659</v>
      </c>
      <c r="C6" s="4" t="s">
        <v>46</v>
      </c>
      <c r="D6" s="4" t="s">
        <v>47</v>
      </c>
      <c r="E6" s="4" t="s">
        <v>36</v>
      </c>
      <c r="F6" s="4" t="s">
        <v>48</v>
      </c>
      <c r="G6" s="4" t="s">
        <v>49</v>
      </c>
      <c r="H6" s="4" t="s">
        <v>50</v>
      </c>
      <c r="I6" s="4">
        <v>10</v>
      </c>
      <c r="J6" s="6">
        <v>29.28</v>
      </c>
      <c r="K6" s="7">
        <v>0.05</v>
      </c>
      <c r="L6" s="6">
        <f t="shared" si="0"/>
        <v>278.16000000000003</v>
      </c>
      <c r="M6" s="6">
        <v>20.12</v>
      </c>
      <c r="N6" s="8">
        <f t="shared" si="1"/>
        <v>76.960000000000008</v>
      </c>
      <c r="O6" s="4" t="s">
        <v>51</v>
      </c>
      <c r="P6" s="4" t="s">
        <v>26</v>
      </c>
      <c r="Q6" s="4">
        <v>4</v>
      </c>
      <c r="R6" s="21">
        <f t="shared" si="2"/>
        <v>0.27667529479436298</v>
      </c>
      <c r="S6" t="str">
        <f t="shared" si="3"/>
        <v>Small</v>
      </c>
    </row>
    <row r="7" spans="1:19" x14ac:dyDescent="0.35">
      <c r="A7" s="4" t="s">
        <v>52</v>
      </c>
      <c r="B7" s="5">
        <v>45659</v>
      </c>
      <c r="C7" s="4" t="s">
        <v>53</v>
      </c>
      <c r="D7" s="4" t="s">
        <v>43</v>
      </c>
      <c r="E7" s="4" t="s">
        <v>29</v>
      </c>
      <c r="F7" s="4" t="s">
        <v>54</v>
      </c>
      <c r="G7" s="4" t="s">
        <v>38</v>
      </c>
      <c r="H7" s="4" t="s">
        <v>55</v>
      </c>
      <c r="I7" s="4">
        <v>1</v>
      </c>
      <c r="J7" s="6">
        <v>198.11</v>
      </c>
      <c r="K7" s="7">
        <v>0.05</v>
      </c>
      <c r="L7" s="6">
        <f t="shared" si="0"/>
        <v>188.2045</v>
      </c>
      <c r="M7" s="6">
        <v>163.49</v>
      </c>
      <c r="N7" s="8">
        <f t="shared" si="1"/>
        <v>24.714499999999987</v>
      </c>
      <c r="O7" s="4" t="s">
        <v>40</v>
      </c>
      <c r="P7" s="4" t="s">
        <v>56</v>
      </c>
      <c r="Q7" s="4">
        <v>1</v>
      </c>
      <c r="R7" s="21">
        <f t="shared" si="2"/>
        <v>0.13131726393364657</v>
      </c>
      <c r="S7" t="str">
        <f t="shared" si="3"/>
        <v>Small</v>
      </c>
    </row>
    <row r="8" spans="1:19" x14ac:dyDescent="0.35">
      <c r="A8" s="4" t="s">
        <v>57</v>
      </c>
      <c r="B8" s="5">
        <v>45659</v>
      </c>
      <c r="C8" s="4" t="s">
        <v>58</v>
      </c>
      <c r="D8" s="4" t="s">
        <v>43</v>
      </c>
      <c r="E8" s="4" t="s">
        <v>21</v>
      </c>
      <c r="F8" s="4" t="s">
        <v>59</v>
      </c>
      <c r="G8" s="4" t="s">
        <v>23</v>
      </c>
      <c r="H8" s="4" t="s">
        <v>24</v>
      </c>
      <c r="I8" s="4">
        <v>2</v>
      </c>
      <c r="J8" s="6">
        <v>71.14</v>
      </c>
      <c r="K8" s="7">
        <v>0</v>
      </c>
      <c r="L8" s="6">
        <f t="shared" si="0"/>
        <v>142.28</v>
      </c>
      <c r="M8" s="6">
        <v>40.71</v>
      </c>
      <c r="N8" s="8">
        <f t="shared" si="1"/>
        <v>60.86</v>
      </c>
      <c r="O8" s="4" t="s">
        <v>60</v>
      </c>
      <c r="P8" s="4" t="s">
        <v>61</v>
      </c>
      <c r="Q8" s="4">
        <v>4</v>
      </c>
      <c r="R8" s="21">
        <f t="shared" si="2"/>
        <v>0.42774810233342703</v>
      </c>
      <c r="S8" t="str">
        <f t="shared" si="3"/>
        <v>Small</v>
      </c>
    </row>
    <row r="9" spans="1:19" x14ac:dyDescent="0.35">
      <c r="A9" s="4" t="s">
        <v>62</v>
      </c>
      <c r="B9" s="5">
        <v>45660</v>
      </c>
      <c r="C9" s="4" t="s">
        <v>63</v>
      </c>
      <c r="D9" s="4" t="s">
        <v>20</v>
      </c>
      <c r="E9" s="4" t="s">
        <v>29</v>
      </c>
      <c r="F9" s="4" t="s">
        <v>54</v>
      </c>
      <c r="G9" s="4" t="s">
        <v>31</v>
      </c>
      <c r="H9" s="4" t="s">
        <v>64</v>
      </c>
      <c r="I9" s="4">
        <v>2</v>
      </c>
      <c r="J9" s="6">
        <v>127.25</v>
      </c>
      <c r="K9" s="7">
        <v>0</v>
      </c>
      <c r="L9" s="6">
        <f t="shared" si="0"/>
        <v>254.5</v>
      </c>
      <c r="M9" s="6">
        <v>83.16</v>
      </c>
      <c r="N9" s="8">
        <f t="shared" si="1"/>
        <v>88.18</v>
      </c>
      <c r="O9" s="4" t="s">
        <v>51</v>
      </c>
      <c r="P9" s="4" t="s">
        <v>61</v>
      </c>
      <c r="Q9" s="4">
        <v>5</v>
      </c>
      <c r="R9" s="21">
        <f t="shared" si="2"/>
        <v>0.34648330058939097</v>
      </c>
      <c r="S9" t="str">
        <f t="shared" si="3"/>
        <v>Small</v>
      </c>
    </row>
    <row r="10" spans="1:19" x14ac:dyDescent="0.35">
      <c r="A10" s="4" t="s">
        <v>65</v>
      </c>
      <c r="B10" s="5">
        <v>45661</v>
      </c>
      <c r="C10" s="4" t="s">
        <v>66</v>
      </c>
      <c r="D10" s="4" t="s">
        <v>20</v>
      </c>
      <c r="E10" s="4" t="s">
        <v>36</v>
      </c>
      <c r="F10" s="4" t="s">
        <v>48</v>
      </c>
      <c r="G10" s="4" t="s">
        <v>67</v>
      </c>
      <c r="H10" s="4" t="s">
        <v>68</v>
      </c>
      <c r="I10" s="4">
        <v>1</v>
      </c>
      <c r="J10" s="6">
        <v>605.89</v>
      </c>
      <c r="K10" s="7">
        <v>0</v>
      </c>
      <c r="L10" s="6">
        <f t="shared" si="0"/>
        <v>605.89</v>
      </c>
      <c r="M10" s="6">
        <v>389.26</v>
      </c>
      <c r="N10" s="8">
        <f t="shared" si="1"/>
        <v>216.63</v>
      </c>
      <c r="O10" s="4" t="s">
        <v>40</v>
      </c>
      <c r="P10" s="4" t="s">
        <v>61</v>
      </c>
      <c r="Q10" s="4">
        <v>4</v>
      </c>
      <c r="R10" s="21">
        <f t="shared" si="2"/>
        <v>0.35754014755153574</v>
      </c>
      <c r="S10" t="str">
        <f t="shared" si="3"/>
        <v>Medium</v>
      </c>
    </row>
    <row r="11" spans="1:19" x14ac:dyDescent="0.35">
      <c r="A11" s="4" t="s">
        <v>69</v>
      </c>
      <c r="B11" s="5">
        <v>45661</v>
      </c>
      <c r="C11" s="4" t="s">
        <v>70</v>
      </c>
      <c r="D11" s="4" t="s">
        <v>20</v>
      </c>
      <c r="E11" s="4" t="s">
        <v>29</v>
      </c>
      <c r="F11" s="4" t="s">
        <v>30</v>
      </c>
      <c r="G11" s="4" t="s">
        <v>23</v>
      </c>
      <c r="H11" s="4" t="s">
        <v>71</v>
      </c>
      <c r="I11" s="4">
        <v>5</v>
      </c>
      <c r="J11" s="6">
        <v>141.59</v>
      </c>
      <c r="K11" s="7">
        <v>0.2</v>
      </c>
      <c r="L11" s="6">
        <f t="shared" si="0"/>
        <v>566.36</v>
      </c>
      <c r="M11" s="6">
        <v>72.8</v>
      </c>
      <c r="N11" s="8">
        <f t="shared" si="1"/>
        <v>202.36</v>
      </c>
      <c r="O11" s="4" t="s">
        <v>40</v>
      </c>
      <c r="P11" s="4" t="s">
        <v>72</v>
      </c>
      <c r="Q11" s="4">
        <v>5</v>
      </c>
      <c r="R11" s="21">
        <f t="shared" si="2"/>
        <v>0.35729924429691362</v>
      </c>
      <c r="S11" t="str">
        <f t="shared" si="3"/>
        <v>Medium</v>
      </c>
    </row>
    <row r="12" spans="1:19" x14ac:dyDescent="0.35">
      <c r="A12" s="4" t="s">
        <v>73</v>
      </c>
      <c r="B12" s="5">
        <v>45661</v>
      </c>
      <c r="C12" s="4" t="s">
        <v>74</v>
      </c>
      <c r="D12" s="4" t="s">
        <v>47</v>
      </c>
      <c r="E12" s="4" t="s">
        <v>29</v>
      </c>
      <c r="F12" s="4" t="s">
        <v>30</v>
      </c>
      <c r="G12" s="4" t="s">
        <v>23</v>
      </c>
      <c r="H12" s="4" t="s">
        <v>71</v>
      </c>
      <c r="I12" s="4">
        <v>10</v>
      </c>
      <c r="J12" s="6">
        <v>175.32</v>
      </c>
      <c r="K12" s="7">
        <v>0.1</v>
      </c>
      <c r="L12" s="6">
        <f t="shared" si="0"/>
        <v>1577.8799999999999</v>
      </c>
      <c r="M12" s="6">
        <v>83.05</v>
      </c>
      <c r="N12" s="8">
        <f t="shared" si="1"/>
        <v>747.37999999999988</v>
      </c>
      <c r="O12" s="4" t="s">
        <v>40</v>
      </c>
      <c r="P12" s="4" t="s">
        <v>75</v>
      </c>
      <c r="Q12" s="4">
        <v>3</v>
      </c>
      <c r="R12" s="21">
        <f t="shared" si="2"/>
        <v>0.47366086140897912</v>
      </c>
      <c r="S12" t="str">
        <f t="shared" si="3"/>
        <v>Medium</v>
      </c>
    </row>
    <row r="13" spans="1:19" x14ac:dyDescent="0.35">
      <c r="A13" s="4" t="s">
        <v>76</v>
      </c>
      <c r="B13" s="5">
        <v>45662</v>
      </c>
      <c r="C13" s="4" t="s">
        <v>77</v>
      </c>
      <c r="D13" s="4" t="s">
        <v>47</v>
      </c>
      <c r="E13" s="4" t="s">
        <v>29</v>
      </c>
      <c r="F13" s="4" t="s">
        <v>54</v>
      </c>
      <c r="G13" s="4" t="s">
        <v>49</v>
      </c>
      <c r="H13" s="4" t="s">
        <v>78</v>
      </c>
      <c r="I13" s="4">
        <v>2</v>
      </c>
      <c r="J13" s="6">
        <v>715.31</v>
      </c>
      <c r="K13" s="7">
        <v>0.05</v>
      </c>
      <c r="L13" s="6">
        <f t="shared" si="0"/>
        <v>1359.0889999999999</v>
      </c>
      <c r="M13" s="6">
        <v>411.42</v>
      </c>
      <c r="N13" s="8">
        <f t="shared" si="1"/>
        <v>536.24899999999991</v>
      </c>
      <c r="O13" s="4" t="s">
        <v>40</v>
      </c>
      <c r="P13" s="4" t="s">
        <v>61</v>
      </c>
      <c r="Q13" s="4">
        <v>2</v>
      </c>
      <c r="R13" s="21">
        <f t="shared" si="2"/>
        <v>0.39456503584386299</v>
      </c>
      <c r="S13" t="str">
        <f t="shared" si="3"/>
        <v>Medium</v>
      </c>
    </row>
    <row r="14" spans="1:19" x14ac:dyDescent="0.35">
      <c r="A14" s="4" t="s">
        <v>79</v>
      </c>
      <c r="B14" s="5">
        <v>45662</v>
      </c>
      <c r="C14" s="4" t="s">
        <v>80</v>
      </c>
      <c r="D14" s="4" t="s">
        <v>43</v>
      </c>
      <c r="E14" s="4" t="s">
        <v>21</v>
      </c>
      <c r="F14" s="4" t="s">
        <v>81</v>
      </c>
      <c r="G14" s="4" t="s">
        <v>31</v>
      </c>
      <c r="H14" s="4" t="s">
        <v>64</v>
      </c>
      <c r="I14" s="4">
        <v>5</v>
      </c>
      <c r="J14" s="6">
        <v>111.1</v>
      </c>
      <c r="K14" s="7">
        <v>0.15</v>
      </c>
      <c r="L14" s="6">
        <f t="shared" si="0"/>
        <v>472.17500000000001</v>
      </c>
      <c r="M14" s="6">
        <v>67.930000000000007</v>
      </c>
      <c r="N14" s="8">
        <f t="shared" si="1"/>
        <v>132.52499999999998</v>
      </c>
      <c r="O14" s="4" t="s">
        <v>40</v>
      </c>
      <c r="P14" s="4" t="s">
        <v>75</v>
      </c>
      <c r="Q14" s="4">
        <v>4</v>
      </c>
      <c r="R14" s="21">
        <f t="shared" si="2"/>
        <v>0.28066924339492766</v>
      </c>
      <c r="S14" t="str">
        <f t="shared" si="3"/>
        <v>Small</v>
      </c>
    </row>
    <row r="15" spans="1:19" x14ac:dyDescent="0.35">
      <c r="A15" s="4" t="s">
        <v>82</v>
      </c>
      <c r="B15" s="5">
        <v>45662</v>
      </c>
      <c r="C15" s="4" t="s">
        <v>83</v>
      </c>
      <c r="D15" s="4" t="s">
        <v>43</v>
      </c>
      <c r="E15" s="4" t="s">
        <v>29</v>
      </c>
      <c r="F15" s="4" t="s">
        <v>54</v>
      </c>
      <c r="G15" s="4" t="s">
        <v>38</v>
      </c>
      <c r="H15" s="4" t="s">
        <v>55</v>
      </c>
      <c r="I15" s="4">
        <v>4</v>
      </c>
      <c r="J15" s="6">
        <v>299.3</v>
      </c>
      <c r="K15" s="7">
        <v>0.1</v>
      </c>
      <c r="L15" s="6">
        <f t="shared" si="0"/>
        <v>1077.48</v>
      </c>
      <c r="M15" s="6">
        <v>235.84</v>
      </c>
      <c r="N15" s="8">
        <f t="shared" si="1"/>
        <v>134.12</v>
      </c>
      <c r="O15" s="4" t="s">
        <v>84</v>
      </c>
      <c r="P15" s="4" t="s">
        <v>33</v>
      </c>
      <c r="Q15" s="4">
        <v>5</v>
      </c>
      <c r="R15" s="21">
        <f t="shared" si="2"/>
        <v>0.12447562831792702</v>
      </c>
      <c r="S15" t="str">
        <f t="shared" si="3"/>
        <v>Medium</v>
      </c>
    </row>
    <row r="16" spans="1:19" x14ac:dyDescent="0.35">
      <c r="A16" s="4" t="s">
        <v>85</v>
      </c>
      <c r="B16" s="5">
        <v>45663</v>
      </c>
      <c r="C16" s="4" t="s">
        <v>86</v>
      </c>
      <c r="D16" s="4" t="s">
        <v>47</v>
      </c>
      <c r="E16" s="4" t="s">
        <v>87</v>
      </c>
      <c r="F16" s="4" t="s">
        <v>88</v>
      </c>
      <c r="G16" s="4" t="s">
        <v>38</v>
      </c>
      <c r="H16" s="4" t="s">
        <v>89</v>
      </c>
      <c r="I16" s="4">
        <v>2</v>
      </c>
      <c r="J16" s="6">
        <v>870.03</v>
      </c>
      <c r="K16" s="7">
        <v>0.05</v>
      </c>
      <c r="L16" s="6">
        <f t="shared" si="0"/>
        <v>1653.0569999999998</v>
      </c>
      <c r="M16" s="6">
        <v>734.11</v>
      </c>
      <c r="N16" s="8">
        <f t="shared" si="1"/>
        <v>184.83699999999976</v>
      </c>
      <c r="O16" s="4" t="s">
        <v>84</v>
      </c>
      <c r="P16" s="4" t="s">
        <v>56</v>
      </c>
      <c r="Q16" s="4">
        <v>4</v>
      </c>
      <c r="R16" s="21">
        <f t="shared" si="2"/>
        <v>0.11181526105875345</v>
      </c>
      <c r="S16" t="str">
        <f t="shared" si="3"/>
        <v>Medium</v>
      </c>
    </row>
    <row r="17" spans="1:19" x14ac:dyDescent="0.35">
      <c r="A17" s="4" t="s">
        <v>90</v>
      </c>
      <c r="B17" s="5">
        <v>45663</v>
      </c>
      <c r="C17" s="4" t="s">
        <v>91</v>
      </c>
      <c r="D17" s="4" t="s">
        <v>47</v>
      </c>
      <c r="E17" s="4" t="s">
        <v>87</v>
      </c>
      <c r="F17" s="4" t="s">
        <v>92</v>
      </c>
      <c r="G17" s="4" t="s">
        <v>67</v>
      </c>
      <c r="H17" s="4" t="s">
        <v>93</v>
      </c>
      <c r="I17" s="4">
        <v>3</v>
      </c>
      <c r="J17" s="6">
        <v>358.88</v>
      </c>
      <c r="K17" s="7">
        <v>0.05</v>
      </c>
      <c r="L17" s="6">
        <f t="shared" si="0"/>
        <v>1022.8079999999999</v>
      </c>
      <c r="M17" s="6">
        <v>245.25</v>
      </c>
      <c r="N17" s="8">
        <f t="shared" si="1"/>
        <v>287.05799999999988</v>
      </c>
      <c r="O17" s="4" t="s">
        <v>40</v>
      </c>
      <c r="P17" s="4" t="s">
        <v>33</v>
      </c>
      <c r="Q17" s="4">
        <v>4</v>
      </c>
      <c r="R17" s="21">
        <f t="shared" si="2"/>
        <v>0.28065678015815276</v>
      </c>
      <c r="S17" t="str">
        <f t="shared" si="3"/>
        <v>Medium</v>
      </c>
    </row>
    <row r="18" spans="1:19" x14ac:dyDescent="0.35">
      <c r="A18" s="4" t="s">
        <v>94</v>
      </c>
      <c r="B18" s="5">
        <v>45664</v>
      </c>
      <c r="C18" s="4" t="s">
        <v>95</v>
      </c>
      <c r="D18" s="4" t="s">
        <v>43</v>
      </c>
      <c r="E18" s="4" t="s">
        <v>36</v>
      </c>
      <c r="F18" s="4" t="s">
        <v>37</v>
      </c>
      <c r="G18" s="4" t="s">
        <v>38</v>
      </c>
      <c r="H18" s="4" t="s">
        <v>96</v>
      </c>
      <c r="I18" s="4">
        <v>8</v>
      </c>
      <c r="J18" s="6">
        <v>669.88</v>
      </c>
      <c r="K18" s="7">
        <v>0.1</v>
      </c>
      <c r="L18" s="6">
        <f t="shared" si="0"/>
        <v>4823.1360000000004</v>
      </c>
      <c r="M18" s="6">
        <v>503.65</v>
      </c>
      <c r="N18" s="8">
        <f t="shared" si="1"/>
        <v>793.9360000000006</v>
      </c>
      <c r="O18" s="4" t="s">
        <v>84</v>
      </c>
      <c r="P18" s="4" t="s">
        <v>97</v>
      </c>
      <c r="Q18" s="4">
        <v>5</v>
      </c>
      <c r="R18" s="21">
        <f t="shared" si="2"/>
        <v>0.16460991355002233</v>
      </c>
      <c r="S18" t="str">
        <f t="shared" si="3"/>
        <v>Large</v>
      </c>
    </row>
    <row r="19" spans="1:19" x14ac:dyDescent="0.35">
      <c r="A19" s="4" t="s">
        <v>98</v>
      </c>
      <c r="B19" s="5">
        <v>45664</v>
      </c>
      <c r="C19" s="4" t="s">
        <v>99</v>
      </c>
      <c r="D19" s="4" t="s">
        <v>47</v>
      </c>
      <c r="E19" s="4" t="s">
        <v>36</v>
      </c>
      <c r="F19" s="4" t="s">
        <v>48</v>
      </c>
      <c r="G19" s="4" t="s">
        <v>38</v>
      </c>
      <c r="H19" s="4" t="s">
        <v>96</v>
      </c>
      <c r="I19" s="4">
        <v>10</v>
      </c>
      <c r="J19" s="6">
        <v>464.56</v>
      </c>
      <c r="K19" s="7">
        <v>0.1</v>
      </c>
      <c r="L19" s="6">
        <f t="shared" si="0"/>
        <v>4181.0400000000009</v>
      </c>
      <c r="M19" s="6">
        <v>378.05</v>
      </c>
      <c r="N19" s="8">
        <f t="shared" si="1"/>
        <v>400.54000000000087</v>
      </c>
      <c r="O19" s="4" t="s">
        <v>51</v>
      </c>
      <c r="P19" s="4" t="s">
        <v>75</v>
      </c>
      <c r="Q19" s="4">
        <v>5</v>
      </c>
      <c r="R19" s="21">
        <f t="shared" si="2"/>
        <v>9.5799131316610414E-2</v>
      </c>
      <c r="S19" t="str">
        <f t="shared" si="3"/>
        <v>Large</v>
      </c>
    </row>
    <row r="20" spans="1:19" x14ac:dyDescent="0.35">
      <c r="A20" s="4" t="s">
        <v>100</v>
      </c>
      <c r="B20" s="5">
        <v>45665</v>
      </c>
      <c r="C20" s="4" t="s">
        <v>101</v>
      </c>
      <c r="D20" s="4" t="s">
        <v>20</v>
      </c>
      <c r="E20" s="4" t="s">
        <v>36</v>
      </c>
      <c r="F20" s="4" t="s">
        <v>48</v>
      </c>
      <c r="G20" s="4" t="s">
        <v>31</v>
      </c>
      <c r="H20" s="4" t="s">
        <v>64</v>
      </c>
      <c r="I20" s="4">
        <v>3</v>
      </c>
      <c r="J20" s="6">
        <v>202.91</v>
      </c>
      <c r="K20" s="7">
        <v>0.1</v>
      </c>
      <c r="L20" s="6">
        <f t="shared" si="0"/>
        <v>547.85700000000008</v>
      </c>
      <c r="M20" s="6">
        <v>142.84</v>
      </c>
      <c r="N20" s="8">
        <f t="shared" si="1"/>
        <v>119.3370000000001</v>
      </c>
      <c r="O20" s="4" t="s">
        <v>84</v>
      </c>
      <c r="P20" s="4" t="s">
        <v>56</v>
      </c>
      <c r="Q20" s="4">
        <v>5</v>
      </c>
      <c r="R20" s="21">
        <f t="shared" si="2"/>
        <v>0.21782508939376533</v>
      </c>
      <c r="S20" t="str">
        <f t="shared" si="3"/>
        <v>Medium</v>
      </c>
    </row>
    <row r="21" spans="1:19" x14ac:dyDescent="0.35">
      <c r="A21" s="4" t="s">
        <v>102</v>
      </c>
      <c r="B21" s="5">
        <v>45665</v>
      </c>
      <c r="C21" s="4" t="s">
        <v>103</v>
      </c>
      <c r="D21" s="4" t="s">
        <v>20</v>
      </c>
      <c r="E21" s="4" t="s">
        <v>36</v>
      </c>
      <c r="F21" s="4" t="s">
        <v>37</v>
      </c>
      <c r="G21" s="4" t="s">
        <v>23</v>
      </c>
      <c r="H21" s="4" t="s">
        <v>71</v>
      </c>
      <c r="I21" s="4">
        <v>1</v>
      </c>
      <c r="J21" s="6">
        <v>183.01</v>
      </c>
      <c r="K21" s="7">
        <v>0.15</v>
      </c>
      <c r="L21" s="6">
        <f t="shared" si="0"/>
        <v>155.55849999999998</v>
      </c>
      <c r="M21" s="6">
        <v>117.43</v>
      </c>
      <c r="N21" s="8">
        <f t="shared" si="1"/>
        <v>38.128499999999974</v>
      </c>
      <c r="O21" s="4" t="s">
        <v>40</v>
      </c>
      <c r="P21" s="4" t="s">
        <v>61</v>
      </c>
      <c r="Q21" s="4">
        <v>3</v>
      </c>
      <c r="R21" s="21">
        <f t="shared" si="2"/>
        <v>0.24510714618616133</v>
      </c>
      <c r="S21" t="str">
        <f t="shared" si="3"/>
        <v>Small</v>
      </c>
    </row>
    <row r="22" spans="1:19" x14ac:dyDescent="0.35">
      <c r="A22" s="4" t="s">
        <v>104</v>
      </c>
      <c r="B22" s="5">
        <v>45666</v>
      </c>
      <c r="C22" s="4" t="s">
        <v>105</v>
      </c>
      <c r="D22" s="4" t="s">
        <v>20</v>
      </c>
      <c r="E22" s="4" t="s">
        <v>87</v>
      </c>
      <c r="F22" s="4" t="s">
        <v>92</v>
      </c>
      <c r="G22" s="4" t="s">
        <v>31</v>
      </c>
      <c r="H22" s="4" t="s">
        <v>64</v>
      </c>
      <c r="I22" s="4">
        <v>6</v>
      </c>
      <c r="J22" s="6">
        <v>151.47999999999999</v>
      </c>
      <c r="K22" s="7">
        <v>0.2</v>
      </c>
      <c r="L22" s="6">
        <f t="shared" si="0"/>
        <v>727.10399999999993</v>
      </c>
      <c r="M22" s="6">
        <v>85.93</v>
      </c>
      <c r="N22" s="8">
        <f t="shared" si="1"/>
        <v>211.52399999999989</v>
      </c>
      <c r="O22" s="4" t="s">
        <v>25</v>
      </c>
      <c r="P22" s="4" t="s">
        <v>56</v>
      </c>
      <c r="Q22" s="4">
        <v>4</v>
      </c>
      <c r="R22" s="21">
        <f t="shared" si="2"/>
        <v>0.29091299181410074</v>
      </c>
      <c r="S22" t="str">
        <f t="shared" si="3"/>
        <v>Medium</v>
      </c>
    </row>
    <row r="23" spans="1:19" x14ac:dyDescent="0.35">
      <c r="A23" s="4" t="s">
        <v>106</v>
      </c>
      <c r="B23" s="5">
        <v>45667</v>
      </c>
      <c r="C23" s="4" t="s">
        <v>107</v>
      </c>
      <c r="D23" s="4" t="s">
        <v>43</v>
      </c>
      <c r="E23" s="4" t="s">
        <v>29</v>
      </c>
      <c r="F23" s="4" t="s">
        <v>108</v>
      </c>
      <c r="G23" s="4" t="s">
        <v>38</v>
      </c>
      <c r="H23" s="4" t="s">
        <v>109</v>
      </c>
      <c r="I23" s="4">
        <v>2</v>
      </c>
      <c r="J23" s="6">
        <v>988.11</v>
      </c>
      <c r="K23" s="7">
        <v>0.1</v>
      </c>
      <c r="L23" s="6">
        <f t="shared" si="0"/>
        <v>1778.598</v>
      </c>
      <c r="M23" s="6">
        <v>781.96</v>
      </c>
      <c r="N23" s="8">
        <f t="shared" si="1"/>
        <v>214.67799999999988</v>
      </c>
      <c r="O23" s="4" t="s">
        <v>51</v>
      </c>
      <c r="P23" s="4" t="s">
        <v>56</v>
      </c>
      <c r="Q23" s="4">
        <v>4</v>
      </c>
      <c r="R23" s="21">
        <f t="shared" si="2"/>
        <v>0.1207006867206642</v>
      </c>
      <c r="S23" t="str">
        <f t="shared" si="3"/>
        <v>Medium</v>
      </c>
    </row>
    <row r="24" spans="1:19" x14ac:dyDescent="0.35">
      <c r="A24" s="4" t="s">
        <v>110</v>
      </c>
      <c r="B24" s="5">
        <v>45667</v>
      </c>
      <c r="C24" s="4" t="s">
        <v>111</v>
      </c>
      <c r="D24" s="4" t="s">
        <v>20</v>
      </c>
      <c r="E24" s="4" t="s">
        <v>36</v>
      </c>
      <c r="F24" s="4" t="s">
        <v>48</v>
      </c>
      <c r="G24" s="4" t="s">
        <v>31</v>
      </c>
      <c r="H24" s="4" t="s">
        <v>64</v>
      </c>
      <c r="I24" s="4">
        <v>3</v>
      </c>
      <c r="J24" s="6">
        <v>162.76</v>
      </c>
      <c r="K24" s="7">
        <v>0.05</v>
      </c>
      <c r="L24" s="6">
        <f t="shared" si="0"/>
        <v>463.86599999999993</v>
      </c>
      <c r="M24" s="6">
        <v>95.3</v>
      </c>
      <c r="N24" s="8">
        <f t="shared" si="1"/>
        <v>177.96599999999995</v>
      </c>
      <c r="O24" s="4" t="s">
        <v>25</v>
      </c>
      <c r="P24" s="4" t="s">
        <v>72</v>
      </c>
      <c r="Q24" s="4">
        <v>4</v>
      </c>
      <c r="R24" s="21">
        <f t="shared" si="2"/>
        <v>0.38365821163870595</v>
      </c>
      <c r="S24" t="str">
        <f t="shared" si="3"/>
        <v>Small</v>
      </c>
    </row>
    <row r="25" spans="1:19" x14ac:dyDescent="0.35">
      <c r="A25" s="4" t="s">
        <v>112</v>
      </c>
      <c r="B25" s="5">
        <v>45668</v>
      </c>
      <c r="C25" s="4" t="s">
        <v>113</v>
      </c>
      <c r="D25" s="4" t="s">
        <v>43</v>
      </c>
      <c r="E25" s="4" t="s">
        <v>29</v>
      </c>
      <c r="F25" s="4" t="s">
        <v>54</v>
      </c>
      <c r="G25" s="4" t="s">
        <v>23</v>
      </c>
      <c r="H25" s="4" t="s">
        <v>44</v>
      </c>
      <c r="I25" s="4">
        <v>1</v>
      </c>
      <c r="J25" s="6">
        <v>149.13</v>
      </c>
      <c r="K25" s="7">
        <v>0.2</v>
      </c>
      <c r="L25" s="6">
        <f t="shared" si="0"/>
        <v>119.304</v>
      </c>
      <c r="M25" s="6">
        <v>85.67</v>
      </c>
      <c r="N25" s="8">
        <f t="shared" si="1"/>
        <v>33.634</v>
      </c>
      <c r="O25" s="4" t="s">
        <v>60</v>
      </c>
      <c r="P25" s="4" t="s">
        <v>56</v>
      </c>
      <c r="Q25" s="4">
        <v>3</v>
      </c>
      <c r="R25" s="21">
        <f t="shared" si="2"/>
        <v>0.28191846040367463</v>
      </c>
      <c r="S25" t="str">
        <f t="shared" si="3"/>
        <v>Small</v>
      </c>
    </row>
    <row r="26" spans="1:19" x14ac:dyDescent="0.35">
      <c r="A26" s="4" t="s">
        <v>114</v>
      </c>
      <c r="B26" s="5">
        <v>45668</v>
      </c>
      <c r="C26" s="4" t="s">
        <v>115</v>
      </c>
      <c r="D26" s="4" t="s">
        <v>20</v>
      </c>
      <c r="E26" s="4" t="s">
        <v>29</v>
      </c>
      <c r="F26" s="4" t="s">
        <v>108</v>
      </c>
      <c r="G26" s="4" t="s">
        <v>23</v>
      </c>
      <c r="H26" s="4" t="s">
        <v>44</v>
      </c>
      <c r="I26" s="4">
        <v>4</v>
      </c>
      <c r="J26" s="6">
        <v>94.44</v>
      </c>
      <c r="K26" s="7">
        <v>0</v>
      </c>
      <c r="L26" s="6">
        <f t="shared" si="0"/>
        <v>377.76</v>
      </c>
      <c r="M26" s="6">
        <v>45.56</v>
      </c>
      <c r="N26" s="8">
        <f t="shared" si="1"/>
        <v>195.51999999999998</v>
      </c>
      <c r="O26" s="4" t="s">
        <v>60</v>
      </c>
      <c r="P26" s="4" t="s">
        <v>26</v>
      </c>
      <c r="Q26" s="4">
        <v>4</v>
      </c>
      <c r="R26" s="21">
        <f t="shared" si="2"/>
        <v>0.51757729775518846</v>
      </c>
      <c r="S26" t="str">
        <f t="shared" si="3"/>
        <v>Small</v>
      </c>
    </row>
    <row r="27" spans="1:19" x14ac:dyDescent="0.35">
      <c r="A27" s="4" t="s">
        <v>116</v>
      </c>
      <c r="B27" s="5">
        <v>45668</v>
      </c>
      <c r="C27" s="4" t="s">
        <v>117</v>
      </c>
      <c r="D27" s="4" t="s">
        <v>20</v>
      </c>
      <c r="E27" s="4" t="s">
        <v>29</v>
      </c>
      <c r="F27" s="4" t="s">
        <v>30</v>
      </c>
      <c r="G27" s="4" t="s">
        <v>49</v>
      </c>
      <c r="H27" s="4" t="s">
        <v>78</v>
      </c>
      <c r="I27" s="4">
        <v>8</v>
      </c>
      <c r="J27" s="6">
        <v>171.27</v>
      </c>
      <c r="K27" s="7">
        <v>0.15</v>
      </c>
      <c r="L27" s="6">
        <f t="shared" si="0"/>
        <v>1164.636</v>
      </c>
      <c r="M27" s="6">
        <v>115.76</v>
      </c>
      <c r="N27" s="8">
        <f t="shared" si="1"/>
        <v>238.55599999999993</v>
      </c>
      <c r="O27" s="4" t="s">
        <v>25</v>
      </c>
      <c r="P27" s="4" t="s">
        <v>118</v>
      </c>
      <c r="Q27" s="4">
        <v>2</v>
      </c>
      <c r="R27" s="21">
        <f t="shared" si="2"/>
        <v>0.20483309806669203</v>
      </c>
      <c r="S27" t="str">
        <f t="shared" si="3"/>
        <v>Medium</v>
      </c>
    </row>
    <row r="28" spans="1:19" x14ac:dyDescent="0.35">
      <c r="A28" s="4" t="s">
        <v>119</v>
      </c>
      <c r="B28" s="5">
        <v>45670</v>
      </c>
      <c r="C28" s="4" t="s">
        <v>120</v>
      </c>
      <c r="D28" s="4" t="s">
        <v>47</v>
      </c>
      <c r="E28" s="4" t="s">
        <v>21</v>
      </c>
      <c r="F28" s="4" t="s">
        <v>59</v>
      </c>
      <c r="G28" s="4" t="s">
        <v>67</v>
      </c>
      <c r="H28" s="4" t="s">
        <v>121</v>
      </c>
      <c r="I28" s="4">
        <v>1</v>
      </c>
      <c r="J28" s="6">
        <v>431.13</v>
      </c>
      <c r="K28" s="7">
        <v>0.1</v>
      </c>
      <c r="L28" s="6">
        <f t="shared" si="0"/>
        <v>388.017</v>
      </c>
      <c r="M28" s="6">
        <v>273.83999999999997</v>
      </c>
      <c r="N28" s="8">
        <f t="shared" si="1"/>
        <v>114.17700000000002</v>
      </c>
      <c r="O28" s="4" t="s">
        <v>25</v>
      </c>
      <c r="P28" s="4" t="s">
        <v>72</v>
      </c>
      <c r="Q28" s="4">
        <v>5</v>
      </c>
      <c r="R28" s="21">
        <f t="shared" si="2"/>
        <v>0.29425772582129139</v>
      </c>
      <c r="S28" t="str">
        <f t="shared" si="3"/>
        <v>Small</v>
      </c>
    </row>
    <row r="29" spans="1:19" x14ac:dyDescent="0.35">
      <c r="A29" s="4" t="s">
        <v>122</v>
      </c>
      <c r="B29" s="5">
        <v>45670</v>
      </c>
      <c r="C29" s="4" t="s">
        <v>123</v>
      </c>
      <c r="D29" s="4" t="s">
        <v>47</v>
      </c>
      <c r="E29" s="4" t="s">
        <v>87</v>
      </c>
      <c r="F29" s="4" t="s">
        <v>124</v>
      </c>
      <c r="G29" s="4" t="s">
        <v>31</v>
      </c>
      <c r="H29" s="4" t="s">
        <v>125</v>
      </c>
      <c r="I29" s="4">
        <v>1</v>
      </c>
      <c r="J29" s="6">
        <v>41.66</v>
      </c>
      <c r="K29" s="7">
        <v>0.15</v>
      </c>
      <c r="L29" s="6">
        <f t="shared" si="0"/>
        <v>35.410999999999994</v>
      </c>
      <c r="M29" s="6">
        <v>24.87</v>
      </c>
      <c r="N29" s="8">
        <f t="shared" si="1"/>
        <v>10.540999999999993</v>
      </c>
      <c r="O29" s="4" t="s">
        <v>51</v>
      </c>
      <c r="P29" s="4" t="s">
        <v>75</v>
      </c>
      <c r="Q29" s="4">
        <v>3</v>
      </c>
      <c r="R29" s="21">
        <f t="shared" si="2"/>
        <v>0.29767586343226665</v>
      </c>
      <c r="S29" t="str">
        <f t="shared" si="3"/>
        <v>Small</v>
      </c>
    </row>
    <row r="30" spans="1:19" x14ac:dyDescent="0.35">
      <c r="A30" s="4" t="s">
        <v>126</v>
      </c>
      <c r="B30" s="5">
        <v>45670</v>
      </c>
      <c r="C30" s="4" t="s">
        <v>127</v>
      </c>
      <c r="D30" s="4" t="s">
        <v>47</v>
      </c>
      <c r="E30" s="4" t="s">
        <v>21</v>
      </c>
      <c r="F30" s="4" t="s">
        <v>59</v>
      </c>
      <c r="G30" s="4" t="s">
        <v>49</v>
      </c>
      <c r="H30" s="4" t="s">
        <v>128</v>
      </c>
      <c r="I30" s="4">
        <v>5</v>
      </c>
      <c r="J30" s="6">
        <v>92.53</v>
      </c>
      <c r="K30" s="7">
        <v>0</v>
      </c>
      <c r="L30" s="6">
        <f t="shared" si="0"/>
        <v>462.65</v>
      </c>
      <c r="M30" s="6">
        <v>54.62</v>
      </c>
      <c r="N30" s="8">
        <f t="shared" si="1"/>
        <v>189.55</v>
      </c>
      <c r="O30" s="4" t="s">
        <v>51</v>
      </c>
      <c r="P30" s="4" t="s">
        <v>118</v>
      </c>
      <c r="Q30" s="4">
        <v>1</v>
      </c>
      <c r="R30" s="21">
        <f t="shared" si="2"/>
        <v>0.40970496055333411</v>
      </c>
      <c r="S30" t="str">
        <f t="shared" si="3"/>
        <v>Small</v>
      </c>
    </row>
    <row r="31" spans="1:19" x14ac:dyDescent="0.35">
      <c r="A31" s="4" t="s">
        <v>129</v>
      </c>
      <c r="B31" s="5">
        <v>45670</v>
      </c>
      <c r="C31" s="4" t="s">
        <v>130</v>
      </c>
      <c r="D31" s="4" t="s">
        <v>47</v>
      </c>
      <c r="E31" s="4" t="s">
        <v>21</v>
      </c>
      <c r="F31" s="4" t="s">
        <v>81</v>
      </c>
      <c r="G31" s="4" t="s">
        <v>67</v>
      </c>
      <c r="H31" s="4" t="s">
        <v>93</v>
      </c>
      <c r="I31" s="4">
        <v>2</v>
      </c>
      <c r="J31" s="6">
        <v>476.02</v>
      </c>
      <c r="K31" s="7">
        <v>0</v>
      </c>
      <c r="L31" s="6">
        <f t="shared" si="0"/>
        <v>952.04</v>
      </c>
      <c r="M31" s="6">
        <v>330.73</v>
      </c>
      <c r="N31" s="8">
        <f t="shared" si="1"/>
        <v>290.57999999999993</v>
      </c>
      <c r="O31" s="4" t="s">
        <v>40</v>
      </c>
      <c r="P31" s="4" t="s">
        <v>72</v>
      </c>
      <c r="Q31" s="4">
        <v>5</v>
      </c>
      <c r="R31" s="21">
        <f t="shared" si="2"/>
        <v>0.30521826813999403</v>
      </c>
      <c r="S31" t="str">
        <f t="shared" si="3"/>
        <v>Medium</v>
      </c>
    </row>
    <row r="32" spans="1:19" x14ac:dyDescent="0.35">
      <c r="A32" s="4" t="s">
        <v>131</v>
      </c>
      <c r="B32" s="5">
        <v>45671</v>
      </c>
      <c r="C32" s="4" t="s">
        <v>132</v>
      </c>
      <c r="D32" s="4" t="s">
        <v>20</v>
      </c>
      <c r="E32" s="4" t="s">
        <v>21</v>
      </c>
      <c r="F32" s="4" t="s">
        <v>22</v>
      </c>
      <c r="G32" s="4" t="s">
        <v>38</v>
      </c>
      <c r="H32" s="4" t="s">
        <v>39</v>
      </c>
      <c r="I32" s="4">
        <v>10</v>
      </c>
      <c r="J32" s="6">
        <v>191.6</v>
      </c>
      <c r="K32" s="7">
        <v>0.15</v>
      </c>
      <c r="L32" s="6">
        <f t="shared" si="0"/>
        <v>1628.6</v>
      </c>
      <c r="M32" s="6">
        <v>153.94999999999999</v>
      </c>
      <c r="N32" s="8">
        <f t="shared" si="1"/>
        <v>89.099999999999909</v>
      </c>
      <c r="O32" s="4" t="s">
        <v>60</v>
      </c>
      <c r="P32" s="4" t="s">
        <v>26</v>
      </c>
      <c r="Q32" s="4">
        <v>5</v>
      </c>
      <c r="R32" s="21">
        <f t="shared" si="2"/>
        <v>5.4709566498833302E-2</v>
      </c>
      <c r="S32" t="str">
        <f t="shared" si="3"/>
        <v>Medium</v>
      </c>
    </row>
    <row r="33" spans="1:19" x14ac:dyDescent="0.35">
      <c r="A33" s="4" t="s">
        <v>133</v>
      </c>
      <c r="B33" s="5">
        <v>45671</v>
      </c>
      <c r="C33" s="4" t="s">
        <v>134</v>
      </c>
      <c r="D33" s="4" t="s">
        <v>43</v>
      </c>
      <c r="E33" s="4" t="s">
        <v>87</v>
      </c>
      <c r="F33" s="4" t="s">
        <v>92</v>
      </c>
      <c r="G33" s="4" t="s">
        <v>23</v>
      </c>
      <c r="H33" s="4" t="s">
        <v>135</v>
      </c>
      <c r="I33" s="4">
        <v>3</v>
      </c>
      <c r="J33" s="6">
        <v>16.7</v>
      </c>
      <c r="K33" s="7">
        <v>0.05</v>
      </c>
      <c r="L33" s="6">
        <f t="shared" si="0"/>
        <v>47.594999999999992</v>
      </c>
      <c r="M33" s="6">
        <v>10.24</v>
      </c>
      <c r="N33" s="8">
        <f t="shared" si="1"/>
        <v>16.874999999999993</v>
      </c>
      <c r="O33" s="4" t="s">
        <v>40</v>
      </c>
      <c r="P33" s="4" t="s">
        <v>33</v>
      </c>
      <c r="Q33" s="4">
        <v>4</v>
      </c>
      <c r="R33" s="21">
        <f t="shared" si="2"/>
        <v>0.35455404979514649</v>
      </c>
      <c r="S33" t="str">
        <f t="shared" si="3"/>
        <v>Small</v>
      </c>
    </row>
    <row r="34" spans="1:19" x14ac:dyDescent="0.35">
      <c r="A34" s="4" t="s">
        <v>136</v>
      </c>
      <c r="B34" s="5">
        <v>45671</v>
      </c>
      <c r="C34" s="4" t="s">
        <v>137</v>
      </c>
      <c r="D34" s="4" t="s">
        <v>43</v>
      </c>
      <c r="E34" s="4" t="s">
        <v>87</v>
      </c>
      <c r="F34" s="4" t="s">
        <v>92</v>
      </c>
      <c r="G34" s="4" t="s">
        <v>23</v>
      </c>
      <c r="H34" s="4" t="s">
        <v>135</v>
      </c>
      <c r="I34" s="4">
        <v>2</v>
      </c>
      <c r="J34" s="6">
        <v>29.41</v>
      </c>
      <c r="K34" s="7">
        <v>0</v>
      </c>
      <c r="L34" s="6">
        <f t="shared" si="0"/>
        <v>58.82</v>
      </c>
      <c r="M34" s="6">
        <v>18.28</v>
      </c>
      <c r="N34" s="8">
        <f t="shared" si="1"/>
        <v>22.259999999999998</v>
      </c>
      <c r="O34" s="4" t="s">
        <v>40</v>
      </c>
      <c r="P34" s="4" t="s">
        <v>97</v>
      </c>
      <c r="Q34" s="4">
        <v>5</v>
      </c>
      <c r="R34" s="21">
        <f t="shared" si="2"/>
        <v>0.3784427065623937</v>
      </c>
      <c r="S34" t="str">
        <f t="shared" si="3"/>
        <v>Small</v>
      </c>
    </row>
    <row r="35" spans="1:19" x14ac:dyDescent="0.35">
      <c r="A35" s="4" t="s">
        <v>138</v>
      </c>
      <c r="B35" s="5">
        <v>45671</v>
      </c>
      <c r="C35" s="4" t="s">
        <v>139</v>
      </c>
      <c r="D35" s="4" t="s">
        <v>47</v>
      </c>
      <c r="E35" s="4" t="s">
        <v>87</v>
      </c>
      <c r="F35" s="4" t="s">
        <v>124</v>
      </c>
      <c r="G35" s="4" t="s">
        <v>67</v>
      </c>
      <c r="H35" s="4" t="s">
        <v>140</v>
      </c>
      <c r="I35" s="4">
        <v>6</v>
      </c>
      <c r="J35" s="6">
        <v>186.37</v>
      </c>
      <c r="K35" s="7">
        <v>0</v>
      </c>
      <c r="L35" s="6">
        <f t="shared" si="0"/>
        <v>1118.22</v>
      </c>
      <c r="M35" s="6">
        <v>135.13999999999999</v>
      </c>
      <c r="N35" s="8">
        <f t="shared" si="1"/>
        <v>307.38000000000011</v>
      </c>
      <c r="O35" s="4" t="s">
        <v>40</v>
      </c>
      <c r="P35" s="4" t="s">
        <v>56</v>
      </c>
      <c r="Q35" s="4">
        <v>5</v>
      </c>
      <c r="R35" s="21">
        <f t="shared" si="2"/>
        <v>0.27488329666791878</v>
      </c>
      <c r="S35" t="str">
        <f t="shared" si="3"/>
        <v>Medium</v>
      </c>
    </row>
    <row r="36" spans="1:19" x14ac:dyDescent="0.35">
      <c r="A36" s="4" t="s">
        <v>141</v>
      </c>
      <c r="B36" s="5">
        <v>45672</v>
      </c>
      <c r="C36" s="4" t="s">
        <v>142</v>
      </c>
      <c r="D36" s="4" t="s">
        <v>43</v>
      </c>
      <c r="E36" s="4" t="s">
        <v>36</v>
      </c>
      <c r="F36" s="4" t="s">
        <v>37</v>
      </c>
      <c r="G36" s="4" t="s">
        <v>67</v>
      </c>
      <c r="H36" s="4" t="s">
        <v>93</v>
      </c>
      <c r="I36" s="4">
        <v>1</v>
      </c>
      <c r="J36" s="6">
        <v>387.06</v>
      </c>
      <c r="K36" s="7">
        <v>0</v>
      </c>
      <c r="L36" s="6">
        <f t="shared" si="0"/>
        <v>387.06</v>
      </c>
      <c r="M36" s="6">
        <v>264.25</v>
      </c>
      <c r="N36" s="8">
        <f t="shared" si="1"/>
        <v>122.81</v>
      </c>
      <c r="O36" s="4" t="s">
        <v>60</v>
      </c>
      <c r="P36" s="4" t="s">
        <v>33</v>
      </c>
      <c r="Q36" s="4">
        <v>4</v>
      </c>
      <c r="R36" s="21">
        <f t="shared" si="2"/>
        <v>0.31728930915103604</v>
      </c>
      <c r="S36" t="str">
        <f t="shared" si="3"/>
        <v>Small</v>
      </c>
    </row>
    <row r="37" spans="1:19" x14ac:dyDescent="0.35">
      <c r="A37" s="4" t="s">
        <v>143</v>
      </c>
      <c r="B37" s="5">
        <v>45672</v>
      </c>
      <c r="C37" s="4" t="s">
        <v>144</v>
      </c>
      <c r="D37" s="4" t="s">
        <v>43</v>
      </c>
      <c r="E37" s="4" t="s">
        <v>21</v>
      </c>
      <c r="F37" s="4" t="s">
        <v>81</v>
      </c>
      <c r="G37" s="4" t="s">
        <v>67</v>
      </c>
      <c r="H37" s="4" t="s">
        <v>93</v>
      </c>
      <c r="I37" s="4">
        <v>5</v>
      </c>
      <c r="J37" s="6">
        <v>194.27</v>
      </c>
      <c r="K37" s="7">
        <v>0</v>
      </c>
      <c r="L37" s="6">
        <f t="shared" si="0"/>
        <v>971.35</v>
      </c>
      <c r="M37" s="6">
        <v>136.68</v>
      </c>
      <c r="N37" s="8">
        <f t="shared" si="1"/>
        <v>287.94999999999993</v>
      </c>
      <c r="O37" s="4" t="s">
        <v>51</v>
      </c>
      <c r="P37" s="4" t="s">
        <v>72</v>
      </c>
      <c r="Q37" s="4">
        <v>5</v>
      </c>
      <c r="R37" s="21">
        <f t="shared" si="2"/>
        <v>0.2964430946620682</v>
      </c>
      <c r="S37" t="str">
        <f t="shared" si="3"/>
        <v>Medium</v>
      </c>
    </row>
    <row r="38" spans="1:19" x14ac:dyDescent="0.35">
      <c r="A38" s="4" t="s">
        <v>145</v>
      </c>
      <c r="B38" s="5">
        <v>45672</v>
      </c>
      <c r="C38" s="4" t="s">
        <v>146</v>
      </c>
      <c r="D38" s="4" t="s">
        <v>43</v>
      </c>
      <c r="E38" s="4" t="s">
        <v>36</v>
      </c>
      <c r="F38" s="4" t="s">
        <v>48</v>
      </c>
      <c r="G38" s="4" t="s">
        <v>31</v>
      </c>
      <c r="H38" s="4" t="s">
        <v>147</v>
      </c>
      <c r="I38" s="4">
        <v>1</v>
      </c>
      <c r="J38" s="6">
        <v>82.85</v>
      </c>
      <c r="K38" s="7">
        <v>0.1</v>
      </c>
      <c r="L38" s="6">
        <f t="shared" si="0"/>
        <v>74.564999999999998</v>
      </c>
      <c r="M38" s="6">
        <v>51.24</v>
      </c>
      <c r="N38" s="8">
        <f t="shared" si="1"/>
        <v>23.324999999999996</v>
      </c>
      <c r="O38" s="4" t="s">
        <v>25</v>
      </c>
      <c r="P38" s="4" t="s">
        <v>75</v>
      </c>
      <c r="Q38" s="4">
        <v>3</v>
      </c>
      <c r="R38" s="21">
        <f t="shared" si="2"/>
        <v>0.31281432307382817</v>
      </c>
      <c r="S38" t="str">
        <f t="shared" si="3"/>
        <v>Small</v>
      </c>
    </row>
    <row r="39" spans="1:19" x14ac:dyDescent="0.35">
      <c r="A39" s="4" t="s">
        <v>148</v>
      </c>
      <c r="B39" s="5">
        <v>45673</v>
      </c>
      <c r="C39" s="4" t="s">
        <v>149</v>
      </c>
      <c r="D39" s="4" t="s">
        <v>43</v>
      </c>
      <c r="E39" s="4" t="s">
        <v>21</v>
      </c>
      <c r="F39" s="4" t="s">
        <v>22</v>
      </c>
      <c r="G39" s="4" t="s">
        <v>38</v>
      </c>
      <c r="H39" s="4" t="s">
        <v>96</v>
      </c>
      <c r="I39" s="4">
        <v>4</v>
      </c>
      <c r="J39" s="6">
        <v>188.27</v>
      </c>
      <c r="K39" s="7">
        <v>0</v>
      </c>
      <c r="L39" s="6">
        <f t="shared" si="0"/>
        <v>753.08</v>
      </c>
      <c r="M39" s="6">
        <v>148.52000000000001</v>
      </c>
      <c r="N39" s="8">
        <f t="shared" si="1"/>
        <v>159</v>
      </c>
      <c r="O39" s="4" t="s">
        <v>25</v>
      </c>
      <c r="P39" s="4" t="s">
        <v>61</v>
      </c>
      <c r="Q39" s="4">
        <v>4</v>
      </c>
      <c r="R39" s="21">
        <f t="shared" si="2"/>
        <v>0.21113294736282998</v>
      </c>
      <c r="S39" t="str">
        <f t="shared" si="3"/>
        <v>Medium</v>
      </c>
    </row>
    <row r="40" spans="1:19" x14ac:dyDescent="0.35">
      <c r="A40" s="4" t="s">
        <v>150</v>
      </c>
      <c r="B40" s="5">
        <v>45673</v>
      </c>
      <c r="C40" s="4" t="s">
        <v>151</v>
      </c>
      <c r="D40" s="4" t="s">
        <v>43</v>
      </c>
      <c r="E40" s="4" t="s">
        <v>21</v>
      </c>
      <c r="F40" s="4" t="s">
        <v>59</v>
      </c>
      <c r="G40" s="4" t="s">
        <v>31</v>
      </c>
      <c r="H40" s="4" t="s">
        <v>147</v>
      </c>
      <c r="I40" s="4">
        <v>1</v>
      </c>
      <c r="J40" s="6">
        <v>108.92</v>
      </c>
      <c r="K40" s="7">
        <v>0.05</v>
      </c>
      <c r="L40" s="6">
        <f t="shared" si="0"/>
        <v>103.474</v>
      </c>
      <c r="M40" s="6">
        <v>78.3</v>
      </c>
      <c r="N40" s="8">
        <f t="shared" si="1"/>
        <v>25.174000000000007</v>
      </c>
      <c r="O40" s="4" t="s">
        <v>51</v>
      </c>
      <c r="P40" s="4" t="s">
        <v>26</v>
      </c>
      <c r="Q40" s="4">
        <v>4</v>
      </c>
      <c r="R40" s="21">
        <f t="shared" si="2"/>
        <v>0.24328816900863989</v>
      </c>
      <c r="S40" t="str">
        <f t="shared" si="3"/>
        <v>Small</v>
      </c>
    </row>
    <row r="41" spans="1:19" x14ac:dyDescent="0.35">
      <c r="A41" s="4" t="s">
        <v>152</v>
      </c>
      <c r="B41" s="5">
        <v>45674</v>
      </c>
      <c r="C41" s="4" t="s">
        <v>91</v>
      </c>
      <c r="D41" s="4" t="s">
        <v>43</v>
      </c>
      <c r="E41" s="4" t="s">
        <v>36</v>
      </c>
      <c r="F41" s="4" t="s">
        <v>37</v>
      </c>
      <c r="G41" s="4" t="s">
        <v>38</v>
      </c>
      <c r="H41" s="4" t="s">
        <v>39</v>
      </c>
      <c r="I41" s="4">
        <v>3</v>
      </c>
      <c r="J41" s="6">
        <v>122.11</v>
      </c>
      <c r="K41" s="7">
        <v>0.05</v>
      </c>
      <c r="L41" s="6">
        <f t="shared" si="0"/>
        <v>348.01349999999996</v>
      </c>
      <c r="M41" s="6">
        <v>102.02</v>
      </c>
      <c r="N41" s="8">
        <f t="shared" si="1"/>
        <v>41.953499999999963</v>
      </c>
      <c r="O41" s="4" t="s">
        <v>60</v>
      </c>
      <c r="P41" s="4" t="s">
        <v>72</v>
      </c>
      <c r="Q41" s="4">
        <v>4</v>
      </c>
      <c r="R41" s="21">
        <f t="shared" si="2"/>
        <v>0.12055135792145985</v>
      </c>
      <c r="S41" t="str">
        <f t="shared" si="3"/>
        <v>Small</v>
      </c>
    </row>
    <row r="42" spans="1:19" x14ac:dyDescent="0.35">
      <c r="A42" s="4" t="s">
        <v>153</v>
      </c>
      <c r="B42" s="5">
        <v>45674</v>
      </c>
      <c r="C42" s="4" t="s">
        <v>154</v>
      </c>
      <c r="D42" s="4" t="s">
        <v>20</v>
      </c>
      <c r="E42" s="4" t="s">
        <v>87</v>
      </c>
      <c r="F42" s="4" t="s">
        <v>92</v>
      </c>
      <c r="G42" s="4" t="s">
        <v>23</v>
      </c>
      <c r="H42" s="4" t="s">
        <v>135</v>
      </c>
      <c r="I42" s="4">
        <v>1</v>
      </c>
      <c r="J42" s="6">
        <v>13.52</v>
      </c>
      <c r="K42" s="7">
        <v>0</v>
      </c>
      <c r="L42" s="6">
        <f t="shared" si="0"/>
        <v>13.52</v>
      </c>
      <c r="M42" s="6">
        <v>5.59</v>
      </c>
      <c r="N42" s="8">
        <f t="shared" si="1"/>
        <v>7.93</v>
      </c>
      <c r="O42" s="4" t="s">
        <v>40</v>
      </c>
      <c r="P42" s="4" t="s">
        <v>61</v>
      </c>
      <c r="Q42" s="4">
        <v>3</v>
      </c>
      <c r="R42" s="21">
        <f t="shared" si="2"/>
        <v>0.58653846153846156</v>
      </c>
      <c r="S42" t="str">
        <f t="shared" si="3"/>
        <v>Small</v>
      </c>
    </row>
    <row r="43" spans="1:19" x14ac:dyDescent="0.35">
      <c r="A43" s="4" t="s">
        <v>155</v>
      </c>
      <c r="B43" s="5">
        <v>45674</v>
      </c>
      <c r="C43" s="4" t="s">
        <v>156</v>
      </c>
      <c r="D43" s="4" t="s">
        <v>47</v>
      </c>
      <c r="E43" s="4" t="s">
        <v>36</v>
      </c>
      <c r="F43" s="4" t="s">
        <v>48</v>
      </c>
      <c r="G43" s="4" t="s">
        <v>23</v>
      </c>
      <c r="H43" s="4" t="s">
        <v>24</v>
      </c>
      <c r="I43" s="4">
        <v>2</v>
      </c>
      <c r="J43" s="6">
        <v>57.52</v>
      </c>
      <c r="K43" s="7">
        <v>0.1</v>
      </c>
      <c r="L43" s="6">
        <f t="shared" si="0"/>
        <v>103.536</v>
      </c>
      <c r="M43" s="6">
        <v>25.4</v>
      </c>
      <c r="N43" s="8">
        <f t="shared" si="1"/>
        <v>52.736000000000004</v>
      </c>
      <c r="O43" s="4" t="s">
        <v>40</v>
      </c>
      <c r="P43" s="4" t="s">
        <v>56</v>
      </c>
      <c r="Q43" s="4">
        <v>5</v>
      </c>
      <c r="R43" s="21">
        <f t="shared" si="2"/>
        <v>0.5093494050378613</v>
      </c>
      <c r="S43" t="str">
        <f t="shared" si="3"/>
        <v>Small</v>
      </c>
    </row>
    <row r="44" spans="1:19" x14ac:dyDescent="0.35">
      <c r="A44" s="4" t="s">
        <v>157</v>
      </c>
      <c r="B44" s="5">
        <v>45674</v>
      </c>
      <c r="C44" s="4" t="s">
        <v>158</v>
      </c>
      <c r="D44" s="4" t="s">
        <v>43</v>
      </c>
      <c r="E44" s="4" t="s">
        <v>21</v>
      </c>
      <c r="F44" s="4" t="s">
        <v>81</v>
      </c>
      <c r="G44" s="4" t="s">
        <v>23</v>
      </c>
      <c r="H44" s="4" t="s">
        <v>44</v>
      </c>
      <c r="I44" s="4">
        <v>1</v>
      </c>
      <c r="J44" s="6">
        <v>125.14</v>
      </c>
      <c r="K44" s="7">
        <v>0</v>
      </c>
      <c r="L44" s="6">
        <f t="shared" si="0"/>
        <v>125.14</v>
      </c>
      <c r="M44" s="6">
        <v>68.27</v>
      </c>
      <c r="N44" s="8">
        <f t="shared" si="1"/>
        <v>56.870000000000005</v>
      </c>
      <c r="O44" s="4" t="s">
        <v>25</v>
      </c>
      <c r="P44" s="4" t="s">
        <v>56</v>
      </c>
      <c r="Q44" s="4">
        <v>4</v>
      </c>
      <c r="R44" s="21">
        <f t="shared" si="2"/>
        <v>0.4544510148633531</v>
      </c>
      <c r="S44" t="str">
        <f t="shared" si="3"/>
        <v>Small</v>
      </c>
    </row>
    <row r="45" spans="1:19" x14ac:dyDescent="0.35">
      <c r="A45" s="4" t="s">
        <v>159</v>
      </c>
      <c r="B45" s="5">
        <v>45676</v>
      </c>
      <c r="C45" s="4" t="s">
        <v>160</v>
      </c>
      <c r="D45" s="4" t="s">
        <v>47</v>
      </c>
      <c r="E45" s="4" t="s">
        <v>29</v>
      </c>
      <c r="F45" s="4" t="s">
        <v>30</v>
      </c>
      <c r="G45" s="4" t="s">
        <v>38</v>
      </c>
      <c r="H45" s="4" t="s">
        <v>96</v>
      </c>
      <c r="I45" s="4">
        <v>4</v>
      </c>
      <c r="J45" s="6">
        <v>473.88</v>
      </c>
      <c r="K45" s="7">
        <v>0</v>
      </c>
      <c r="L45" s="6">
        <f t="shared" si="0"/>
        <v>1895.52</v>
      </c>
      <c r="M45" s="6">
        <v>389.25</v>
      </c>
      <c r="N45" s="8">
        <f t="shared" si="1"/>
        <v>338.52</v>
      </c>
      <c r="O45" s="4" t="s">
        <v>60</v>
      </c>
      <c r="P45" s="4" t="s">
        <v>56</v>
      </c>
      <c r="Q45" s="4">
        <v>4</v>
      </c>
      <c r="R45" s="21">
        <f t="shared" si="2"/>
        <v>0.1785895163332489</v>
      </c>
      <c r="S45" t="str">
        <f t="shared" si="3"/>
        <v>Medium</v>
      </c>
    </row>
    <row r="46" spans="1:19" x14ac:dyDescent="0.35">
      <c r="A46" s="4" t="s">
        <v>161</v>
      </c>
      <c r="B46" s="5">
        <v>45677</v>
      </c>
      <c r="C46" s="4" t="s">
        <v>162</v>
      </c>
      <c r="D46" s="4" t="s">
        <v>20</v>
      </c>
      <c r="E46" s="4" t="s">
        <v>87</v>
      </c>
      <c r="F46" s="4" t="s">
        <v>88</v>
      </c>
      <c r="G46" s="4" t="s">
        <v>38</v>
      </c>
      <c r="H46" s="4" t="s">
        <v>55</v>
      </c>
      <c r="I46" s="4">
        <v>1</v>
      </c>
      <c r="J46" s="6">
        <v>124.8</v>
      </c>
      <c r="K46" s="7">
        <v>0</v>
      </c>
      <c r="L46" s="6">
        <f t="shared" si="0"/>
        <v>124.8</v>
      </c>
      <c r="M46" s="6">
        <v>94.38</v>
      </c>
      <c r="N46" s="8">
        <f t="shared" si="1"/>
        <v>30.42</v>
      </c>
      <c r="O46" s="4" t="s">
        <v>84</v>
      </c>
      <c r="P46" s="4" t="s">
        <v>56</v>
      </c>
      <c r="Q46" s="4">
        <v>3</v>
      </c>
      <c r="R46" s="21">
        <f t="shared" si="2"/>
        <v>0.24375000000000002</v>
      </c>
      <c r="S46" t="str">
        <f t="shared" si="3"/>
        <v>Small</v>
      </c>
    </row>
    <row r="47" spans="1:19" x14ac:dyDescent="0.35">
      <c r="A47" s="4" t="s">
        <v>163</v>
      </c>
      <c r="B47" s="5">
        <v>45677</v>
      </c>
      <c r="C47" s="4" t="s">
        <v>164</v>
      </c>
      <c r="D47" s="4" t="s">
        <v>20</v>
      </c>
      <c r="E47" s="4" t="s">
        <v>29</v>
      </c>
      <c r="F47" s="4" t="s">
        <v>108</v>
      </c>
      <c r="G47" s="4" t="s">
        <v>31</v>
      </c>
      <c r="H47" s="4" t="s">
        <v>32</v>
      </c>
      <c r="I47" s="4">
        <v>6</v>
      </c>
      <c r="J47" s="6">
        <v>223.1</v>
      </c>
      <c r="K47" s="7">
        <v>0.05</v>
      </c>
      <c r="L47" s="6">
        <f t="shared" si="0"/>
        <v>1271.6699999999998</v>
      </c>
      <c r="M47" s="6">
        <v>142.16999999999999</v>
      </c>
      <c r="N47" s="8">
        <f t="shared" si="1"/>
        <v>418.64999999999986</v>
      </c>
      <c r="O47" s="4" t="s">
        <v>25</v>
      </c>
      <c r="P47" s="4" t="s">
        <v>118</v>
      </c>
      <c r="Q47" s="4">
        <v>3</v>
      </c>
      <c r="R47" s="21">
        <f t="shared" si="2"/>
        <v>0.32921276746325689</v>
      </c>
      <c r="S47" t="str">
        <f t="shared" si="3"/>
        <v>Medium</v>
      </c>
    </row>
    <row r="48" spans="1:19" x14ac:dyDescent="0.35">
      <c r="A48" s="4" t="s">
        <v>165</v>
      </c>
      <c r="B48" s="5">
        <v>45678</v>
      </c>
      <c r="C48" s="4" t="s">
        <v>166</v>
      </c>
      <c r="D48" s="4" t="s">
        <v>47</v>
      </c>
      <c r="E48" s="4" t="s">
        <v>21</v>
      </c>
      <c r="F48" s="4" t="s">
        <v>81</v>
      </c>
      <c r="G48" s="4" t="s">
        <v>38</v>
      </c>
      <c r="H48" s="4" t="s">
        <v>96</v>
      </c>
      <c r="I48" s="4">
        <v>2</v>
      </c>
      <c r="J48" s="6">
        <v>497.26</v>
      </c>
      <c r="K48" s="7">
        <v>0</v>
      </c>
      <c r="L48" s="6">
        <f t="shared" si="0"/>
        <v>994.52</v>
      </c>
      <c r="M48" s="6">
        <v>388.14</v>
      </c>
      <c r="N48" s="8">
        <f t="shared" si="1"/>
        <v>218.24</v>
      </c>
      <c r="O48" s="4" t="s">
        <v>60</v>
      </c>
      <c r="P48" s="4" t="s">
        <v>118</v>
      </c>
      <c r="Q48" s="4">
        <v>5</v>
      </c>
      <c r="R48" s="21">
        <f t="shared" si="2"/>
        <v>0.2194425451474078</v>
      </c>
      <c r="S48" t="str">
        <f t="shared" si="3"/>
        <v>Medium</v>
      </c>
    </row>
    <row r="49" spans="1:19" x14ac:dyDescent="0.35">
      <c r="A49" s="4" t="s">
        <v>167</v>
      </c>
      <c r="B49" s="5">
        <v>45678</v>
      </c>
      <c r="C49" s="4" t="s">
        <v>168</v>
      </c>
      <c r="D49" s="4" t="s">
        <v>43</v>
      </c>
      <c r="E49" s="4" t="s">
        <v>29</v>
      </c>
      <c r="F49" s="4" t="s">
        <v>108</v>
      </c>
      <c r="G49" s="4" t="s">
        <v>38</v>
      </c>
      <c r="H49" s="4" t="s">
        <v>89</v>
      </c>
      <c r="I49" s="4">
        <v>3</v>
      </c>
      <c r="J49" s="6">
        <v>1111.26</v>
      </c>
      <c r="K49" s="7">
        <v>0.1</v>
      </c>
      <c r="L49" s="6">
        <f t="shared" si="0"/>
        <v>3000.402</v>
      </c>
      <c r="M49" s="6">
        <v>915.61</v>
      </c>
      <c r="N49" s="8">
        <f t="shared" si="1"/>
        <v>253.57200000000012</v>
      </c>
      <c r="O49" s="4" t="s">
        <v>51</v>
      </c>
      <c r="P49" s="4" t="s">
        <v>72</v>
      </c>
      <c r="Q49" s="4">
        <v>4</v>
      </c>
      <c r="R49" s="21">
        <f t="shared" si="2"/>
        <v>8.4512675301509632E-2</v>
      </c>
      <c r="S49" t="str">
        <f t="shared" si="3"/>
        <v>Large</v>
      </c>
    </row>
    <row r="50" spans="1:19" x14ac:dyDescent="0.35">
      <c r="A50" s="4" t="s">
        <v>169</v>
      </c>
      <c r="B50" s="5">
        <v>45678</v>
      </c>
      <c r="C50" s="4" t="s">
        <v>170</v>
      </c>
      <c r="D50" s="4" t="s">
        <v>47</v>
      </c>
      <c r="E50" s="4" t="s">
        <v>36</v>
      </c>
      <c r="F50" s="4" t="s">
        <v>37</v>
      </c>
      <c r="G50" s="4" t="s">
        <v>23</v>
      </c>
      <c r="H50" s="4" t="s">
        <v>24</v>
      </c>
      <c r="I50" s="4">
        <v>1</v>
      </c>
      <c r="J50" s="6">
        <v>87.25</v>
      </c>
      <c r="K50" s="7">
        <v>0.1</v>
      </c>
      <c r="L50" s="6">
        <f t="shared" si="0"/>
        <v>78.525000000000006</v>
      </c>
      <c r="M50" s="6">
        <v>46.89</v>
      </c>
      <c r="N50" s="8">
        <f t="shared" si="1"/>
        <v>31.635000000000005</v>
      </c>
      <c r="O50" s="4" t="s">
        <v>40</v>
      </c>
      <c r="P50" s="4" t="s">
        <v>26</v>
      </c>
      <c r="Q50" s="4">
        <v>4</v>
      </c>
      <c r="R50" s="21">
        <f t="shared" si="2"/>
        <v>0.402865329512894</v>
      </c>
      <c r="S50" t="str">
        <f t="shared" si="3"/>
        <v>Small</v>
      </c>
    </row>
    <row r="51" spans="1:19" x14ac:dyDescent="0.35">
      <c r="A51" s="4" t="s">
        <v>171</v>
      </c>
      <c r="B51" s="5">
        <v>45679</v>
      </c>
      <c r="C51" s="4" t="s">
        <v>172</v>
      </c>
      <c r="D51" s="4" t="s">
        <v>20</v>
      </c>
      <c r="E51" s="4" t="s">
        <v>29</v>
      </c>
      <c r="F51" s="4" t="s">
        <v>30</v>
      </c>
      <c r="G51" s="4" t="s">
        <v>23</v>
      </c>
      <c r="H51" s="4" t="s">
        <v>71</v>
      </c>
      <c r="I51" s="4">
        <v>3</v>
      </c>
      <c r="J51" s="6">
        <v>110.25</v>
      </c>
      <c r="K51" s="7">
        <v>0</v>
      </c>
      <c r="L51" s="6">
        <f t="shared" si="0"/>
        <v>330.75</v>
      </c>
      <c r="M51" s="6">
        <v>63.87</v>
      </c>
      <c r="N51" s="8">
        <f t="shared" si="1"/>
        <v>139.14000000000001</v>
      </c>
      <c r="O51" s="4" t="s">
        <v>25</v>
      </c>
      <c r="P51" s="4" t="s">
        <v>56</v>
      </c>
      <c r="Q51" s="4">
        <v>4</v>
      </c>
      <c r="R51" s="21">
        <f t="shared" si="2"/>
        <v>0.42068027210884357</v>
      </c>
      <c r="S51" t="str">
        <f t="shared" si="3"/>
        <v>Small</v>
      </c>
    </row>
    <row r="52" spans="1:19" x14ac:dyDescent="0.35">
      <c r="A52" s="4" t="s">
        <v>173</v>
      </c>
      <c r="B52" s="5">
        <v>45679</v>
      </c>
      <c r="C52" s="4" t="s">
        <v>174</v>
      </c>
      <c r="D52" s="4" t="s">
        <v>43</v>
      </c>
      <c r="E52" s="4" t="s">
        <v>87</v>
      </c>
      <c r="F52" s="4" t="s">
        <v>92</v>
      </c>
      <c r="G52" s="4" t="s">
        <v>23</v>
      </c>
      <c r="H52" s="4" t="s">
        <v>44</v>
      </c>
      <c r="I52" s="4">
        <v>1</v>
      </c>
      <c r="J52" s="6">
        <v>74.099999999999994</v>
      </c>
      <c r="K52" s="7">
        <v>0.1</v>
      </c>
      <c r="L52" s="6">
        <f t="shared" si="0"/>
        <v>66.69</v>
      </c>
      <c r="M52" s="6">
        <v>34.76</v>
      </c>
      <c r="N52" s="8">
        <f t="shared" si="1"/>
        <v>31.93</v>
      </c>
      <c r="O52" s="4" t="s">
        <v>40</v>
      </c>
      <c r="P52" s="4" t="s">
        <v>61</v>
      </c>
      <c r="Q52" s="4">
        <v>4</v>
      </c>
      <c r="R52" s="21">
        <f t="shared" si="2"/>
        <v>0.47878242615084721</v>
      </c>
      <c r="S52" t="str">
        <f t="shared" si="3"/>
        <v>Small</v>
      </c>
    </row>
    <row r="53" spans="1:19" x14ac:dyDescent="0.35">
      <c r="A53" s="4" t="s">
        <v>175</v>
      </c>
      <c r="B53" s="5">
        <v>45680</v>
      </c>
      <c r="C53" s="4" t="s">
        <v>176</v>
      </c>
      <c r="D53" s="4" t="s">
        <v>20</v>
      </c>
      <c r="E53" s="4" t="s">
        <v>36</v>
      </c>
      <c r="F53" s="4" t="s">
        <v>48</v>
      </c>
      <c r="G53" s="4" t="s">
        <v>49</v>
      </c>
      <c r="H53" s="4" t="s">
        <v>78</v>
      </c>
      <c r="I53" s="4">
        <v>3</v>
      </c>
      <c r="J53" s="6">
        <v>513.29999999999995</v>
      </c>
      <c r="K53" s="7">
        <v>0.15</v>
      </c>
      <c r="L53" s="6">
        <f t="shared" si="0"/>
        <v>1308.9149999999997</v>
      </c>
      <c r="M53" s="6">
        <v>318.91000000000003</v>
      </c>
      <c r="N53" s="8">
        <f t="shared" si="1"/>
        <v>352.18499999999972</v>
      </c>
      <c r="O53" s="4" t="s">
        <v>51</v>
      </c>
      <c r="P53" s="4" t="s">
        <v>56</v>
      </c>
      <c r="Q53" s="4">
        <v>4</v>
      </c>
      <c r="R53" s="21">
        <f t="shared" si="2"/>
        <v>0.26906636412601259</v>
      </c>
      <c r="S53" t="str">
        <f t="shared" si="3"/>
        <v>Medium</v>
      </c>
    </row>
    <row r="54" spans="1:19" x14ac:dyDescent="0.35">
      <c r="A54" s="4" t="s">
        <v>177</v>
      </c>
      <c r="B54" s="5">
        <v>45680</v>
      </c>
      <c r="C54" s="4" t="s">
        <v>178</v>
      </c>
      <c r="D54" s="4" t="s">
        <v>47</v>
      </c>
      <c r="E54" s="4" t="s">
        <v>87</v>
      </c>
      <c r="F54" s="4" t="s">
        <v>92</v>
      </c>
      <c r="G54" s="4" t="s">
        <v>23</v>
      </c>
      <c r="H54" s="4" t="s">
        <v>71</v>
      </c>
      <c r="I54" s="4">
        <v>8</v>
      </c>
      <c r="J54" s="6">
        <v>48.19</v>
      </c>
      <c r="K54" s="7">
        <v>0.05</v>
      </c>
      <c r="L54" s="6">
        <f t="shared" si="0"/>
        <v>366.24399999999997</v>
      </c>
      <c r="M54" s="6">
        <v>27.6</v>
      </c>
      <c r="N54" s="8">
        <f t="shared" si="1"/>
        <v>145.44399999999996</v>
      </c>
      <c r="O54" s="4" t="s">
        <v>84</v>
      </c>
      <c r="P54" s="4" t="s">
        <v>56</v>
      </c>
      <c r="Q54" s="4">
        <v>3</v>
      </c>
      <c r="R54" s="21">
        <f t="shared" si="2"/>
        <v>0.39712322932252808</v>
      </c>
      <c r="S54" t="str">
        <f t="shared" si="3"/>
        <v>Small</v>
      </c>
    </row>
    <row r="55" spans="1:19" x14ac:dyDescent="0.35">
      <c r="A55" s="4" t="s">
        <v>179</v>
      </c>
      <c r="B55" s="5">
        <v>45680</v>
      </c>
      <c r="C55" s="4" t="s">
        <v>180</v>
      </c>
      <c r="D55" s="4" t="s">
        <v>20</v>
      </c>
      <c r="E55" s="4" t="s">
        <v>87</v>
      </c>
      <c r="F55" s="4" t="s">
        <v>124</v>
      </c>
      <c r="G55" s="4" t="s">
        <v>31</v>
      </c>
      <c r="H55" s="4" t="s">
        <v>147</v>
      </c>
      <c r="I55" s="4">
        <v>2</v>
      </c>
      <c r="J55" s="6">
        <v>87.88</v>
      </c>
      <c r="K55" s="7">
        <v>0</v>
      </c>
      <c r="L55" s="6">
        <f t="shared" si="0"/>
        <v>175.76</v>
      </c>
      <c r="M55" s="6">
        <v>50.51</v>
      </c>
      <c r="N55" s="8">
        <f t="shared" si="1"/>
        <v>74.739999999999995</v>
      </c>
      <c r="O55" s="4" t="s">
        <v>84</v>
      </c>
      <c r="P55" s="4" t="s">
        <v>26</v>
      </c>
      <c r="Q55" s="4">
        <v>2</v>
      </c>
      <c r="R55" s="21">
        <f t="shared" si="2"/>
        <v>0.42523896222121071</v>
      </c>
      <c r="S55" t="str">
        <f t="shared" si="3"/>
        <v>Small</v>
      </c>
    </row>
    <row r="56" spans="1:19" x14ac:dyDescent="0.35">
      <c r="A56" s="4" t="s">
        <v>181</v>
      </c>
      <c r="B56" s="5">
        <v>45681</v>
      </c>
      <c r="C56" s="4" t="s">
        <v>35</v>
      </c>
      <c r="D56" s="4" t="s">
        <v>47</v>
      </c>
      <c r="E56" s="4" t="s">
        <v>29</v>
      </c>
      <c r="F56" s="4" t="s">
        <v>54</v>
      </c>
      <c r="G56" s="4" t="s">
        <v>67</v>
      </c>
      <c r="H56" s="4" t="s">
        <v>93</v>
      </c>
      <c r="I56" s="4">
        <v>2</v>
      </c>
      <c r="J56" s="6">
        <v>585.4</v>
      </c>
      <c r="K56" s="7">
        <v>0</v>
      </c>
      <c r="L56" s="6">
        <f t="shared" si="0"/>
        <v>1170.8</v>
      </c>
      <c r="M56" s="6">
        <v>396.83</v>
      </c>
      <c r="N56" s="8">
        <f t="shared" si="1"/>
        <v>377.14</v>
      </c>
      <c r="O56" s="4" t="s">
        <v>25</v>
      </c>
      <c r="P56" s="4" t="s">
        <v>26</v>
      </c>
      <c r="Q56" s="4">
        <v>4</v>
      </c>
      <c r="R56" s="21">
        <f t="shared" si="2"/>
        <v>0.32212162623846941</v>
      </c>
      <c r="S56" t="str">
        <f t="shared" si="3"/>
        <v>Medium</v>
      </c>
    </row>
    <row r="57" spans="1:19" x14ac:dyDescent="0.35">
      <c r="A57" s="4" t="s">
        <v>182</v>
      </c>
      <c r="B57" s="5">
        <v>45681</v>
      </c>
      <c r="C57" s="4" t="s">
        <v>183</v>
      </c>
      <c r="D57" s="4" t="s">
        <v>47</v>
      </c>
      <c r="E57" s="4" t="s">
        <v>87</v>
      </c>
      <c r="F57" s="4" t="s">
        <v>88</v>
      </c>
      <c r="G57" s="4" t="s">
        <v>67</v>
      </c>
      <c r="H57" s="4" t="s">
        <v>68</v>
      </c>
      <c r="I57" s="4">
        <v>5</v>
      </c>
      <c r="J57" s="6">
        <v>752.62</v>
      </c>
      <c r="K57" s="7">
        <v>0</v>
      </c>
      <c r="L57" s="6">
        <f t="shared" si="0"/>
        <v>3763.1</v>
      </c>
      <c r="M57" s="6">
        <v>539.08000000000004</v>
      </c>
      <c r="N57" s="8">
        <f t="shared" si="1"/>
        <v>1067.6999999999998</v>
      </c>
      <c r="O57" s="4" t="s">
        <v>40</v>
      </c>
      <c r="P57" s="4" t="s">
        <v>118</v>
      </c>
      <c r="Q57" s="4">
        <v>4</v>
      </c>
      <c r="R57" s="21">
        <f t="shared" si="2"/>
        <v>0.2837288405835614</v>
      </c>
      <c r="S57" t="str">
        <f t="shared" si="3"/>
        <v>Large</v>
      </c>
    </row>
    <row r="58" spans="1:19" x14ac:dyDescent="0.35">
      <c r="A58" s="4" t="s">
        <v>184</v>
      </c>
      <c r="B58" s="5">
        <v>45681</v>
      </c>
      <c r="C58" s="4" t="s">
        <v>156</v>
      </c>
      <c r="D58" s="4" t="s">
        <v>47</v>
      </c>
      <c r="E58" s="4" t="s">
        <v>87</v>
      </c>
      <c r="F58" s="4" t="s">
        <v>92</v>
      </c>
      <c r="G58" s="4" t="s">
        <v>38</v>
      </c>
      <c r="H58" s="4" t="s">
        <v>39</v>
      </c>
      <c r="I58" s="4">
        <v>2</v>
      </c>
      <c r="J58" s="6">
        <v>394.93</v>
      </c>
      <c r="K58" s="7">
        <v>0.05</v>
      </c>
      <c r="L58" s="6">
        <f t="shared" si="0"/>
        <v>750.36699999999996</v>
      </c>
      <c r="M58" s="6">
        <v>338.55</v>
      </c>
      <c r="N58" s="8">
        <f t="shared" si="1"/>
        <v>73.266999999999939</v>
      </c>
      <c r="O58" s="4" t="s">
        <v>84</v>
      </c>
      <c r="P58" s="4" t="s">
        <v>26</v>
      </c>
      <c r="Q58" s="4">
        <v>5</v>
      </c>
      <c r="R58" s="21">
        <f t="shared" si="2"/>
        <v>9.7641554066210196E-2</v>
      </c>
      <c r="S58" t="str">
        <f t="shared" si="3"/>
        <v>Medium</v>
      </c>
    </row>
    <row r="59" spans="1:19" x14ac:dyDescent="0.35">
      <c r="A59" s="4" t="s">
        <v>185</v>
      </c>
      <c r="B59" s="5">
        <v>45682</v>
      </c>
      <c r="C59" s="4" t="s">
        <v>186</v>
      </c>
      <c r="D59" s="4" t="s">
        <v>43</v>
      </c>
      <c r="E59" s="4" t="s">
        <v>87</v>
      </c>
      <c r="F59" s="4" t="s">
        <v>92</v>
      </c>
      <c r="G59" s="4" t="s">
        <v>49</v>
      </c>
      <c r="H59" s="4" t="s">
        <v>187</v>
      </c>
      <c r="I59" s="4">
        <v>10</v>
      </c>
      <c r="J59" s="6">
        <v>37.99</v>
      </c>
      <c r="K59" s="7">
        <v>0</v>
      </c>
      <c r="L59" s="6">
        <f t="shared" si="0"/>
        <v>379.90000000000003</v>
      </c>
      <c r="M59" s="6">
        <v>24.68</v>
      </c>
      <c r="N59" s="8">
        <f t="shared" si="1"/>
        <v>133.10000000000002</v>
      </c>
      <c r="O59" s="4" t="s">
        <v>60</v>
      </c>
      <c r="P59" s="4" t="s">
        <v>118</v>
      </c>
      <c r="Q59" s="4">
        <v>5</v>
      </c>
      <c r="R59" s="21">
        <f t="shared" si="2"/>
        <v>0.35035535667280865</v>
      </c>
      <c r="S59" t="str">
        <f t="shared" si="3"/>
        <v>Small</v>
      </c>
    </row>
    <row r="60" spans="1:19" x14ac:dyDescent="0.35">
      <c r="A60" s="4" t="s">
        <v>188</v>
      </c>
      <c r="B60" s="5">
        <v>45683</v>
      </c>
      <c r="C60" s="4" t="s">
        <v>189</v>
      </c>
      <c r="D60" s="4" t="s">
        <v>47</v>
      </c>
      <c r="E60" s="4" t="s">
        <v>87</v>
      </c>
      <c r="F60" s="4" t="s">
        <v>124</v>
      </c>
      <c r="G60" s="4" t="s">
        <v>38</v>
      </c>
      <c r="H60" s="4" t="s">
        <v>55</v>
      </c>
      <c r="I60" s="4">
        <v>2</v>
      </c>
      <c r="J60" s="6">
        <v>277.7</v>
      </c>
      <c r="K60" s="7">
        <v>0.1</v>
      </c>
      <c r="L60" s="6">
        <f t="shared" si="0"/>
        <v>499.86</v>
      </c>
      <c r="M60" s="6">
        <v>230.25</v>
      </c>
      <c r="N60" s="8">
        <f t="shared" si="1"/>
        <v>39.360000000000014</v>
      </c>
      <c r="O60" s="4" t="s">
        <v>25</v>
      </c>
      <c r="P60" s="4" t="s">
        <v>72</v>
      </c>
      <c r="Q60" s="4">
        <v>5</v>
      </c>
      <c r="R60" s="21">
        <f t="shared" si="2"/>
        <v>7.8742047773376567E-2</v>
      </c>
      <c r="S60" t="str">
        <f t="shared" si="3"/>
        <v>Small</v>
      </c>
    </row>
    <row r="61" spans="1:19" x14ac:dyDescent="0.35">
      <c r="A61" s="4" t="s">
        <v>190</v>
      </c>
      <c r="B61" s="5">
        <v>45683</v>
      </c>
      <c r="C61" s="4" t="s">
        <v>191</v>
      </c>
      <c r="D61" s="4" t="s">
        <v>43</v>
      </c>
      <c r="E61" s="4" t="s">
        <v>36</v>
      </c>
      <c r="F61" s="4" t="s">
        <v>48</v>
      </c>
      <c r="G61" s="4" t="s">
        <v>23</v>
      </c>
      <c r="H61" s="4" t="s">
        <v>44</v>
      </c>
      <c r="I61" s="4">
        <v>1</v>
      </c>
      <c r="J61" s="6">
        <v>53.34</v>
      </c>
      <c r="K61" s="7">
        <v>0.05</v>
      </c>
      <c r="L61" s="6">
        <f t="shared" si="0"/>
        <v>50.673000000000002</v>
      </c>
      <c r="M61" s="6">
        <v>30.83</v>
      </c>
      <c r="N61" s="8">
        <f t="shared" si="1"/>
        <v>19.843000000000004</v>
      </c>
      <c r="O61" s="4" t="s">
        <v>60</v>
      </c>
      <c r="P61" s="4" t="s">
        <v>56</v>
      </c>
      <c r="Q61" s="4">
        <v>5</v>
      </c>
      <c r="R61" s="21">
        <f t="shared" si="2"/>
        <v>0.39158920924358143</v>
      </c>
      <c r="S61" t="str">
        <f t="shared" si="3"/>
        <v>Small</v>
      </c>
    </row>
    <row r="62" spans="1:19" x14ac:dyDescent="0.35">
      <c r="A62" s="4" t="s">
        <v>192</v>
      </c>
      <c r="B62" s="5">
        <v>45683</v>
      </c>
      <c r="C62" s="4" t="s">
        <v>193</v>
      </c>
      <c r="D62" s="4" t="s">
        <v>20</v>
      </c>
      <c r="E62" s="4" t="s">
        <v>87</v>
      </c>
      <c r="F62" s="4" t="s">
        <v>92</v>
      </c>
      <c r="G62" s="4" t="s">
        <v>23</v>
      </c>
      <c r="H62" s="4" t="s">
        <v>135</v>
      </c>
      <c r="I62" s="4">
        <v>2</v>
      </c>
      <c r="J62" s="6">
        <v>25.06</v>
      </c>
      <c r="K62" s="7">
        <v>0.1</v>
      </c>
      <c r="L62" s="6">
        <f t="shared" si="0"/>
        <v>45.107999999999997</v>
      </c>
      <c r="M62" s="6">
        <v>12.69</v>
      </c>
      <c r="N62" s="8">
        <f t="shared" si="1"/>
        <v>19.727999999999998</v>
      </c>
      <c r="O62" s="4" t="s">
        <v>40</v>
      </c>
      <c r="P62" s="4" t="s">
        <v>61</v>
      </c>
      <c r="Q62" s="4">
        <v>4</v>
      </c>
      <c r="R62" s="21">
        <f t="shared" si="2"/>
        <v>0.43735035913806863</v>
      </c>
      <c r="S62" t="str">
        <f t="shared" si="3"/>
        <v>Small</v>
      </c>
    </row>
    <row r="63" spans="1:19" x14ac:dyDescent="0.35">
      <c r="A63" s="4" t="s">
        <v>194</v>
      </c>
      <c r="B63" s="5">
        <v>45683</v>
      </c>
      <c r="C63" s="4" t="s">
        <v>195</v>
      </c>
      <c r="D63" s="4" t="s">
        <v>43</v>
      </c>
      <c r="E63" s="4" t="s">
        <v>21</v>
      </c>
      <c r="F63" s="4" t="s">
        <v>81</v>
      </c>
      <c r="G63" s="4" t="s">
        <v>38</v>
      </c>
      <c r="H63" s="4" t="s">
        <v>55</v>
      </c>
      <c r="I63" s="4">
        <v>5</v>
      </c>
      <c r="J63" s="6">
        <v>48.27</v>
      </c>
      <c r="K63" s="7">
        <v>0</v>
      </c>
      <c r="L63" s="6">
        <f t="shared" si="0"/>
        <v>241.35000000000002</v>
      </c>
      <c r="M63" s="6">
        <v>39.630000000000003</v>
      </c>
      <c r="N63" s="8">
        <f t="shared" si="1"/>
        <v>43.200000000000017</v>
      </c>
      <c r="O63" s="4" t="s">
        <v>25</v>
      </c>
      <c r="P63" s="4" t="s">
        <v>75</v>
      </c>
      <c r="Q63" s="4">
        <v>4</v>
      </c>
      <c r="R63" s="21">
        <f t="shared" si="2"/>
        <v>0.17899316345556252</v>
      </c>
      <c r="S63" t="str">
        <f t="shared" si="3"/>
        <v>Small</v>
      </c>
    </row>
    <row r="64" spans="1:19" x14ac:dyDescent="0.35">
      <c r="A64" s="4" t="s">
        <v>196</v>
      </c>
      <c r="B64" s="5">
        <v>45684</v>
      </c>
      <c r="C64" s="4" t="s">
        <v>197</v>
      </c>
      <c r="D64" s="4" t="s">
        <v>47</v>
      </c>
      <c r="E64" s="4" t="s">
        <v>36</v>
      </c>
      <c r="F64" s="4" t="s">
        <v>48</v>
      </c>
      <c r="G64" s="4" t="s">
        <v>38</v>
      </c>
      <c r="H64" s="4" t="s">
        <v>109</v>
      </c>
      <c r="I64" s="4">
        <v>1</v>
      </c>
      <c r="J64" s="6">
        <v>886.35</v>
      </c>
      <c r="K64" s="7">
        <v>0.05</v>
      </c>
      <c r="L64" s="6">
        <f t="shared" si="0"/>
        <v>842.03250000000003</v>
      </c>
      <c r="M64" s="6">
        <v>714.19</v>
      </c>
      <c r="N64" s="8">
        <f t="shared" si="1"/>
        <v>127.84249999999997</v>
      </c>
      <c r="O64" s="4" t="s">
        <v>40</v>
      </c>
      <c r="P64" s="4" t="s">
        <v>26</v>
      </c>
      <c r="Q64" s="4">
        <v>4</v>
      </c>
      <c r="R64" s="21">
        <f t="shared" si="2"/>
        <v>0.15182608747287066</v>
      </c>
      <c r="S64" t="str">
        <f t="shared" si="3"/>
        <v>Medium</v>
      </c>
    </row>
    <row r="65" spans="1:19" x14ac:dyDescent="0.35">
      <c r="A65" s="4" t="s">
        <v>198</v>
      </c>
      <c r="B65" s="5">
        <v>45684</v>
      </c>
      <c r="C65" s="4" t="s">
        <v>168</v>
      </c>
      <c r="D65" s="4" t="s">
        <v>43</v>
      </c>
      <c r="E65" s="4" t="s">
        <v>21</v>
      </c>
      <c r="F65" s="4" t="s">
        <v>81</v>
      </c>
      <c r="G65" s="4" t="s">
        <v>31</v>
      </c>
      <c r="H65" s="4" t="s">
        <v>147</v>
      </c>
      <c r="I65" s="4">
        <v>1</v>
      </c>
      <c r="J65" s="6">
        <v>93.02</v>
      </c>
      <c r="K65" s="7">
        <v>0.1</v>
      </c>
      <c r="L65" s="6">
        <f t="shared" si="0"/>
        <v>83.718000000000004</v>
      </c>
      <c r="M65" s="6">
        <v>52.21</v>
      </c>
      <c r="N65" s="8">
        <f t="shared" si="1"/>
        <v>31.508000000000003</v>
      </c>
      <c r="O65" s="4" t="s">
        <v>25</v>
      </c>
      <c r="P65" s="4" t="s">
        <v>97</v>
      </c>
      <c r="Q65" s="4">
        <v>5</v>
      </c>
      <c r="R65" s="21">
        <f t="shared" si="2"/>
        <v>0.37635872811103943</v>
      </c>
      <c r="S65" t="str">
        <f t="shared" si="3"/>
        <v>Small</v>
      </c>
    </row>
    <row r="66" spans="1:19" x14ac:dyDescent="0.35">
      <c r="A66" s="4" t="s">
        <v>199</v>
      </c>
      <c r="B66" s="5">
        <v>45684</v>
      </c>
      <c r="C66" s="4" t="s">
        <v>200</v>
      </c>
      <c r="D66" s="4" t="s">
        <v>43</v>
      </c>
      <c r="E66" s="4" t="s">
        <v>36</v>
      </c>
      <c r="F66" s="4" t="s">
        <v>201</v>
      </c>
      <c r="G66" s="4" t="s">
        <v>23</v>
      </c>
      <c r="H66" s="4" t="s">
        <v>71</v>
      </c>
      <c r="I66" s="4">
        <v>5</v>
      </c>
      <c r="J66" s="6">
        <v>51.41</v>
      </c>
      <c r="K66" s="7">
        <v>0</v>
      </c>
      <c r="L66" s="6">
        <f t="shared" ref="L66:L129" si="4">I66*J66*(1-K66)</f>
        <v>257.04999999999995</v>
      </c>
      <c r="M66" s="6">
        <v>25.1</v>
      </c>
      <c r="N66" s="8">
        <f t="shared" ref="N66:N129" si="5">L66-I66*M66</f>
        <v>131.54999999999995</v>
      </c>
      <c r="O66" s="4" t="s">
        <v>25</v>
      </c>
      <c r="P66" s="4" t="s">
        <v>56</v>
      </c>
      <c r="Q66" s="4">
        <v>5</v>
      </c>
      <c r="R66" s="21">
        <f t="shared" si="2"/>
        <v>0.51176813849445624</v>
      </c>
      <c r="S66" t="str">
        <f t="shared" si="3"/>
        <v>Small</v>
      </c>
    </row>
    <row r="67" spans="1:19" x14ac:dyDescent="0.35">
      <c r="A67" s="4" t="s">
        <v>202</v>
      </c>
      <c r="B67" s="5">
        <v>45685</v>
      </c>
      <c r="C67" s="4" t="s">
        <v>154</v>
      </c>
      <c r="D67" s="4" t="s">
        <v>43</v>
      </c>
      <c r="E67" s="4" t="s">
        <v>29</v>
      </c>
      <c r="F67" s="4" t="s">
        <v>30</v>
      </c>
      <c r="G67" s="4" t="s">
        <v>23</v>
      </c>
      <c r="H67" s="4" t="s">
        <v>44</v>
      </c>
      <c r="I67" s="4">
        <v>10</v>
      </c>
      <c r="J67" s="6">
        <v>129.19999999999999</v>
      </c>
      <c r="K67" s="7">
        <v>0.05</v>
      </c>
      <c r="L67" s="6">
        <f t="shared" si="4"/>
        <v>1227.3999999999999</v>
      </c>
      <c r="M67" s="6">
        <v>55.08</v>
      </c>
      <c r="N67" s="8">
        <f t="shared" si="5"/>
        <v>676.59999999999991</v>
      </c>
      <c r="O67" s="4" t="s">
        <v>51</v>
      </c>
      <c r="P67" s="4" t="s">
        <v>33</v>
      </c>
      <c r="Q67" s="4">
        <v>5</v>
      </c>
      <c r="R67" s="21">
        <f t="shared" ref="R67:R130" si="6">IF(L67=0,0,N67/L67)</f>
        <v>0.55124653739612184</v>
      </c>
      <c r="S67" t="str">
        <f t="shared" ref="S67:S130" si="7">IF(L67&gt;=2000,"Large",IF(L67&gt;=500,"Medium","Small"))</f>
        <v>Medium</v>
      </c>
    </row>
    <row r="68" spans="1:19" x14ac:dyDescent="0.35">
      <c r="A68" s="4" t="s">
        <v>203</v>
      </c>
      <c r="B68" s="5">
        <v>45685</v>
      </c>
      <c r="C68" s="4" t="s">
        <v>103</v>
      </c>
      <c r="D68" s="4" t="s">
        <v>20</v>
      </c>
      <c r="E68" s="4" t="s">
        <v>87</v>
      </c>
      <c r="F68" s="4" t="s">
        <v>124</v>
      </c>
      <c r="G68" s="4" t="s">
        <v>31</v>
      </c>
      <c r="H68" s="4" t="s">
        <v>147</v>
      </c>
      <c r="I68" s="4">
        <v>1</v>
      </c>
      <c r="J68" s="6">
        <v>65.91</v>
      </c>
      <c r="K68" s="7">
        <v>0</v>
      </c>
      <c r="L68" s="6">
        <f t="shared" si="4"/>
        <v>65.91</v>
      </c>
      <c r="M68" s="6">
        <v>36.32</v>
      </c>
      <c r="N68" s="8">
        <f t="shared" si="5"/>
        <v>29.589999999999996</v>
      </c>
      <c r="O68" s="4" t="s">
        <v>25</v>
      </c>
      <c r="P68" s="4" t="s">
        <v>33</v>
      </c>
      <c r="Q68" s="4">
        <v>4</v>
      </c>
      <c r="R68" s="21">
        <f t="shared" si="6"/>
        <v>0.44894553178576846</v>
      </c>
      <c r="S68" t="str">
        <f t="shared" si="7"/>
        <v>Small</v>
      </c>
    </row>
    <row r="69" spans="1:19" x14ac:dyDescent="0.35">
      <c r="A69" s="4" t="s">
        <v>204</v>
      </c>
      <c r="B69" s="5">
        <v>45685</v>
      </c>
      <c r="C69" s="4" t="s">
        <v>205</v>
      </c>
      <c r="D69" s="4" t="s">
        <v>43</v>
      </c>
      <c r="E69" s="4" t="s">
        <v>21</v>
      </c>
      <c r="F69" s="4" t="s">
        <v>59</v>
      </c>
      <c r="G69" s="4" t="s">
        <v>31</v>
      </c>
      <c r="H69" s="4" t="s">
        <v>125</v>
      </c>
      <c r="I69" s="4">
        <v>5</v>
      </c>
      <c r="J69" s="6">
        <v>147.26</v>
      </c>
      <c r="K69" s="7">
        <v>0</v>
      </c>
      <c r="L69" s="6">
        <f t="shared" si="4"/>
        <v>736.3</v>
      </c>
      <c r="M69" s="6">
        <v>100.09</v>
      </c>
      <c r="N69" s="8">
        <f t="shared" si="5"/>
        <v>235.84999999999991</v>
      </c>
      <c r="O69" s="4" t="s">
        <v>60</v>
      </c>
      <c r="P69" s="4" t="s">
        <v>56</v>
      </c>
      <c r="Q69" s="4">
        <v>4</v>
      </c>
      <c r="R69" s="21">
        <f t="shared" si="6"/>
        <v>0.32031780524242826</v>
      </c>
      <c r="S69" t="str">
        <f t="shared" si="7"/>
        <v>Medium</v>
      </c>
    </row>
    <row r="70" spans="1:19" x14ac:dyDescent="0.35">
      <c r="A70" s="4" t="s">
        <v>206</v>
      </c>
      <c r="B70" s="5">
        <v>45686</v>
      </c>
      <c r="C70" s="4" t="s">
        <v>207</v>
      </c>
      <c r="D70" s="4" t="s">
        <v>43</v>
      </c>
      <c r="E70" s="4" t="s">
        <v>29</v>
      </c>
      <c r="F70" s="4" t="s">
        <v>54</v>
      </c>
      <c r="G70" s="4" t="s">
        <v>23</v>
      </c>
      <c r="H70" s="4" t="s">
        <v>24</v>
      </c>
      <c r="I70" s="4">
        <v>1</v>
      </c>
      <c r="J70" s="6">
        <v>86.93</v>
      </c>
      <c r="K70" s="7">
        <v>0</v>
      </c>
      <c r="L70" s="6">
        <f t="shared" si="4"/>
        <v>86.93</v>
      </c>
      <c r="M70" s="6">
        <v>53.4</v>
      </c>
      <c r="N70" s="8">
        <f t="shared" si="5"/>
        <v>33.530000000000008</v>
      </c>
      <c r="O70" s="4" t="s">
        <v>25</v>
      </c>
      <c r="P70" s="4" t="s">
        <v>97</v>
      </c>
      <c r="Q70" s="4">
        <v>5</v>
      </c>
      <c r="R70" s="21">
        <f t="shared" si="6"/>
        <v>0.38571264235591862</v>
      </c>
      <c r="S70" t="str">
        <f t="shared" si="7"/>
        <v>Small</v>
      </c>
    </row>
    <row r="71" spans="1:19" x14ac:dyDescent="0.35">
      <c r="A71" s="4" t="s">
        <v>208</v>
      </c>
      <c r="B71" s="5">
        <v>45687</v>
      </c>
      <c r="C71" s="4" t="s">
        <v>209</v>
      </c>
      <c r="D71" s="4" t="s">
        <v>43</v>
      </c>
      <c r="E71" s="4" t="s">
        <v>36</v>
      </c>
      <c r="F71" s="4" t="s">
        <v>201</v>
      </c>
      <c r="G71" s="4" t="s">
        <v>38</v>
      </c>
      <c r="H71" s="4" t="s">
        <v>109</v>
      </c>
      <c r="I71" s="4">
        <v>4</v>
      </c>
      <c r="J71" s="6">
        <v>843.25</v>
      </c>
      <c r="K71" s="7">
        <v>0.05</v>
      </c>
      <c r="L71" s="6">
        <f t="shared" si="4"/>
        <v>3204.35</v>
      </c>
      <c r="M71" s="6">
        <v>638.91</v>
      </c>
      <c r="N71" s="8">
        <f t="shared" si="5"/>
        <v>648.71</v>
      </c>
      <c r="O71" s="4" t="s">
        <v>40</v>
      </c>
      <c r="P71" s="4" t="s">
        <v>118</v>
      </c>
      <c r="Q71" s="4">
        <v>4</v>
      </c>
      <c r="R71" s="21">
        <f t="shared" si="6"/>
        <v>0.20244667405245995</v>
      </c>
      <c r="S71" t="str">
        <f t="shared" si="7"/>
        <v>Large</v>
      </c>
    </row>
    <row r="72" spans="1:19" x14ac:dyDescent="0.35">
      <c r="A72" s="4" t="s">
        <v>210</v>
      </c>
      <c r="B72" s="5">
        <v>45687</v>
      </c>
      <c r="C72" s="4" t="s">
        <v>211</v>
      </c>
      <c r="D72" s="4" t="s">
        <v>43</v>
      </c>
      <c r="E72" s="4" t="s">
        <v>29</v>
      </c>
      <c r="F72" s="4" t="s">
        <v>108</v>
      </c>
      <c r="G72" s="4" t="s">
        <v>38</v>
      </c>
      <c r="H72" s="4" t="s">
        <v>89</v>
      </c>
      <c r="I72" s="4">
        <v>1</v>
      </c>
      <c r="J72" s="6">
        <v>669.44</v>
      </c>
      <c r="K72" s="7">
        <v>0.1</v>
      </c>
      <c r="L72" s="6">
        <f t="shared" si="4"/>
        <v>602.49600000000009</v>
      </c>
      <c r="M72" s="6">
        <v>583.80999999999995</v>
      </c>
      <c r="N72" s="8">
        <f t="shared" si="5"/>
        <v>18.686000000000149</v>
      </c>
      <c r="O72" s="4" t="s">
        <v>84</v>
      </c>
      <c r="P72" s="4" t="s">
        <v>33</v>
      </c>
      <c r="Q72" s="4">
        <v>4</v>
      </c>
      <c r="R72" s="21">
        <f t="shared" si="6"/>
        <v>3.10143137879756E-2</v>
      </c>
      <c r="S72" t="str">
        <f t="shared" si="7"/>
        <v>Medium</v>
      </c>
    </row>
    <row r="73" spans="1:19" x14ac:dyDescent="0.35">
      <c r="A73" s="4" t="s">
        <v>212</v>
      </c>
      <c r="B73" s="5">
        <v>45687</v>
      </c>
      <c r="C73" s="4" t="s">
        <v>213</v>
      </c>
      <c r="D73" s="4" t="s">
        <v>20</v>
      </c>
      <c r="E73" s="4" t="s">
        <v>29</v>
      </c>
      <c r="F73" s="4" t="s">
        <v>54</v>
      </c>
      <c r="G73" s="4" t="s">
        <v>49</v>
      </c>
      <c r="H73" s="4" t="s">
        <v>128</v>
      </c>
      <c r="I73" s="4">
        <v>6</v>
      </c>
      <c r="J73" s="6">
        <v>40.33</v>
      </c>
      <c r="K73" s="7">
        <v>0.05</v>
      </c>
      <c r="L73" s="6">
        <f t="shared" si="4"/>
        <v>229.88099999999997</v>
      </c>
      <c r="M73" s="6">
        <v>23.37</v>
      </c>
      <c r="N73" s="8">
        <f t="shared" si="5"/>
        <v>89.660999999999973</v>
      </c>
      <c r="O73" s="4" t="s">
        <v>25</v>
      </c>
      <c r="P73" s="4" t="s">
        <v>118</v>
      </c>
      <c r="Q73" s="4">
        <v>5</v>
      </c>
      <c r="R73" s="21">
        <f t="shared" si="6"/>
        <v>0.39003223406893123</v>
      </c>
      <c r="S73" t="str">
        <f t="shared" si="7"/>
        <v>Small</v>
      </c>
    </row>
    <row r="74" spans="1:19" x14ac:dyDescent="0.35">
      <c r="A74" s="4" t="s">
        <v>214</v>
      </c>
      <c r="B74" s="5">
        <v>45687</v>
      </c>
      <c r="C74" s="4" t="s">
        <v>215</v>
      </c>
      <c r="D74" s="4" t="s">
        <v>47</v>
      </c>
      <c r="E74" s="4" t="s">
        <v>87</v>
      </c>
      <c r="F74" s="4" t="s">
        <v>92</v>
      </c>
      <c r="G74" s="4" t="s">
        <v>23</v>
      </c>
      <c r="H74" s="4" t="s">
        <v>71</v>
      </c>
      <c r="I74" s="4">
        <v>2</v>
      </c>
      <c r="J74" s="6">
        <v>200.98</v>
      </c>
      <c r="K74" s="7">
        <v>0</v>
      </c>
      <c r="L74" s="6">
        <f t="shared" si="4"/>
        <v>401.96</v>
      </c>
      <c r="M74" s="6">
        <v>87.86</v>
      </c>
      <c r="N74" s="8">
        <f t="shared" si="5"/>
        <v>226.23999999999998</v>
      </c>
      <c r="O74" s="4" t="s">
        <v>84</v>
      </c>
      <c r="P74" s="4" t="s">
        <v>26</v>
      </c>
      <c r="Q74" s="4">
        <v>1</v>
      </c>
      <c r="R74" s="21">
        <f t="shared" si="6"/>
        <v>0.56284207383819285</v>
      </c>
      <c r="S74" t="str">
        <f t="shared" si="7"/>
        <v>Small</v>
      </c>
    </row>
    <row r="75" spans="1:19" x14ac:dyDescent="0.35">
      <c r="A75" s="4" t="s">
        <v>216</v>
      </c>
      <c r="B75" s="5">
        <v>45688</v>
      </c>
      <c r="C75" s="4" t="s">
        <v>217</v>
      </c>
      <c r="D75" s="4" t="s">
        <v>20</v>
      </c>
      <c r="E75" s="4" t="s">
        <v>87</v>
      </c>
      <c r="F75" s="4" t="s">
        <v>124</v>
      </c>
      <c r="G75" s="4" t="s">
        <v>23</v>
      </c>
      <c r="H75" s="4" t="s">
        <v>71</v>
      </c>
      <c r="I75" s="4">
        <v>6</v>
      </c>
      <c r="J75" s="6">
        <v>126.8</v>
      </c>
      <c r="K75" s="7">
        <v>0</v>
      </c>
      <c r="L75" s="6">
        <f t="shared" si="4"/>
        <v>760.8</v>
      </c>
      <c r="M75" s="6">
        <v>51.26</v>
      </c>
      <c r="N75" s="8">
        <f t="shared" si="5"/>
        <v>453.23999999999995</v>
      </c>
      <c r="O75" s="4" t="s">
        <v>40</v>
      </c>
      <c r="P75" s="4" t="s">
        <v>97</v>
      </c>
      <c r="Q75" s="4">
        <v>5</v>
      </c>
      <c r="R75" s="21">
        <f t="shared" si="6"/>
        <v>0.59574132492113563</v>
      </c>
      <c r="S75" t="str">
        <f t="shared" si="7"/>
        <v>Medium</v>
      </c>
    </row>
    <row r="76" spans="1:19" x14ac:dyDescent="0.35">
      <c r="A76" s="4" t="s">
        <v>218</v>
      </c>
      <c r="B76" s="5">
        <v>45688</v>
      </c>
      <c r="C76" s="4" t="s">
        <v>219</v>
      </c>
      <c r="D76" s="4" t="s">
        <v>20</v>
      </c>
      <c r="E76" s="4" t="s">
        <v>21</v>
      </c>
      <c r="F76" s="4" t="s">
        <v>81</v>
      </c>
      <c r="G76" s="4" t="s">
        <v>31</v>
      </c>
      <c r="H76" s="4" t="s">
        <v>147</v>
      </c>
      <c r="I76" s="4">
        <v>2</v>
      </c>
      <c r="J76" s="6">
        <v>36.909999999999997</v>
      </c>
      <c r="K76" s="7">
        <v>0.05</v>
      </c>
      <c r="L76" s="6">
        <f t="shared" si="4"/>
        <v>70.128999999999991</v>
      </c>
      <c r="M76" s="6">
        <v>25.34</v>
      </c>
      <c r="N76" s="8">
        <f t="shared" si="5"/>
        <v>19.448999999999991</v>
      </c>
      <c r="O76" s="4" t="s">
        <v>51</v>
      </c>
      <c r="P76" s="4" t="s">
        <v>61</v>
      </c>
      <c r="Q76" s="4">
        <v>5</v>
      </c>
      <c r="R76" s="21">
        <f t="shared" si="6"/>
        <v>0.27733177430164402</v>
      </c>
      <c r="S76" t="str">
        <f t="shared" si="7"/>
        <v>Small</v>
      </c>
    </row>
    <row r="77" spans="1:19" x14ac:dyDescent="0.35">
      <c r="A77" s="4" t="s">
        <v>220</v>
      </c>
      <c r="B77" s="5">
        <v>45688</v>
      </c>
      <c r="C77" s="4" t="s">
        <v>221</v>
      </c>
      <c r="D77" s="4" t="s">
        <v>20</v>
      </c>
      <c r="E77" s="4" t="s">
        <v>21</v>
      </c>
      <c r="F77" s="4" t="s">
        <v>59</v>
      </c>
      <c r="G77" s="4" t="s">
        <v>38</v>
      </c>
      <c r="H77" s="4" t="s">
        <v>39</v>
      </c>
      <c r="I77" s="4">
        <v>1</v>
      </c>
      <c r="J77" s="6">
        <v>416.96</v>
      </c>
      <c r="K77" s="7">
        <v>0</v>
      </c>
      <c r="L77" s="6">
        <f t="shared" si="4"/>
        <v>416.96</v>
      </c>
      <c r="M77" s="6">
        <v>371.8</v>
      </c>
      <c r="N77" s="8">
        <f t="shared" si="5"/>
        <v>45.159999999999968</v>
      </c>
      <c r="O77" s="4" t="s">
        <v>84</v>
      </c>
      <c r="P77" s="4" t="s">
        <v>118</v>
      </c>
      <c r="Q77" s="4">
        <v>5</v>
      </c>
      <c r="R77" s="21">
        <f t="shared" si="6"/>
        <v>0.10830775134305441</v>
      </c>
      <c r="S77" t="str">
        <f t="shared" si="7"/>
        <v>Small</v>
      </c>
    </row>
    <row r="78" spans="1:19" x14ac:dyDescent="0.35">
      <c r="A78" s="4" t="s">
        <v>222</v>
      </c>
      <c r="B78" s="5">
        <v>45689</v>
      </c>
      <c r="C78" s="4" t="s">
        <v>223</v>
      </c>
      <c r="D78" s="4" t="s">
        <v>20</v>
      </c>
      <c r="E78" s="4" t="s">
        <v>36</v>
      </c>
      <c r="F78" s="4" t="s">
        <v>48</v>
      </c>
      <c r="G78" s="4" t="s">
        <v>23</v>
      </c>
      <c r="H78" s="4" t="s">
        <v>71</v>
      </c>
      <c r="I78" s="4">
        <v>3</v>
      </c>
      <c r="J78" s="6">
        <v>193.04</v>
      </c>
      <c r="K78" s="7">
        <v>0.1</v>
      </c>
      <c r="L78" s="6">
        <f t="shared" si="4"/>
        <v>521.20799999999997</v>
      </c>
      <c r="M78" s="6">
        <v>113.38</v>
      </c>
      <c r="N78" s="8">
        <f t="shared" si="5"/>
        <v>181.06799999999998</v>
      </c>
      <c r="O78" s="4" t="s">
        <v>84</v>
      </c>
      <c r="P78" s="4" t="s">
        <v>61</v>
      </c>
      <c r="Q78" s="4">
        <v>3</v>
      </c>
      <c r="R78" s="21">
        <f t="shared" si="6"/>
        <v>0.34740065386563518</v>
      </c>
      <c r="S78" t="str">
        <f t="shared" si="7"/>
        <v>Medium</v>
      </c>
    </row>
    <row r="79" spans="1:19" x14ac:dyDescent="0.35">
      <c r="A79" s="4" t="s">
        <v>224</v>
      </c>
      <c r="B79" s="5">
        <v>45689</v>
      </c>
      <c r="C79" s="4" t="s">
        <v>225</v>
      </c>
      <c r="D79" s="4" t="s">
        <v>43</v>
      </c>
      <c r="E79" s="4" t="s">
        <v>21</v>
      </c>
      <c r="F79" s="4" t="s">
        <v>22</v>
      </c>
      <c r="G79" s="4" t="s">
        <v>23</v>
      </c>
      <c r="H79" s="4" t="s">
        <v>71</v>
      </c>
      <c r="I79" s="4">
        <v>1</v>
      </c>
      <c r="J79" s="6">
        <v>192.44</v>
      </c>
      <c r="K79" s="7">
        <v>0.1</v>
      </c>
      <c r="L79" s="6">
        <f t="shared" si="4"/>
        <v>173.196</v>
      </c>
      <c r="M79" s="6">
        <v>97.97</v>
      </c>
      <c r="N79" s="8">
        <f t="shared" si="5"/>
        <v>75.225999999999999</v>
      </c>
      <c r="O79" s="4" t="s">
        <v>84</v>
      </c>
      <c r="P79" s="4" t="s">
        <v>97</v>
      </c>
      <c r="Q79" s="4">
        <v>4</v>
      </c>
      <c r="R79" s="21">
        <f t="shared" si="6"/>
        <v>0.43434028499503452</v>
      </c>
      <c r="S79" t="str">
        <f t="shared" si="7"/>
        <v>Small</v>
      </c>
    </row>
    <row r="80" spans="1:19" x14ac:dyDescent="0.35">
      <c r="A80" s="4" t="s">
        <v>226</v>
      </c>
      <c r="B80" s="5">
        <v>45689</v>
      </c>
      <c r="C80" s="4" t="s">
        <v>227</v>
      </c>
      <c r="D80" s="4" t="s">
        <v>43</v>
      </c>
      <c r="E80" s="4" t="s">
        <v>29</v>
      </c>
      <c r="F80" s="4" t="s">
        <v>54</v>
      </c>
      <c r="G80" s="4" t="s">
        <v>38</v>
      </c>
      <c r="H80" s="4" t="s">
        <v>39</v>
      </c>
      <c r="I80" s="4">
        <v>5</v>
      </c>
      <c r="J80" s="6">
        <v>187.18</v>
      </c>
      <c r="K80" s="7">
        <v>0.1</v>
      </c>
      <c r="L80" s="6">
        <f t="shared" si="4"/>
        <v>842.31000000000006</v>
      </c>
      <c r="M80" s="6">
        <v>141.6</v>
      </c>
      <c r="N80" s="8">
        <f t="shared" si="5"/>
        <v>134.31000000000006</v>
      </c>
      <c r="O80" s="4" t="s">
        <v>60</v>
      </c>
      <c r="P80" s="4" t="s">
        <v>75</v>
      </c>
      <c r="Q80" s="4">
        <v>3</v>
      </c>
      <c r="R80" s="21">
        <f t="shared" si="6"/>
        <v>0.15945435765929414</v>
      </c>
      <c r="S80" t="str">
        <f t="shared" si="7"/>
        <v>Medium</v>
      </c>
    </row>
    <row r="81" spans="1:19" x14ac:dyDescent="0.35">
      <c r="A81" s="4" t="s">
        <v>228</v>
      </c>
      <c r="B81" s="5">
        <v>45690</v>
      </c>
      <c r="C81" s="4" t="s">
        <v>229</v>
      </c>
      <c r="D81" s="4" t="s">
        <v>43</v>
      </c>
      <c r="E81" s="4" t="s">
        <v>36</v>
      </c>
      <c r="F81" s="4" t="s">
        <v>37</v>
      </c>
      <c r="G81" s="4" t="s">
        <v>23</v>
      </c>
      <c r="H81" s="4" t="s">
        <v>44</v>
      </c>
      <c r="I81" s="4">
        <v>2</v>
      </c>
      <c r="J81" s="6">
        <v>64.48</v>
      </c>
      <c r="K81" s="7">
        <v>0.2</v>
      </c>
      <c r="L81" s="6">
        <f t="shared" si="4"/>
        <v>103.16800000000001</v>
      </c>
      <c r="M81" s="6">
        <v>32.130000000000003</v>
      </c>
      <c r="N81" s="8">
        <f t="shared" si="5"/>
        <v>38.908000000000001</v>
      </c>
      <c r="O81" s="4" t="s">
        <v>84</v>
      </c>
      <c r="P81" s="4" t="s">
        <v>118</v>
      </c>
      <c r="Q81" s="4">
        <v>4</v>
      </c>
      <c r="R81" s="21">
        <f t="shared" si="6"/>
        <v>0.37713244416873448</v>
      </c>
      <c r="S81" t="str">
        <f t="shared" si="7"/>
        <v>Small</v>
      </c>
    </row>
    <row r="82" spans="1:19" x14ac:dyDescent="0.35">
      <c r="A82" s="4" t="s">
        <v>230</v>
      </c>
      <c r="B82" s="5">
        <v>45690</v>
      </c>
      <c r="C82" s="4" t="s">
        <v>231</v>
      </c>
      <c r="D82" s="4" t="s">
        <v>20</v>
      </c>
      <c r="E82" s="4" t="s">
        <v>87</v>
      </c>
      <c r="F82" s="4" t="s">
        <v>88</v>
      </c>
      <c r="G82" s="4" t="s">
        <v>38</v>
      </c>
      <c r="H82" s="4" t="s">
        <v>109</v>
      </c>
      <c r="I82" s="4">
        <v>1</v>
      </c>
      <c r="J82" s="6">
        <v>673.18</v>
      </c>
      <c r="K82" s="7">
        <v>0</v>
      </c>
      <c r="L82" s="6">
        <f t="shared" si="4"/>
        <v>673.18</v>
      </c>
      <c r="M82" s="6">
        <v>578.85</v>
      </c>
      <c r="N82" s="8">
        <f t="shared" si="5"/>
        <v>94.329999999999927</v>
      </c>
      <c r="O82" s="4" t="s">
        <v>40</v>
      </c>
      <c r="P82" s="4" t="s">
        <v>72</v>
      </c>
      <c r="Q82" s="4">
        <v>5</v>
      </c>
      <c r="R82" s="21">
        <f t="shared" si="6"/>
        <v>0.14012596928013299</v>
      </c>
      <c r="S82" t="str">
        <f t="shared" si="7"/>
        <v>Medium</v>
      </c>
    </row>
    <row r="83" spans="1:19" x14ac:dyDescent="0.35">
      <c r="A83" s="4" t="s">
        <v>232</v>
      </c>
      <c r="B83" s="5">
        <v>45690</v>
      </c>
      <c r="C83" s="4" t="s">
        <v>233</v>
      </c>
      <c r="D83" s="4" t="s">
        <v>43</v>
      </c>
      <c r="E83" s="4" t="s">
        <v>87</v>
      </c>
      <c r="F83" s="4" t="s">
        <v>88</v>
      </c>
      <c r="G83" s="4" t="s">
        <v>49</v>
      </c>
      <c r="H83" s="4" t="s">
        <v>78</v>
      </c>
      <c r="I83" s="4">
        <v>2</v>
      </c>
      <c r="J83" s="6">
        <v>756.94</v>
      </c>
      <c r="K83" s="7">
        <v>0.05</v>
      </c>
      <c r="L83" s="6">
        <f t="shared" si="4"/>
        <v>1438.1860000000001</v>
      </c>
      <c r="M83" s="6">
        <v>458.53</v>
      </c>
      <c r="N83" s="8">
        <f t="shared" si="5"/>
        <v>521.1260000000002</v>
      </c>
      <c r="O83" s="4" t="s">
        <v>40</v>
      </c>
      <c r="P83" s="4" t="s">
        <v>75</v>
      </c>
      <c r="Q83" s="4">
        <v>2</v>
      </c>
      <c r="R83" s="21">
        <f t="shared" si="6"/>
        <v>0.36234951529218068</v>
      </c>
      <c r="S83" t="str">
        <f t="shared" si="7"/>
        <v>Medium</v>
      </c>
    </row>
    <row r="84" spans="1:19" x14ac:dyDescent="0.35">
      <c r="A84" s="4" t="s">
        <v>234</v>
      </c>
      <c r="B84" s="5">
        <v>45691</v>
      </c>
      <c r="C84" s="4" t="s">
        <v>235</v>
      </c>
      <c r="D84" s="4" t="s">
        <v>20</v>
      </c>
      <c r="E84" s="4" t="s">
        <v>36</v>
      </c>
      <c r="F84" s="4" t="s">
        <v>48</v>
      </c>
      <c r="G84" s="4" t="s">
        <v>67</v>
      </c>
      <c r="H84" s="4" t="s">
        <v>68</v>
      </c>
      <c r="I84" s="4">
        <v>1</v>
      </c>
      <c r="J84" s="6">
        <v>1170.02</v>
      </c>
      <c r="K84" s="7">
        <v>0.05</v>
      </c>
      <c r="L84" s="6">
        <f t="shared" si="4"/>
        <v>1111.519</v>
      </c>
      <c r="M84" s="6">
        <v>885.67</v>
      </c>
      <c r="N84" s="8">
        <f t="shared" si="5"/>
        <v>225.84900000000005</v>
      </c>
      <c r="O84" s="4" t="s">
        <v>40</v>
      </c>
      <c r="P84" s="4" t="s">
        <v>33</v>
      </c>
      <c r="Q84" s="4">
        <v>4</v>
      </c>
      <c r="R84" s="21">
        <f t="shared" si="6"/>
        <v>0.20318950913119799</v>
      </c>
      <c r="S84" t="str">
        <f t="shared" si="7"/>
        <v>Medium</v>
      </c>
    </row>
    <row r="85" spans="1:19" x14ac:dyDescent="0.35">
      <c r="A85" s="4" t="s">
        <v>236</v>
      </c>
      <c r="B85" s="5">
        <v>45691</v>
      </c>
      <c r="C85" s="4" t="s">
        <v>237</v>
      </c>
      <c r="D85" s="4" t="s">
        <v>20</v>
      </c>
      <c r="E85" s="4" t="s">
        <v>36</v>
      </c>
      <c r="F85" s="4" t="s">
        <v>201</v>
      </c>
      <c r="G85" s="4" t="s">
        <v>31</v>
      </c>
      <c r="H85" s="4" t="s">
        <v>32</v>
      </c>
      <c r="I85" s="4">
        <v>2</v>
      </c>
      <c r="J85" s="6">
        <v>114.2</v>
      </c>
      <c r="K85" s="7">
        <v>0.05</v>
      </c>
      <c r="L85" s="6">
        <f t="shared" si="4"/>
        <v>216.98</v>
      </c>
      <c r="M85" s="6">
        <v>79.61</v>
      </c>
      <c r="N85" s="8">
        <f t="shared" si="5"/>
        <v>57.759999999999991</v>
      </c>
      <c r="O85" s="4" t="s">
        <v>84</v>
      </c>
      <c r="P85" s="4" t="s">
        <v>118</v>
      </c>
      <c r="Q85" s="4">
        <v>4</v>
      </c>
      <c r="R85" s="21">
        <f t="shared" si="6"/>
        <v>0.26619964973730292</v>
      </c>
      <c r="S85" t="str">
        <f t="shared" si="7"/>
        <v>Small</v>
      </c>
    </row>
    <row r="86" spans="1:19" x14ac:dyDescent="0.35">
      <c r="A86" s="4" t="s">
        <v>238</v>
      </c>
      <c r="B86" s="5">
        <v>45692</v>
      </c>
      <c r="C86" s="4" t="s">
        <v>137</v>
      </c>
      <c r="D86" s="4" t="s">
        <v>20</v>
      </c>
      <c r="E86" s="4" t="s">
        <v>21</v>
      </c>
      <c r="F86" s="4" t="s">
        <v>22</v>
      </c>
      <c r="G86" s="4" t="s">
        <v>38</v>
      </c>
      <c r="H86" s="4" t="s">
        <v>39</v>
      </c>
      <c r="I86" s="4">
        <v>10</v>
      </c>
      <c r="J86" s="6">
        <v>246.63</v>
      </c>
      <c r="K86" s="7">
        <v>0</v>
      </c>
      <c r="L86" s="6">
        <f t="shared" si="4"/>
        <v>2466.3000000000002</v>
      </c>
      <c r="M86" s="6">
        <v>201.63</v>
      </c>
      <c r="N86" s="8">
        <f t="shared" si="5"/>
        <v>450.00000000000023</v>
      </c>
      <c r="O86" s="4" t="s">
        <v>25</v>
      </c>
      <c r="P86" s="4" t="s">
        <v>61</v>
      </c>
      <c r="Q86" s="4">
        <v>3</v>
      </c>
      <c r="R86" s="21">
        <f t="shared" si="6"/>
        <v>0.18245955479868636</v>
      </c>
      <c r="S86" t="str">
        <f t="shared" si="7"/>
        <v>Large</v>
      </c>
    </row>
    <row r="87" spans="1:19" x14ac:dyDescent="0.35">
      <c r="A87" s="4" t="s">
        <v>239</v>
      </c>
      <c r="B87" s="5">
        <v>45692</v>
      </c>
      <c r="C87" s="4" t="s">
        <v>46</v>
      </c>
      <c r="D87" s="4" t="s">
        <v>47</v>
      </c>
      <c r="E87" s="4" t="s">
        <v>36</v>
      </c>
      <c r="F87" s="4" t="s">
        <v>201</v>
      </c>
      <c r="G87" s="4" t="s">
        <v>23</v>
      </c>
      <c r="H87" s="4" t="s">
        <v>135</v>
      </c>
      <c r="I87" s="4">
        <v>2</v>
      </c>
      <c r="J87" s="6">
        <v>9.2200000000000006</v>
      </c>
      <c r="K87" s="7">
        <v>0</v>
      </c>
      <c r="L87" s="6">
        <f t="shared" si="4"/>
        <v>18.440000000000001</v>
      </c>
      <c r="M87" s="6">
        <v>5.68</v>
      </c>
      <c r="N87" s="8">
        <f t="shared" si="5"/>
        <v>7.0800000000000018</v>
      </c>
      <c r="O87" s="4" t="s">
        <v>25</v>
      </c>
      <c r="P87" s="4" t="s">
        <v>118</v>
      </c>
      <c r="Q87" s="4">
        <v>3</v>
      </c>
      <c r="R87" s="21">
        <f t="shared" si="6"/>
        <v>0.38394793926247295</v>
      </c>
      <c r="S87" t="str">
        <f t="shared" si="7"/>
        <v>Small</v>
      </c>
    </row>
    <row r="88" spans="1:19" x14ac:dyDescent="0.35">
      <c r="A88" s="4" t="s">
        <v>240</v>
      </c>
      <c r="B88" s="5">
        <v>45693</v>
      </c>
      <c r="C88" s="4" t="s">
        <v>241</v>
      </c>
      <c r="D88" s="4" t="s">
        <v>43</v>
      </c>
      <c r="E88" s="4" t="s">
        <v>29</v>
      </c>
      <c r="F88" s="4" t="s">
        <v>108</v>
      </c>
      <c r="G88" s="4" t="s">
        <v>49</v>
      </c>
      <c r="H88" s="4" t="s">
        <v>78</v>
      </c>
      <c r="I88" s="4">
        <v>3</v>
      </c>
      <c r="J88" s="6">
        <v>535.91999999999996</v>
      </c>
      <c r="K88" s="7">
        <v>0.05</v>
      </c>
      <c r="L88" s="6">
        <f t="shared" si="4"/>
        <v>1527.3719999999996</v>
      </c>
      <c r="M88" s="6">
        <v>347.56</v>
      </c>
      <c r="N88" s="8">
        <f t="shared" si="5"/>
        <v>484.69199999999955</v>
      </c>
      <c r="O88" s="4" t="s">
        <v>25</v>
      </c>
      <c r="P88" s="4" t="s">
        <v>56</v>
      </c>
      <c r="Q88" s="4">
        <v>5</v>
      </c>
      <c r="R88" s="21">
        <f t="shared" si="6"/>
        <v>0.31733723022289245</v>
      </c>
      <c r="S88" t="str">
        <f t="shared" si="7"/>
        <v>Medium</v>
      </c>
    </row>
    <row r="89" spans="1:19" x14ac:dyDescent="0.35">
      <c r="A89" s="4" t="s">
        <v>242</v>
      </c>
      <c r="B89" s="5">
        <v>45693</v>
      </c>
      <c r="C89" s="4" t="s">
        <v>243</v>
      </c>
      <c r="D89" s="4" t="s">
        <v>20</v>
      </c>
      <c r="E89" s="4" t="s">
        <v>87</v>
      </c>
      <c r="F89" s="4" t="s">
        <v>124</v>
      </c>
      <c r="G89" s="4" t="s">
        <v>23</v>
      </c>
      <c r="H89" s="4" t="s">
        <v>135</v>
      </c>
      <c r="I89" s="4">
        <v>1</v>
      </c>
      <c r="J89" s="6">
        <v>24.12</v>
      </c>
      <c r="K89" s="7">
        <v>0.05</v>
      </c>
      <c r="L89" s="6">
        <f t="shared" si="4"/>
        <v>22.914000000000001</v>
      </c>
      <c r="M89" s="6">
        <v>14.08</v>
      </c>
      <c r="N89" s="8">
        <f t="shared" si="5"/>
        <v>8.8340000000000014</v>
      </c>
      <c r="O89" s="4" t="s">
        <v>51</v>
      </c>
      <c r="P89" s="4" t="s">
        <v>97</v>
      </c>
      <c r="Q89" s="4">
        <v>3</v>
      </c>
      <c r="R89" s="21">
        <f t="shared" si="6"/>
        <v>0.3855284978615694</v>
      </c>
      <c r="S89" t="str">
        <f t="shared" si="7"/>
        <v>Small</v>
      </c>
    </row>
    <row r="90" spans="1:19" x14ac:dyDescent="0.35">
      <c r="A90" s="4" t="s">
        <v>244</v>
      </c>
      <c r="B90" s="5">
        <v>45693</v>
      </c>
      <c r="C90" s="4" t="s">
        <v>245</v>
      </c>
      <c r="D90" s="4" t="s">
        <v>20</v>
      </c>
      <c r="E90" s="4" t="s">
        <v>87</v>
      </c>
      <c r="F90" s="4" t="s">
        <v>88</v>
      </c>
      <c r="G90" s="4" t="s">
        <v>31</v>
      </c>
      <c r="H90" s="4" t="s">
        <v>147</v>
      </c>
      <c r="I90" s="4">
        <v>2</v>
      </c>
      <c r="J90" s="6">
        <v>79.39</v>
      </c>
      <c r="K90" s="7">
        <v>0.05</v>
      </c>
      <c r="L90" s="6">
        <f t="shared" si="4"/>
        <v>150.84100000000001</v>
      </c>
      <c r="M90" s="6">
        <v>48.42</v>
      </c>
      <c r="N90" s="8">
        <f t="shared" si="5"/>
        <v>54.001000000000005</v>
      </c>
      <c r="O90" s="4" t="s">
        <v>84</v>
      </c>
      <c r="P90" s="4" t="s">
        <v>97</v>
      </c>
      <c r="Q90" s="4">
        <v>4</v>
      </c>
      <c r="R90" s="21">
        <f t="shared" si="6"/>
        <v>0.35799948289921174</v>
      </c>
      <c r="S90" t="str">
        <f t="shared" si="7"/>
        <v>Small</v>
      </c>
    </row>
    <row r="91" spans="1:19" x14ac:dyDescent="0.35">
      <c r="A91" s="4" t="s">
        <v>246</v>
      </c>
      <c r="B91" s="5">
        <v>45693</v>
      </c>
      <c r="C91" s="4" t="s">
        <v>247</v>
      </c>
      <c r="D91" s="4" t="s">
        <v>20</v>
      </c>
      <c r="E91" s="4" t="s">
        <v>21</v>
      </c>
      <c r="F91" s="4" t="s">
        <v>59</v>
      </c>
      <c r="G91" s="4" t="s">
        <v>23</v>
      </c>
      <c r="H91" s="4" t="s">
        <v>44</v>
      </c>
      <c r="I91" s="4">
        <v>1</v>
      </c>
      <c r="J91" s="6">
        <v>144.74</v>
      </c>
      <c r="K91" s="7">
        <v>0</v>
      </c>
      <c r="L91" s="6">
        <f t="shared" si="4"/>
        <v>144.74</v>
      </c>
      <c r="M91" s="6">
        <v>67.45</v>
      </c>
      <c r="N91" s="8">
        <f t="shared" si="5"/>
        <v>77.290000000000006</v>
      </c>
      <c r="O91" s="4" t="s">
        <v>40</v>
      </c>
      <c r="P91" s="4" t="s">
        <v>97</v>
      </c>
      <c r="Q91" s="4">
        <v>3</v>
      </c>
      <c r="R91" s="21">
        <f t="shared" si="6"/>
        <v>0.53399198562940442</v>
      </c>
      <c r="S91" t="str">
        <f t="shared" si="7"/>
        <v>Small</v>
      </c>
    </row>
    <row r="92" spans="1:19" x14ac:dyDescent="0.35">
      <c r="A92" s="4" t="s">
        <v>248</v>
      </c>
      <c r="B92" s="5">
        <v>45693</v>
      </c>
      <c r="C92" s="4" t="s">
        <v>249</v>
      </c>
      <c r="D92" s="4" t="s">
        <v>20</v>
      </c>
      <c r="E92" s="4" t="s">
        <v>36</v>
      </c>
      <c r="F92" s="4" t="s">
        <v>37</v>
      </c>
      <c r="G92" s="4" t="s">
        <v>38</v>
      </c>
      <c r="H92" s="4" t="s">
        <v>39</v>
      </c>
      <c r="I92" s="4">
        <v>2</v>
      </c>
      <c r="J92" s="6">
        <v>206.66</v>
      </c>
      <c r="K92" s="7">
        <v>0.2</v>
      </c>
      <c r="L92" s="6">
        <f t="shared" si="4"/>
        <v>330.65600000000001</v>
      </c>
      <c r="M92" s="6">
        <v>175.01</v>
      </c>
      <c r="N92" s="8">
        <f t="shared" si="5"/>
        <v>-19.363999999999976</v>
      </c>
      <c r="O92" s="4" t="s">
        <v>25</v>
      </c>
      <c r="P92" s="4" t="s">
        <v>72</v>
      </c>
      <c r="Q92" s="4">
        <v>5</v>
      </c>
      <c r="R92" s="21">
        <f t="shared" si="6"/>
        <v>-5.8562372979773465E-2</v>
      </c>
      <c r="S92" t="str">
        <f t="shared" si="7"/>
        <v>Small</v>
      </c>
    </row>
    <row r="93" spans="1:19" x14ac:dyDescent="0.35">
      <c r="A93" s="4" t="s">
        <v>250</v>
      </c>
      <c r="B93" s="5">
        <v>45693</v>
      </c>
      <c r="C93" s="4" t="s">
        <v>77</v>
      </c>
      <c r="D93" s="4" t="s">
        <v>43</v>
      </c>
      <c r="E93" s="4" t="s">
        <v>29</v>
      </c>
      <c r="F93" s="4" t="s">
        <v>30</v>
      </c>
      <c r="G93" s="4" t="s">
        <v>49</v>
      </c>
      <c r="H93" s="4" t="s">
        <v>78</v>
      </c>
      <c r="I93" s="4">
        <v>2</v>
      </c>
      <c r="J93" s="6">
        <v>608.19000000000005</v>
      </c>
      <c r="K93" s="7">
        <v>0.05</v>
      </c>
      <c r="L93" s="6">
        <f t="shared" si="4"/>
        <v>1155.5610000000001</v>
      </c>
      <c r="M93" s="6">
        <v>372.18</v>
      </c>
      <c r="N93" s="8">
        <f t="shared" si="5"/>
        <v>411.20100000000014</v>
      </c>
      <c r="O93" s="4" t="s">
        <v>25</v>
      </c>
      <c r="P93" s="4" t="s">
        <v>56</v>
      </c>
      <c r="Q93" s="4">
        <v>4</v>
      </c>
      <c r="R93" s="21">
        <f t="shared" si="6"/>
        <v>0.35584534265175105</v>
      </c>
      <c r="S93" t="str">
        <f t="shared" si="7"/>
        <v>Medium</v>
      </c>
    </row>
    <row r="94" spans="1:19" x14ac:dyDescent="0.35">
      <c r="A94" s="4" t="s">
        <v>251</v>
      </c>
      <c r="B94" s="5">
        <v>45693</v>
      </c>
      <c r="C94" s="4" t="s">
        <v>189</v>
      </c>
      <c r="D94" s="4" t="s">
        <v>43</v>
      </c>
      <c r="E94" s="4" t="s">
        <v>87</v>
      </c>
      <c r="F94" s="4" t="s">
        <v>92</v>
      </c>
      <c r="G94" s="4" t="s">
        <v>23</v>
      </c>
      <c r="H94" s="4" t="s">
        <v>44</v>
      </c>
      <c r="I94" s="4">
        <v>1</v>
      </c>
      <c r="J94" s="6">
        <v>138.21</v>
      </c>
      <c r="K94" s="7">
        <v>0.2</v>
      </c>
      <c r="L94" s="6">
        <f t="shared" si="4"/>
        <v>110.56800000000001</v>
      </c>
      <c r="M94" s="6">
        <v>56.85</v>
      </c>
      <c r="N94" s="8">
        <f t="shared" si="5"/>
        <v>53.718000000000011</v>
      </c>
      <c r="O94" s="4" t="s">
        <v>40</v>
      </c>
      <c r="P94" s="4" t="s">
        <v>33</v>
      </c>
      <c r="Q94" s="4">
        <v>5</v>
      </c>
      <c r="R94" s="21">
        <f t="shared" si="6"/>
        <v>0.48583677013240723</v>
      </c>
      <c r="S94" t="str">
        <f t="shared" si="7"/>
        <v>Small</v>
      </c>
    </row>
    <row r="95" spans="1:19" x14ac:dyDescent="0.35">
      <c r="A95" s="4" t="s">
        <v>252</v>
      </c>
      <c r="B95" s="5">
        <v>45693</v>
      </c>
      <c r="C95" s="4" t="s">
        <v>70</v>
      </c>
      <c r="D95" s="4" t="s">
        <v>47</v>
      </c>
      <c r="E95" s="4" t="s">
        <v>36</v>
      </c>
      <c r="F95" s="4" t="s">
        <v>48</v>
      </c>
      <c r="G95" s="4" t="s">
        <v>38</v>
      </c>
      <c r="H95" s="4" t="s">
        <v>39</v>
      </c>
      <c r="I95" s="4">
        <v>1</v>
      </c>
      <c r="J95" s="6">
        <v>180.32</v>
      </c>
      <c r="K95" s="7">
        <v>0.1</v>
      </c>
      <c r="L95" s="6">
        <f t="shared" si="4"/>
        <v>162.28800000000001</v>
      </c>
      <c r="M95" s="6">
        <v>147.09</v>
      </c>
      <c r="N95" s="8">
        <f t="shared" si="5"/>
        <v>15.198000000000008</v>
      </c>
      <c r="O95" s="4" t="s">
        <v>60</v>
      </c>
      <c r="P95" s="4" t="s">
        <v>72</v>
      </c>
      <c r="Q95" s="4">
        <v>4</v>
      </c>
      <c r="R95" s="21">
        <f t="shared" si="6"/>
        <v>9.3648328896776142E-2</v>
      </c>
      <c r="S95" t="str">
        <f t="shared" si="7"/>
        <v>Small</v>
      </c>
    </row>
    <row r="96" spans="1:19" x14ac:dyDescent="0.35">
      <c r="A96" s="4" t="s">
        <v>253</v>
      </c>
      <c r="B96" s="5">
        <v>45694</v>
      </c>
      <c r="C96" s="4" t="s">
        <v>254</v>
      </c>
      <c r="D96" s="4" t="s">
        <v>43</v>
      </c>
      <c r="E96" s="4" t="s">
        <v>87</v>
      </c>
      <c r="F96" s="4" t="s">
        <v>88</v>
      </c>
      <c r="G96" s="4" t="s">
        <v>38</v>
      </c>
      <c r="H96" s="4" t="s">
        <v>96</v>
      </c>
      <c r="I96" s="4">
        <v>8</v>
      </c>
      <c r="J96" s="6">
        <v>331.66</v>
      </c>
      <c r="K96" s="7">
        <v>0.2</v>
      </c>
      <c r="L96" s="6">
        <f t="shared" si="4"/>
        <v>2122.6240000000003</v>
      </c>
      <c r="M96" s="6">
        <v>274.99</v>
      </c>
      <c r="N96" s="8">
        <f t="shared" si="5"/>
        <v>-77.295999999999822</v>
      </c>
      <c r="O96" s="4" t="s">
        <v>40</v>
      </c>
      <c r="P96" s="4" t="s">
        <v>26</v>
      </c>
      <c r="Q96" s="4">
        <v>4</v>
      </c>
      <c r="R96" s="21">
        <f t="shared" si="6"/>
        <v>-3.6415304830247755E-2</v>
      </c>
      <c r="S96" t="str">
        <f t="shared" si="7"/>
        <v>Large</v>
      </c>
    </row>
    <row r="97" spans="1:19" x14ac:dyDescent="0.35">
      <c r="A97" s="4" t="s">
        <v>255</v>
      </c>
      <c r="B97" s="5">
        <v>45694</v>
      </c>
      <c r="C97" s="4" t="s">
        <v>256</v>
      </c>
      <c r="D97" s="4" t="s">
        <v>47</v>
      </c>
      <c r="E97" s="4" t="s">
        <v>21</v>
      </c>
      <c r="F97" s="4" t="s">
        <v>59</v>
      </c>
      <c r="G97" s="4" t="s">
        <v>31</v>
      </c>
      <c r="H97" s="4" t="s">
        <v>64</v>
      </c>
      <c r="I97" s="4">
        <v>3</v>
      </c>
      <c r="J97" s="6">
        <v>107.45</v>
      </c>
      <c r="K97" s="7">
        <v>0.05</v>
      </c>
      <c r="L97" s="6">
        <f t="shared" si="4"/>
        <v>306.23250000000002</v>
      </c>
      <c r="M97" s="6">
        <v>66.709999999999994</v>
      </c>
      <c r="N97" s="8">
        <f t="shared" si="5"/>
        <v>106.10250000000002</v>
      </c>
      <c r="O97" s="4" t="s">
        <v>84</v>
      </c>
      <c r="P97" s="4" t="s">
        <v>97</v>
      </c>
      <c r="Q97" s="4">
        <v>5</v>
      </c>
      <c r="R97" s="21">
        <f t="shared" si="6"/>
        <v>0.34647694153951658</v>
      </c>
      <c r="S97" t="str">
        <f t="shared" si="7"/>
        <v>Small</v>
      </c>
    </row>
    <row r="98" spans="1:19" x14ac:dyDescent="0.35">
      <c r="A98" s="4" t="s">
        <v>257</v>
      </c>
      <c r="B98" s="5">
        <v>45694</v>
      </c>
      <c r="C98" s="4" t="s">
        <v>258</v>
      </c>
      <c r="D98" s="4" t="s">
        <v>47</v>
      </c>
      <c r="E98" s="4" t="s">
        <v>29</v>
      </c>
      <c r="F98" s="4" t="s">
        <v>54</v>
      </c>
      <c r="G98" s="4" t="s">
        <v>38</v>
      </c>
      <c r="H98" s="4" t="s">
        <v>89</v>
      </c>
      <c r="I98" s="4">
        <v>8</v>
      </c>
      <c r="J98" s="6">
        <v>1397.88</v>
      </c>
      <c r="K98" s="7">
        <v>0.2</v>
      </c>
      <c r="L98" s="6">
        <f t="shared" si="4"/>
        <v>8946.4320000000007</v>
      </c>
      <c r="M98" s="6">
        <v>1174.8499999999999</v>
      </c>
      <c r="N98" s="8">
        <f t="shared" si="5"/>
        <v>-452.36799999999857</v>
      </c>
      <c r="O98" s="4" t="s">
        <v>60</v>
      </c>
      <c r="P98" s="4" t="s">
        <v>33</v>
      </c>
      <c r="Q98" s="4">
        <v>4</v>
      </c>
      <c r="R98" s="21">
        <f t="shared" si="6"/>
        <v>-5.0564068446504545E-2</v>
      </c>
      <c r="S98" t="str">
        <f t="shared" si="7"/>
        <v>Large</v>
      </c>
    </row>
    <row r="99" spans="1:19" x14ac:dyDescent="0.35">
      <c r="A99" s="4" t="s">
        <v>259</v>
      </c>
      <c r="B99" s="5">
        <v>45694</v>
      </c>
      <c r="C99" s="4" t="s">
        <v>260</v>
      </c>
      <c r="D99" s="4" t="s">
        <v>47</v>
      </c>
      <c r="E99" s="4" t="s">
        <v>29</v>
      </c>
      <c r="F99" s="4" t="s">
        <v>54</v>
      </c>
      <c r="G99" s="4" t="s">
        <v>38</v>
      </c>
      <c r="H99" s="4" t="s">
        <v>55</v>
      </c>
      <c r="I99" s="4">
        <v>5</v>
      </c>
      <c r="J99" s="6">
        <v>106.83</v>
      </c>
      <c r="K99" s="7">
        <v>0.05</v>
      </c>
      <c r="L99" s="6">
        <f t="shared" si="4"/>
        <v>507.44249999999994</v>
      </c>
      <c r="M99" s="6">
        <v>80.3</v>
      </c>
      <c r="N99" s="8">
        <f t="shared" si="5"/>
        <v>105.94249999999994</v>
      </c>
      <c r="O99" s="4" t="s">
        <v>25</v>
      </c>
      <c r="P99" s="4" t="s">
        <v>61</v>
      </c>
      <c r="Q99" s="4">
        <v>5</v>
      </c>
      <c r="R99" s="21">
        <f t="shared" si="6"/>
        <v>0.20877734915778626</v>
      </c>
      <c r="S99" t="str">
        <f t="shared" si="7"/>
        <v>Medium</v>
      </c>
    </row>
    <row r="100" spans="1:19" x14ac:dyDescent="0.35">
      <c r="A100" s="4" t="s">
        <v>261</v>
      </c>
      <c r="B100" s="5">
        <v>45695</v>
      </c>
      <c r="C100" s="4" t="s">
        <v>262</v>
      </c>
      <c r="D100" s="4" t="s">
        <v>20</v>
      </c>
      <c r="E100" s="4" t="s">
        <v>36</v>
      </c>
      <c r="F100" s="4" t="s">
        <v>37</v>
      </c>
      <c r="G100" s="4" t="s">
        <v>23</v>
      </c>
      <c r="H100" s="4" t="s">
        <v>24</v>
      </c>
      <c r="I100" s="4">
        <v>3</v>
      </c>
      <c r="J100" s="6">
        <v>25.92</v>
      </c>
      <c r="K100" s="7">
        <v>0</v>
      </c>
      <c r="L100" s="6">
        <f t="shared" si="4"/>
        <v>77.760000000000005</v>
      </c>
      <c r="M100" s="6">
        <v>14.66</v>
      </c>
      <c r="N100" s="8">
        <f t="shared" si="5"/>
        <v>33.78</v>
      </c>
      <c r="O100" s="4" t="s">
        <v>40</v>
      </c>
      <c r="P100" s="4" t="s">
        <v>97</v>
      </c>
      <c r="Q100" s="4">
        <v>4</v>
      </c>
      <c r="R100" s="21">
        <f t="shared" si="6"/>
        <v>0.43441358024691357</v>
      </c>
      <c r="S100" t="str">
        <f t="shared" si="7"/>
        <v>Small</v>
      </c>
    </row>
    <row r="101" spans="1:19" x14ac:dyDescent="0.35">
      <c r="A101" s="4" t="s">
        <v>263</v>
      </c>
      <c r="B101" s="5">
        <v>45695</v>
      </c>
      <c r="C101" s="4" t="s">
        <v>264</v>
      </c>
      <c r="D101" s="4" t="s">
        <v>43</v>
      </c>
      <c r="E101" s="4" t="s">
        <v>36</v>
      </c>
      <c r="F101" s="4" t="s">
        <v>48</v>
      </c>
      <c r="G101" s="4" t="s">
        <v>38</v>
      </c>
      <c r="H101" s="4" t="s">
        <v>89</v>
      </c>
      <c r="I101" s="4">
        <v>1</v>
      </c>
      <c r="J101" s="6">
        <v>788.59</v>
      </c>
      <c r="K101" s="7">
        <v>0</v>
      </c>
      <c r="L101" s="6">
        <f t="shared" si="4"/>
        <v>788.59</v>
      </c>
      <c r="M101" s="6">
        <v>693.1</v>
      </c>
      <c r="N101" s="8">
        <f t="shared" si="5"/>
        <v>95.490000000000009</v>
      </c>
      <c r="O101" s="4" t="s">
        <v>25</v>
      </c>
      <c r="P101" s="4" t="s">
        <v>33</v>
      </c>
      <c r="Q101" s="4">
        <v>4</v>
      </c>
      <c r="R101" s="21">
        <f t="shared" si="6"/>
        <v>0.1210895395579452</v>
      </c>
      <c r="S101" t="str">
        <f t="shared" si="7"/>
        <v>Medium</v>
      </c>
    </row>
    <row r="102" spans="1:19" x14ac:dyDescent="0.35">
      <c r="A102" s="4" t="s">
        <v>265</v>
      </c>
      <c r="B102" s="5">
        <v>45695</v>
      </c>
      <c r="C102" s="4" t="s">
        <v>266</v>
      </c>
      <c r="D102" s="4" t="s">
        <v>20</v>
      </c>
      <c r="E102" s="4" t="s">
        <v>21</v>
      </c>
      <c r="F102" s="4" t="s">
        <v>59</v>
      </c>
      <c r="G102" s="4" t="s">
        <v>23</v>
      </c>
      <c r="H102" s="4" t="s">
        <v>71</v>
      </c>
      <c r="I102" s="4">
        <v>1</v>
      </c>
      <c r="J102" s="6">
        <v>159.38999999999999</v>
      </c>
      <c r="K102" s="7">
        <v>0</v>
      </c>
      <c r="L102" s="6">
        <f t="shared" si="4"/>
        <v>159.38999999999999</v>
      </c>
      <c r="M102" s="6">
        <v>76</v>
      </c>
      <c r="N102" s="8">
        <f t="shared" si="5"/>
        <v>83.389999999999986</v>
      </c>
      <c r="O102" s="4" t="s">
        <v>51</v>
      </c>
      <c r="P102" s="4" t="s">
        <v>33</v>
      </c>
      <c r="Q102" s="4">
        <v>4</v>
      </c>
      <c r="R102" s="21">
        <f t="shared" si="6"/>
        <v>0.52318213187778406</v>
      </c>
      <c r="S102" t="str">
        <f t="shared" si="7"/>
        <v>Small</v>
      </c>
    </row>
    <row r="103" spans="1:19" x14ac:dyDescent="0.35">
      <c r="A103" s="4" t="s">
        <v>267</v>
      </c>
      <c r="B103" s="5">
        <v>45695</v>
      </c>
      <c r="C103" s="4" t="s">
        <v>268</v>
      </c>
      <c r="D103" s="4" t="s">
        <v>43</v>
      </c>
      <c r="E103" s="4" t="s">
        <v>87</v>
      </c>
      <c r="F103" s="4" t="s">
        <v>92</v>
      </c>
      <c r="G103" s="4" t="s">
        <v>23</v>
      </c>
      <c r="H103" s="4" t="s">
        <v>71</v>
      </c>
      <c r="I103" s="4">
        <v>1</v>
      </c>
      <c r="J103" s="6">
        <v>109.32</v>
      </c>
      <c r="K103" s="7">
        <v>0.1</v>
      </c>
      <c r="L103" s="6">
        <f t="shared" si="4"/>
        <v>98.387999999999991</v>
      </c>
      <c r="M103" s="6">
        <v>65.02</v>
      </c>
      <c r="N103" s="8">
        <f t="shared" si="5"/>
        <v>33.367999999999995</v>
      </c>
      <c r="O103" s="4" t="s">
        <v>40</v>
      </c>
      <c r="P103" s="4" t="s">
        <v>26</v>
      </c>
      <c r="Q103" s="4">
        <v>5</v>
      </c>
      <c r="R103" s="21">
        <f t="shared" si="6"/>
        <v>0.33914705045330729</v>
      </c>
      <c r="S103" t="str">
        <f t="shared" si="7"/>
        <v>Small</v>
      </c>
    </row>
    <row r="104" spans="1:19" x14ac:dyDescent="0.35">
      <c r="A104" s="4" t="s">
        <v>269</v>
      </c>
      <c r="B104" s="5">
        <v>45696</v>
      </c>
      <c r="C104" s="4" t="s">
        <v>270</v>
      </c>
      <c r="D104" s="4" t="s">
        <v>20</v>
      </c>
      <c r="E104" s="4" t="s">
        <v>21</v>
      </c>
      <c r="F104" s="4" t="s">
        <v>59</v>
      </c>
      <c r="G104" s="4" t="s">
        <v>31</v>
      </c>
      <c r="H104" s="4" t="s">
        <v>125</v>
      </c>
      <c r="I104" s="4">
        <v>2</v>
      </c>
      <c r="J104" s="6">
        <v>159.52000000000001</v>
      </c>
      <c r="K104" s="7">
        <v>0.1</v>
      </c>
      <c r="L104" s="6">
        <f t="shared" si="4"/>
        <v>287.13600000000002</v>
      </c>
      <c r="M104" s="6">
        <v>97.93</v>
      </c>
      <c r="N104" s="8">
        <f t="shared" si="5"/>
        <v>91.27600000000001</v>
      </c>
      <c r="O104" s="4" t="s">
        <v>60</v>
      </c>
      <c r="P104" s="4" t="s">
        <v>75</v>
      </c>
      <c r="Q104" s="4">
        <v>5</v>
      </c>
      <c r="R104" s="21">
        <f t="shared" si="6"/>
        <v>0.31788420818009583</v>
      </c>
      <c r="S104" t="str">
        <f t="shared" si="7"/>
        <v>Small</v>
      </c>
    </row>
    <row r="105" spans="1:19" x14ac:dyDescent="0.35">
      <c r="A105" s="4" t="s">
        <v>271</v>
      </c>
      <c r="B105" s="5">
        <v>45696</v>
      </c>
      <c r="C105" s="4" t="s">
        <v>272</v>
      </c>
      <c r="D105" s="4" t="s">
        <v>20</v>
      </c>
      <c r="E105" s="4" t="s">
        <v>36</v>
      </c>
      <c r="F105" s="4" t="s">
        <v>37</v>
      </c>
      <c r="G105" s="4" t="s">
        <v>49</v>
      </c>
      <c r="H105" s="4" t="s">
        <v>128</v>
      </c>
      <c r="I105" s="4">
        <v>2</v>
      </c>
      <c r="J105" s="6">
        <v>96.59</v>
      </c>
      <c r="K105" s="7">
        <v>0.1</v>
      </c>
      <c r="L105" s="6">
        <f t="shared" si="4"/>
        <v>173.86200000000002</v>
      </c>
      <c r="M105" s="6">
        <v>69.55</v>
      </c>
      <c r="N105" s="8">
        <f t="shared" si="5"/>
        <v>34.762000000000029</v>
      </c>
      <c r="O105" s="4" t="s">
        <v>40</v>
      </c>
      <c r="P105" s="4" t="s">
        <v>56</v>
      </c>
      <c r="Q105" s="4">
        <v>5</v>
      </c>
      <c r="R105" s="21">
        <f t="shared" si="6"/>
        <v>0.19994018244354733</v>
      </c>
      <c r="S105" t="str">
        <f t="shared" si="7"/>
        <v>Small</v>
      </c>
    </row>
    <row r="106" spans="1:19" x14ac:dyDescent="0.35">
      <c r="A106" s="4" t="s">
        <v>273</v>
      </c>
      <c r="B106" s="5">
        <v>45696</v>
      </c>
      <c r="C106" s="4" t="s">
        <v>274</v>
      </c>
      <c r="D106" s="4" t="s">
        <v>20</v>
      </c>
      <c r="E106" s="4" t="s">
        <v>29</v>
      </c>
      <c r="F106" s="4" t="s">
        <v>108</v>
      </c>
      <c r="G106" s="4" t="s">
        <v>23</v>
      </c>
      <c r="H106" s="4" t="s">
        <v>135</v>
      </c>
      <c r="I106" s="4">
        <v>1</v>
      </c>
      <c r="J106" s="6">
        <v>20.239999999999998</v>
      </c>
      <c r="K106" s="7">
        <v>0.05</v>
      </c>
      <c r="L106" s="6">
        <f t="shared" si="4"/>
        <v>19.227999999999998</v>
      </c>
      <c r="M106" s="6">
        <v>10.56</v>
      </c>
      <c r="N106" s="8">
        <f t="shared" si="5"/>
        <v>8.6679999999999975</v>
      </c>
      <c r="O106" s="4" t="s">
        <v>60</v>
      </c>
      <c r="P106" s="4" t="s">
        <v>97</v>
      </c>
      <c r="Q106" s="4">
        <v>3</v>
      </c>
      <c r="R106" s="21">
        <f t="shared" si="6"/>
        <v>0.45080091533180772</v>
      </c>
      <c r="S106" t="str">
        <f t="shared" si="7"/>
        <v>Small</v>
      </c>
    </row>
    <row r="107" spans="1:19" x14ac:dyDescent="0.35">
      <c r="A107" s="4" t="s">
        <v>275</v>
      </c>
      <c r="B107" s="5">
        <v>45696</v>
      </c>
      <c r="C107" s="4" t="s">
        <v>276</v>
      </c>
      <c r="D107" s="4" t="s">
        <v>43</v>
      </c>
      <c r="E107" s="4" t="s">
        <v>36</v>
      </c>
      <c r="F107" s="4" t="s">
        <v>37</v>
      </c>
      <c r="G107" s="4" t="s">
        <v>38</v>
      </c>
      <c r="H107" s="4" t="s">
        <v>109</v>
      </c>
      <c r="I107" s="4">
        <v>1</v>
      </c>
      <c r="J107" s="6">
        <v>762.65</v>
      </c>
      <c r="K107" s="7">
        <v>0.2</v>
      </c>
      <c r="L107" s="6">
        <f t="shared" si="4"/>
        <v>610.12</v>
      </c>
      <c r="M107" s="6">
        <v>681.2</v>
      </c>
      <c r="N107" s="8">
        <f t="shared" si="5"/>
        <v>-71.080000000000041</v>
      </c>
      <c r="O107" s="4" t="s">
        <v>60</v>
      </c>
      <c r="P107" s="4" t="s">
        <v>33</v>
      </c>
      <c r="Q107" s="4">
        <v>4</v>
      </c>
      <c r="R107" s="21">
        <f t="shared" si="6"/>
        <v>-0.11650167180226847</v>
      </c>
      <c r="S107" t="str">
        <f t="shared" si="7"/>
        <v>Medium</v>
      </c>
    </row>
    <row r="108" spans="1:19" x14ac:dyDescent="0.35">
      <c r="A108" s="4" t="s">
        <v>277</v>
      </c>
      <c r="B108" s="5">
        <v>45697</v>
      </c>
      <c r="C108" s="4" t="s">
        <v>278</v>
      </c>
      <c r="D108" s="4" t="s">
        <v>20</v>
      </c>
      <c r="E108" s="4" t="s">
        <v>29</v>
      </c>
      <c r="F108" s="4" t="s">
        <v>30</v>
      </c>
      <c r="G108" s="4" t="s">
        <v>31</v>
      </c>
      <c r="H108" s="4" t="s">
        <v>32</v>
      </c>
      <c r="I108" s="4">
        <v>2</v>
      </c>
      <c r="J108" s="6">
        <v>193.57</v>
      </c>
      <c r="K108" s="7">
        <v>0.1</v>
      </c>
      <c r="L108" s="6">
        <f t="shared" si="4"/>
        <v>348.42599999999999</v>
      </c>
      <c r="M108" s="6">
        <v>110.67</v>
      </c>
      <c r="N108" s="8">
        <f t="shared" si="5"/>
        <v>127.08599999999998</v>
      </c>
      <c r="O108" s="4" t="s">
        <v>84</v>
      </c>
      <c r="P108" s="4" t="s">
        <v>118</v>
      </c>
      <c r="Q108" s="4">
        <v>2</v>
      </c>
      <c r="R108" s="21">
        <f t="shared" si="6"/>
        <v>0.36474315923610751</v>
      </c>
      <c r="S108" t="str">
        <f t="shared" si="7"/>
        <v>Small</v>
      </c>
    </row>
    <row r="109" spans="1:19" x14ac:dyDescent="0.35">
      <c r="A109" s="4" t="s">
        <v>279</v>
      </c>
      <c r="B109" s="5">
        <v>45698</v>
      </c>
      <c r="C109" s="4" t="s">
        <v>280</v>
      </c>
      <c r="D109" s="4" t="s">
        <v>20</v>
      </c>
      <c r="E109" s="4" t="s">
        <v>87</v>
      </c>
      <c r="F109" s="4" t="s">
        <v>88</v>
      </c>
      <c r="G109" s="4" t="s">
        <v>49</v>
      </c>
      <c r="H109" s="4" t="s">
        <v>187</v>
      </c>
      <c r="I109" s="4">
        <v>4</v>
      </c>
      <c r="J109" s="6">
        <v>109.33</v>
      </c>
      <c r="K109" s="7">
        <v>0.2</v>
      </c>
      <c r="L109" s="6">
        <f t="shared" si="4"/>
        <v>349.85599999999999</v>
      </c>
      <c r="M109" s="6">
        <v>66.08</v>
      </c>
      <c r="N109" s="8">
        <f t="shared" si="5"/>
        <v>85.536000000000001</v>
      </c>
      <c r="O109" s="4" t="s">
        <v>51</v>
      </c>
      <c r="P109" s="4" t="s">
        <v>97</v>
      </c>
      <c r="Q109" s="4">
        <v>4</v>
      </c>
      <c r="R109" s="21">
        <f t="shared" si="6"/>
        <v>0.24448916125491632</v>
      </c>
      <c r="S109" t="str">
        <f t="shared" si="7"/>
        <v>Small</v>
      </c>
    </row>
    <row r="110" spans="1:19" x14ac:dyDescent="0.35">
      <c r="A110" s="4" t="s">
        <v>281</v>
      </c>
      <c r="B110" s="5">
        <v>45698</v>
      </c>
      <c r="C110" s="4" t="s">
        <v>278</v>
      </c>
      <c r="D110" s="4" t="s">
        <v>43</v>
      </c>
      <c r="E110" s="4" t="s">
        <v>87</v>
      </c>
      <c r="F110" s="4" t="s">
        <v>124</v>
      </c>
      <c r="G110" s="4" t="s">
        <v>31</v>
      </c>
      <c r="H110" s="4" t="s">
        <v>125</v>
      </c>
      <c r="I110" s="4">
        <v>4</v>
      </c>
      <c r="J110" s="6">
        <v>108.31</v>
      </c>
      <c r="K110" s="7">
        <v>0</v>
      </c>
      <c r="L110" s="6">
        <f t="shared" si="4"/>
        <v>433.24</v>
      </c>
      <c r="M110" s="6">
        <v>77.87</v>
      </c>
      <c r="N110" s="8">
        <f t="shared" si="5"/>
        <v>121.75999999999999</v>
      </c>
      <c r="O110" s="4" t="s">
        <v>51</v>
      </c>
      <c r="P110" s="4" t="s">
        <v>75</v>
      </c>
      <c r="Q110" s="4">
        <v>3</v>
      </c>
      <c r="R110" s="21">
        <f t="shared" si="6"/>
        <v>0.28104514818576304</v>
      </c>
      <c r="S110" t="str">
        <f t="shared" si="7"/>
        <v>Small</v>
      </c>
    </row>
    <row r="111" spans="1:19" x14ac:dyDescent="0.35">
      <c r="A111" s="4" t="s">
        <v>282</v>
      </c>
      <c r="B111" s="5">
        <v>45698</v>
      </c>
      <c r="C111" s="4" t="s">
        <v>283</v>
      </c>
      <c r="D111" s="4" t="s">
        <v>20</v>
      </c>
      <c r="E111" s="4" t="s">
        <v>21</v>
      </c>
      <c r="F111" s="4" t="s">
        <v>22</v>
      </c>
      <c r="G111" s="4" t="s">
        <v>38</v>
      </c>
      <c r="H111" s="4" t="s">
        <v>39</v>
      </c>
      <c r="I111" s="4">
        <v>4</v>
      </c>
      <c r="J111" s="6">
        <v>92.42</v>
      </c>
      <c r="K111" s="7">
        <v>0.05</v>
      </c>
      <c r="L111" s="6">
        <f t="shared" si="4"/>
        <v>351.19599999999997</v>
      </c>
      <c r="M111" s="6">
        <v>74.89</v>
      </c>
      <c r="N111" s="8">
        <f t="shared" si="5"/>
        <v>51.635999999999967</v>
      </c>
      <c r="O111" s="4" t="s">
        <v>84</v>
      </c>
      <c r="P111" s="4" t="s">
        <v>75</v>
      </c>
      <c r="Q111" s="4">
        <v>3</v>
      </c>
      <c r="R111" s="21">
        <f t="shared" si="6"/>
        <v>0.14702900944202091</v>
      </c>
      <c r="S111" t="str">
        <f t="shared" si="7"/>
        <v>Small</v>
      </c>
    </row>
    <row r="112" spans="1:19" x14ac:dyDescent="0.35">
      <c r="A112" s="4" t="s">
        <v>284</v>
      </c>
      <c r="B112" s="5">
        <v>45699</v>
      </c>
      <c r="C112" s="4" t="s">
        <v>285</v>
      </c>
      <c r="D112" s="4" t="s">
        <v>47</v>
      </c>
      <c r="E112" s="4" t="s">
        <v>36</v>
      </c>
      <c r="F112" s="4" t="s">
        <v>37</v>
      </c>
      <c r="G112" s="4" t="s">
        <v>49</v>
      </c>
      <c r="H112" s="4" t="s">
        <v>128</v>
      </c>
      <c r="I112" s="4">
        <v>3</v>
      </c>
      <c r="J112" s="6">
        <v>126.97</v>
      </c>
      <c r="K112" s="7">
        <v>0.1</v>
      </c>
      <c r="L112" s="6">
        <f t="shared" si="4"/>
        <v>342.81899999999996</v>
      </c>
      <c r="M112" s="6">
        <v>76.650000000000006</v>
      </c>
      <c r="N112" s="8">
        <f t="shared" si="5"/>
        <v>112.86899999999994</v>
      </c>
      <c r="O112" s="4" t="s">
        <v>25</v>
      </c>
      <c r="P112" s="4" t="s">
        <v>61</v>
      </c>
      <c r="Q112" s="4">
        <v>5</v>
      </c>
      <c r="R112" s="21">
        <f t="shared" si="6"/>
        <v>0.32923787771389557</v>
      </c>
      <c r="S112" t="str">
        <f t="shared" si="7"/>
        <v>Small</v>
      </c>
    </row>
    <row r="113" spans="1:19" x14ac:dyDescent="0.35">
      <c r="A113" s="4" t="s">
        <v>286</v>
      </c>
      <c r="B113" s="5">
        <v>45699</v>
      </c>
      <c r="C113" s="4" t="s">
        <v>287</v>
      </c>
      <c r="D113" s="4" t="s">
        <v>43</v>
      </c>
      <c r="E113" s="4" t="s">
        <v>87</v>
      </c>
      <c r="F113" s="4" t="s">
        <v>124</v>
      </c>
      <c r="G113" s="4" t="s">
        <v>23</v>
      </c>
      <c r="H113" s="4" t="s">
        <v>44</v>
      </c>
      <c r="I113" s="4">
        <v>3</v>
      </c>
      <c r="J113" s="6">
        <v>76.06</v>
      </c>
      <c r="K113" s="7">
        <v>0.05</v>
      </c>
      <c r="L113" s="6">
        <f t="shared" si="4"/>
        <v>216.77099999999999</v>
      </c>
      <c r="M113" s="6">
        <v>48.28</v>
      </c>
      <c r="N113" s="8">
        <f t="shared" si="5"/>
        <v>71.930999999999983</v>
      </c>
      <c r="O113" s="4" t="s">
        <v>40</v>
      </c>
      <c r="P113" s="4" t="s">
        <v>118</v>
      </c>
      <c r="Q113" s="4">
        <v>4</v>
      </c>
      <c r="R113" s="21">
        <f t="shared" si="6"/>
        <v>0.33182944213017418</v>
      </c>
      <c r="S113" t="str">
        <f t="shared" si="7"/>
        <v>Small</v>
      </c>
    </row>
    <row r="114" spans="1:19" x14ac:dyDescent="0.35">
      <c r="A114" s="4" t="s">
        <v>288</v>
      </c>
      <c r="B114" s="5">
        <v>45699</v>
      </c>
      <c r="C114" s="4" t="s">
        <v>289</v>
      </c>
      <c r="D114" s="4" t="s">
        <v>47</v>
      </c>
      <c r="E114" s="4" t="s">
        <v>29</v>
      </c>
      <c r="F114" s="4" t="s">
        <v>54</v>
      </c>
      <c r="G114" s="4" t="s">
        <v>23</v>
      </c>
      <c r="H114" s="4" t="s">
        <v>71</v>
      </c>
      <c r="I114" s="4">
        <v>5</v>
      </c>
      <c r="J114" s="6">
        <v>110.88</v>
      </c>
      <c r="K114" s="7">
        <v>0</v>
      </c>
      <c r="L114" s="6">
        <f t="shared" si="4"/>
        <v>554.4</v>
      </c>
      <c r="M114" s="6">
        <v>51.16</v>
      </c>
      <c r="N114" s="8">
        <f t="shared" si="5"/>
        <v>298.60000000000002</v>
      </c>
      <c r="O114" s="4" t="s">
        <v>40</v>
      </c>
      <c r="P114" s="4" t="s">
        <v>75</v>
      </c>
      <c r="Q114" s="4">
        <v>4</v>
      </c>
      <c r="R114" s="21">
        <f t="shared" si="6"/>
        <v>0.53860028860028863</v>
      </c>
      <c r="S114" t="str">
        <f t="shared" si="7"/>
        <v>Medium</v>
      </c>
    </row>
    <row r="115" spans="1:19" x14ac:dyDescent="0.35">
      <c r="A115" s="4" t="s">
        <v>290</v>
      </c>
      <c r="B115" s="5">
        <v>45699</v>
      </c>
      <c r="C115" s="4" t="s">
        <v>291</v>
      </c>
      <c r="D115" s="4" t="s">
        <v>47</v>
      </c>
      <c r="E115" s="4" t="s">
        <v>36</v>
      </c>
      <c r="F115" s="4" t="s">
        <v>37</v>
      </c>
      <c r="G115" s="4" t="s">
        <v>49</v>
      </c>
      <c r="H115" s="4" t="s">
        <v>128</v>
      </c>
      <c r="I115" s="4">
        <v>1</v>
      </c>
      <c r="J115" s="6">
        <v>73.55</v>
      </c>
      <c r="K115" s="7">
        <v>0.05</v>
      </c>
      <c r="L115" s="6">
        <f t="shared" si="4"/>
        <v>69.872499999999988</v>
      </c>
      <c r="M115" s="6">
        <v>51.41</v>
      </c>
      <c r="N115" s="8">
        <f t="shared" si="5"/>
        <v>18.462499999999991</v>
      </c>
      <c r="O115" s="4" t="s">
        <v>51</v>
      </c>
      <c r="P115" s="4" t="s">
        <v>72</v>
      </c>
      <c r="Q115" s="4">
        <v>2</v>
      </c>
      <c r="R115" s="21">
        <f t="shared" si="6"/>
        <v>0.26423127839994265</v>
      </c>
      <c r="S115" t="str">
        <f t="shared" si="7"/>
        <v>Small</v>
      </c>
    </row>
    <row r="116" spans="1:19" x14ac:dyDescent="0.35">
      <c r="A116" s="4" t="s">
        <v>292</v>
      </c>
      <c r="B116" s="5">
        <v>45699</v>
      </c>
      <c r="C116" s="4" t="s">
        <v>113</v>
      </c>
      <c r="D116" s="4" t="s">
        <v>47</v>
      </c>
      <c r="E116" s="4" t="s">
        <v>87</v>
      </c>
      <c r="F116" s="4" t="s">
        <v>92</v>
      </c>
      <c r="G116" s="4" t="s">
        <v>67</v>
      </c>
      <c r="H116" s="4" t="s">
        <v>121</v>
      </c>
      <c r="I116" s="4">
        <v>1</v>
      </c>
      <c r="J116" s="6">
        <v>403.24</v>
      </c>
      <c r="K116" s="7">
        <v>0.15</v>
      </c>
      <c r="L116" s="6">
        <f t="shared" si="4"/>
        <v>342.75400000000002</v>
      </c>
      <c r="M116" s="6">
        <v>307.42</v>
      </c>
      <c r="N116" s="8">
        <f t="shared" si="5"/>
        <v>35.334000000000003</v>
      </c>
      <c r="O116" s="4" t="s">
        <v>84</v>
      </c>
      <c r="P116" s="4" t="s">
        <v>72</v>
      </c>
      <c r="Q116" s="4">
        <v>5</v>
      </c>
      <c r="R116" s="21">
        <f t="shared" si="6"/>
        <v>0.10308851246083198</v>
      </c>
      <c r="S116" t="str">
        <f t="shared" si="7"/>
        <v>Small</v>
      </c>
    </row>
    <row r="117" spans="1:19" x14ac:dyDescent="0.35">
      <c r="A117" s="4" t="s">
        <v>293</v>
      </c>
      <c r="B117" s="5">
        <v>45700</v>
      </c>
      <c r="C117" s="4" t="s">
        <v>294</v>
      </c>
      <c r="D117" s="4" t="s">
        <v>43</v>
      </c>
      <c r="E117" s="4" t="s">
        <v>87</v>
      </c>
      <c r="F117" s="4" t="s">
        <v>92</v>
      </c>
      <c r="G117" s="4" t="s">
        <v>38</v>
      </c>
      <c r="H117" s="4" t="s">
        <v>96</v>
      </c>
      <c r="I117" s="4">
        <v>6</v>
      </c>
      <c r="J117" s="6">
        <v>652.94000000000005</v>
      </c>
      <c r="K117" s="7">
        <v>0.05</v>
      </c>
      <c r="L117" s="6">
        <f t="shared" si="4"/>
        <v>3721.7580000000003</v>
      </c>
      <c r="M117" s="6">
        <v>519.52</v>
      </c>
      <c r="N117" s="8">
        <f t="shared" si="5"/>
        <v>604.63800000000037</v>
      </c>
      <c r="O117" s="4" t="s">
        <v>40</v>
      </c>
      <c r="P117" s="4" t="s">
        <v>26</v>
      </c>
      <c r="Q117" s="4">
        <v>4</v>
      </c>
      <c r="R117" s="21">
        <f t="shared" si="6"/>
        <v>0.16246032117080164</v>
      </c>
      <c r="S117" t="str">
        <f t="shared" si="7"/>
        <v>Large</v>
      </c>
    </row>
    <row r="118" spans="1:19" x14ac:dyDescent="0.35">
      <c r="A118" s="4" t="s">
        <v>295</v>
      </c>
      <c r="B118" s="5">
        <v>45701</v>
      </c>
      <c r="C118" s="4" t="s">
        <v>296</v>
      </c>
      <c r="D118" s="4" t="s">
        <v>43</v>
      </c>
      <c r="E118" s="4" t="s">
        <v>29</v>
      </c>
      <c r="F118" s="4" t="s">
        <v>54</v>
      </c>
      <c r="G118" s="4" t="s">
        <v>67</v>
      </c>
      <c r="H118" s="4" t="s">
        <v>140</v>
      </c>
      <c r="I118" s="4">
        <v>5</v>
      </c>
      <c r="J118" s="6">
        <v>128.33000000000001</v>
      </c>
      <c r="K118" s="7">
        <v>0.1</v>
      </c>
      <c r="L118" s="6">
        <f t="shared" si="4"/>
        <v>577.48500000000013</v>
      </c>
      <c r="M118" s="6">
        <v>80.010000000000005</v>
      </c>
      <c r="N118" s="8">
        <f t="shared" si="5"/>
        <v>177.43500000000012</v>
      </c>
      <c r="O118" s="4" t="s">
        <v>84</v>
      </c>
      <c r="P118" s="4" t="s">
        <v>118</v>
      </c>
      <c r="Q118" s="4">
        <v>3</v>
      </c>
      <c r="R118" s="21">
        <f t="shared" si="6"/>
        <v>0.30725473388919206</v>
      </c>
      <c r="S118" t="str">
        <f t="shared" si="7"/>
        <v>Medium</v>
      </c>
    </row>
    <row r="119" spans="1:19" x14ac:dyDescent="0.35">
      <c r="A119" s="4" t="s">
        <v>297</v>
      </c>
      <c r="B119" s="5">
        <v>45701</v>
      </c>
      <c r="C119" s="4" t="s">
        <v>80</v>
      </c>
      <c r="D119" s="4" t="s">
        <v>20</v>
      </c>
      <c r="E119" s="4" t="s">
        <v>29</v>
      </c>
      <c r="F119" s="4" t="s">
        <v>30</v>
      </c>
      <c r="G119" s="4" t="s">
        <v>38</v>
      </c>
      <c r="H119" s="4" t="s">
        <v>109</v>
      </c>
      <c r="I119" s="4">
        <v>1</v>
      </c>
      <c r="J119" s="6">
        <v>893</v>
      </c>
      <c r="K119" s="7">
        <v>0</v>
      </c>
      <c r="L119" s="6">
        <f t="shared" si="4"/>
        <v>893</v>
      </c>
      <c r="M119" s="6">
        <v>801.53</v>
      </c>
      <c r="N119" s="8">
        <f t="shared" si="5"/>
        <v>91.470000000000027</v>
      </c>
      <c r="O119" s="4" t="s">
        <v>84</v>
      </c>
      <c r="P119" s="4" t="s">
        <v>26</v>
      </c>
      <c r="Q119" s="4">
        <v>4</v>
      </c>
      <c r="R119" s="21">
        <f t="shared" si="6"/>
        <v>0.10243001119820831</v>
      </c>
      <c r="S119" t="str">
        <f t="shared" si="7"/>
        <v>Medium</v>
      </c>
    </row>
    <row r="120" spans="1:19" x14ac:dyDescent="0.35">
      <c r="A120" s="4" t="s">
        <v>298</v>
      </c>
      <c r="B120" s="5">
        <v>45701</v>
      </c>
      <c r="C120" s="4" t="s">
        <v>299</v>
      </c>
      <c r="D120" s="4" t="s">
        <v>47</v>
      </c>
      <c r="E120" s="4" t="s">
        <v>29</v>
      </c>
      <c r="F120" s="4" t="s">
        <v>30</v>
      </c>
      <c r="G120" s="4" t="s">
        <v>49</v>
      </c>
      <c r="H120" s="4" t="s">
        <v>78</v>
      </c>
      <c r="I120" s="4">
        <v>1</v>
      </c>
      <c r="J120" s="6">
        <v>317.26</v>
      </c>
      <c r="K120" s="7">
        <v>0.1</v>
      </c>
      <c r="L120" s="6">
        <f t="shared" si="4"/>
        <v>285.53399999999999</v>
      </c>
      <c r="M120" s="6">
        <v>185.81</v>
      </c>
      <c r="N120" s="8">
        <f t="shared" si="5"/>
        <v>99.72399999999999</v>
      </c>
      <c r="O120" s="4" t="s">
        <v>51</v>
      </c>
      <c r="P120" s="4" t="s">
        <v>26</v>
      </c>
      <c r="Q120" s="4">
        <v>3</v>
      </c>
      <c r="R120" s="21">
        <f t="shared" si="6"/>
        <v>0.34925437951347299</v>
      </c>
      <c r="S120" t="str">
        <f t="shared" si="7"/>
        <v>Small</v>
      </c>
    </row>
    <row r="121" spans="1:19" x14ac:dyDescent="0.35">
      <c r="A121" s="4" t="s">
        <v>300</v>
      </c>
      <c r="B121" s="5">
        <v>45701</v>
      </c>
      <c r="C121" s="4" t="s">
        <v>301</v>
      </c>
      <c r="D121" s="4" t="s">
        <v>20</v>
      </c>
      <c r="E121" s="4" t="s">
        <v>21</v>
      </c>
      <c r="F121" s="4" t="s">
        <v>59</v>
      </c>
      <c r="G121" s="4" t="s">
        <v>49</v>
      </c>
      <c r="H121" s="4" t="s">
        <v>50</v>
      </c>
      <c r="I121" s="4">
        <v>1</v>
      </c>
      <c r="J121" s="6">
        <v>31.91</v>
      </c>
      <c r="K121" s="7">
        <v>0</v>
      </c>
      <c r="L121" s="6">
        <f t="shared" si="4"/>
        <v>31.91</v>
      </c>
      <c r="M121" s="6">
        <v>18.579999999999998</v>
      </c>
      <c r="N121" s="8">
        <f t="shared" si="5"/>
        <v>13.330000000000002</v>
      </c>
      <c r="O121" s="4" t="s">
        <v>84</v>
      </c>
      <c r="P121" s="4" t="s">
        <v>56</v>
      </c>
      <c r="Q121" s="4">
        <v>5</v>
      </c>
      <c r="R121" s="21">
        <f t="shared" si="6"/>
        <v>0.41773738639924796</v>
      </c>
      <c r="S121" t="str">
        <f t="shared" si="7"/>
        <v>Small</v>
      </c>
    </row>
    <row r="122" spans="1:19" x14ac:dyDescent="0.35">
      <c r="A122" s="4" t="s">
        <v>302</v>
      </c>
      <c r="B122" s="5">
        <v>45702</v>
      </c>
      <c r="C122" s="4" t="s">
        <v>303</v>
      </c>
      <c r="D122" s="4" t="s">
        <v>43</v>
      </c>
      <c r="E122" s="4" t="s">
        <v>29</v>
      </c>
      <c r="F122" s="4" t="s">
        <v>108</v>
      </c>
      <c r="G122" s="4" t="s">
        <v>38</v>
      </c>
      <c r="H122" s="4" t="s">
        <v>39</v>
      </c>
      <c r="I122" s="4">
        <v>2</v>
      </c>
      <c r="J122" s="6">
        <v>248.72</v>
      </c>
      <c r="K122" s="7">
        <v>0</v>
      </c>
      <c r="L122" s="6">
        <f t="shared" si="4"/>
        <v>497.44</v>
      </c>
      <c r="M122" s="6">
        <v>221.59</v>
      </c>
      <c r="N122" s="8">
        <f t="shared" si="5"/>
        <v>54.259999999999991</v>
      </c>
      <c r="O122" s="4" t="s">
        <v>60</v>
      </c>
      <c r="P122" s="4" t="s">
        <v>75</v>
      </c>
      <c r="Q122" s="4">
        <v>4</v>
      </c>
      <c r="R122" s="21">
        <f t="shared" si="6"/>
        <v>0.10907848182695398</v>
      </c>
      <c r="S122" t="str">
        <f t="shared" si="7"/>
        <v>Small</v>
      </c>
    </row>
    <row r="123" spans="1:19" x14ac:dyDescent="0.35">
      <c r="A123" s="4" t="s">
        <v>304</v>
      </c>
      <c r="B123" s="5">
        <v>45702</v>
      </c>
      <c r="C123" s="4" t="s">
        <v>305</v>
      </c>
      <c r="D123" s="4" t="s">
        <v>47</v>
      </c>
      <c r="E123" s="4" t="s">
        <v>29</v>
      </c>
      <c r="F123" s="4" t="s">
        <v>54</v>
      </c>
      <c r="G123" s="4" t="s">
        <v>67</v>
      </c>
      <c r="H123" s="4" t="s">
        <v>140</v>
      </c>
      <c r="I123" s="4">
        <v>1</v>
      </c>
      <c r="J123" s="6">
        <v>63.26</v>
      </c>
      <c r="K123" s="7">
        <v>0</v>
      </c>
      <c r="L123" s="6">
        <f t="shared" si="4"/>
        <v>63.26</v>
      </c>
      <c r="M123" s="6">
        <v>40.32</v>
      </c>
      <c r="N123" s="8">
        <f t="shared" si="5"/>
        <v>22.939999999999998</v>
      </c>
      <c r="O123" s="4" t="s">
        <v>84</v>
      </c>
      <c r="P123" s="4" t="s">
        <v>33</v>
      </c>
      <c r="Q123" s="4">
        <v>5</v>
      </c>
      <c r="R123" s="21">
        <f t="shared" si="6"/>
        <v>0.36263041416376857</v>
      </c>
      <c r="S123" t="str">
        <f t="shared" si="7"/>
        <v>Small</v>
      </c>
    </row>
    <row r="124" spans="1:19" x14ac:dyDescent="0.35">
      <c r="A124" s="4" t="s">
        <v>306</v>
      </c>
      <c r="B124" s="5">
        <v>45704</v>
      </c>
      <c r="C124" s="4" t="s">
        <v>307</v>
      </c>
      <c r="D124" s="4" t="s">
        <v>20</v>
      </c>
      <c r="E124" s="4" t="s">
        <v>29</v>
      </c>
      <c r="F124" s="4" t="s">
        <v>108</v>
      </c>
      <c r="G124" s="4" t="s">
        <v>67</v>
      </c>
      <c r="H124" s="4" t="s">
        <v>68</v>
      </c>
      <c r="I124" s="4">
        <v>1</v>
      </c>
      <c r="J124" s="6">
        <v>371.12</v>
      </c>
      <c r="K124" s="7">
        <v>0.1</v>
      </c>
      <c r="L124" s="6">
        <f t="shared" si="4"/>
        <v>334.00800000000004</v>
      </c>
      <c r="M124" s="6">
        <v>225.69</v>
      </c>
      <c r="N124" s="8">
        <f t="shared" si="5"/>
        <v>108.31800000000004</v>
      </c>
      <c r="O124" s="4" t="s">
        <v>60</v>
      </c>
      <c r="P124" s="4" t="s">
        <v>75</v>
      </c>
      <c r="Q124" s="4">
        <v>2</v>
      </c>
      <c r="R124" s="21">
        <f t="shared" si="6"/>
        <v>0.32429762161385367</v>
      </c>
      <c r="S124" t="str">
        <f t="shared" si="7"/>
        <v>Small</v>
      </c>
    </row>
    <row r="125" spans="1:19" x14ac:dyDescent="0.35">
      <c r="A125" s="4" t="s">
        <v>308</v>
      </c>
      <c r="B125" s="5">
        <v>45705</v>
      </c>
      <c r="C125" s="4" t="s">
        <v>309</v>
      </c>
      <c r="D125" s="4" t="s">
        <v>20</v>
      </c>
      <c r="E125" s="4" t="s">
        <v>87</v>
      </c>
      <c r="F125" s="4" t="s">
        <v>88</v>
      </c>
      <c r="G125" s="4" t="s">
        <v>67</v>
      </c>
      <c r="H125" s="4" t="s">
        <v>68</v>
      </c>
      <c r="I125" s="4">
        <v>2</v>
      </c>
      <c r="J125" s="6">
        <v>350.5</v>
      </c>
      <c r="K125" s="7">
        <v>0.05</v>
      </c>
      <c r="L125" s="6">
        <f t="shared" si="4"/>
        <v>665.94999999999993</v>
      </c>
      <c r="M125" s="6">
        <v>279.74</v>
      </c>
      <c r="N125" s="8">
        <f t="shared" si="5"/>
        <v>106.46999999999991</v>
      </c>
      <c r="O125" s="4" t="s">
        <v>60</v>
      </c>
      <c r="P125" s="4" t="s">
        <v>75</v>
      </c>
      <c r="Q125" s="4">
        <v>3</v>
      </c>
      <c r="R125" s="21">
        <f t="shared" si="6"/>
        <v>0.15987686763270503</v>
      </c>
      <c r="S125" t="str">
        <f t="shared" si="7"/>
        <v>Medium</v>
      </c>
    </row>
    <row r="126" spans="1:19" x14ac:dyDescent="0.35">
      <c r="A126" s="4" t="s">
        <v>310</v>
      </c>
      <c r="B126" s="5">
        <v>45705</v>
      </c>
      <c r="C126" s="4" t="s">
        <v>311</v>
      </c>
      <c r="D126" s="4" t="s">
        <v>47</v>
      </c>
      <c r="E126" s="4" t="s">
        <v>36</v>
      </c>
      <c r="F126" s="4" t="s">
        <v>37</v>
      </c>
      <c r="G126" s="4" t="s">
        <v>49</v>
      </c>
      <c r="H126" s="4" t="s">
        <v>187</v>
      </c>
      <c r="I126" s="4">
        <v>3</v>
      </c>
      <c r="J126" s="6">
        <v>70.66</v>
      </c>
      <c r="K126" s="7">
        <v>0</v>
      </c>
      <c r="L126" s="6">
        <f t="shared" si="4"/>
        <v>211.98</v>
      </c>
      <c r="M126" s="6">
        <v>39.93</v>
      </c>
      <c r="N126" s="8">
        <f t="shared" si="5"/>
        <v>92.19</v>
      </c>
      <c r="O126" s="4" t="s">
        <v>84</v>
      </c>
      <c r="P126" s="4" t="s">
        <v>61</v>
      </c>
      <c r="Q126" s="4">
        <v>5</v>
      </c>
      <c r="R126" s="21">
        <f t="shared" si="6"/>
        <v>0.43489951882253042</v>
      </c>
      <c r="S126" t="str">
        <f t="shared" si="7"/>
        <v>Small</v>
      </c>
    </row>
    <row r="127" spans="1:19" x14ac:dyDescent="0.35">
      <c r="A127" s="4" t="s">
        <v>312</v>
      </c>
      <c r="B127" s="5">
        <v>45705</v>
      </c>
      <c r="C127" s="4" t="s">
        <v>313</v>
      </c>
      <c r="D127" s="4" t="s">
        <v>43</v>
      </c>
      <c r="E127" s="4" t="s">
        <v>87</v>
      </c>
      <c r="F127" s="4" t="s">
        <v>124</v>
      </c>
      <c r="G127" s="4" t="s">
        <v>31</v>
      </c>
      <c r="H127" s="4" t="s">
        <v>32</v>
      </c>
      <c r="I127" s="4">
        <v>5</v>
      </c>
      <c r="J127" s="6">
        <v>376.53</v>
      </c>
      <c r="K127" s="7">
        <v>0</v>
      </c>
      <c r="L127" s="6">
        <f t="shared" si="4"/>
        <v>1882.6499999999999</v>
      </c>
      <c r="M127" s="6">
        <v>259.86</v>
      </c>
      <c r="N127" s="8">
        <f t="shared" si="5"/>
        <v>583.34999999999968</v>
      </c>
      <c r="O127" s="4" t="s">
        <v>40</v>
      </c>
      <c r="P127" s="4" t="s">
        <v>61</v>
      </c>
      <c r="Q127" s="4">
        <v>5</v>
      </c>
      <c r="R127" s="21">
        <f t="shared" si="6"/>
        <v>0.30985578838339561</v>
      </c>
      <c r="S127" t="str">
        <f t="shared" si="7"/>
        <v>Medium</v>
      </c>
    </row>
    <row r="128" spans="1:19" x14ac:dyDescent="0.35">
      <c r="A128" s="4" t="s">
        <v>314</v>
      </c>
      <c r="B128" s="5">
        <v>45705</v>
      </c>
      <c r="C128" s="4" t="s">
        <v>315</v>
      </c>
      <c r="D128" s="4" t="s">
        <v>20</v>
      </c>
      <c r="E128" s="4" t="s">
        <v>21</v>
      </c>
      <c r="F128" s="4" t="s">
        <v>22</v>
      </c>
      <c r="G128" s="4" t="s">
        <v>31</v>
      </c>
      <c r="H128" s="4" t="s">
        <v>147</v>
      </c>
      <c r="I128" s="4">
        <v>2</v>
      </c>
      <c r="J128" s="6">
        <v>72.58</v>
      </c>
      <c r="K128" s="7">
        <v>0.15</v>
      </c>
      <c r="L128" s="6">
        <f t="shared" si="4"/>
        <v>123.386</v>
      </c>
      <c r="M128" s="6">
        <v>40.29</v>
      </c>
      <c r="N128" s="8">
        <f t="shared" si="5"/>
        <v>42.805999999999997</v>
      </c>
      <c r="O128" s="4" t="s">
        <v>51</v>
      </c>
      <c r="P128" s="4" t="s">
        <v>97</v>
      </c>
      <c r="Q128" s="4">
        <v>5</v>
      </c>
      <c r="R128" s="21">
        <f t="shared" si="6"/>
        <v>0.34692752824469553</v>
      </c>
      <c r="S128" t="str">
        <f t="shared" si="7"/>
        <v>Small</v>
      </c>
    </row>
    <row r="129" spans="1:19" x14ac:dyDescent="0.35">
      <c r="A129" s="4" t="s">
        <v>316</v>
      </c>
      <c r="B129" s="5">
        <v>45705</v>
      </c>
      <c r="C129" s="4" t="s">
        <v>317</v>
      </c>
      <c r="D129" s="4" t="s">
        <v>20</v>
      </c>
      <c r="E129" s="4" t="s">
        <v>87</v>
      </c>
      <c r="F129" s="4" t="s">
        <v>92</v>
      </c>
      <c r="G129" s="4" t="s">
        <v>67</v>
      </c>
      <c r="H129" s="4" t="s">
        <v>140</v>
      </c>
      <c r="I129" s="4">
        <v>3</v>
      </c>
      <c r="J129" s="6">
        <v>208.87</v>
      </c>
      <c r="K129" s="7">
        <v>0</v>
      </c>
      <c r="L129" s="6">
        <f t="shared" si="4"/>
        <v>626.61</v>
      </c>
      <c r="M129" s="6">
        <v>148.27000000000001</v>
      </c>
      <c r="N129" s="8">
        <f t="shared" si="5"/>
        <v>181.79999999999995</v>
      </c>
      <c r="O129" s="4" t="s">
        <v>51</v>
      </c>
      <c r="P129" s="4" t="s">
        <v>97</v>
      </c>
      <c r="Q129" s="4">
        <v>2</v>
      </c>
      <c r="R129" s="21">
        <f t="shared" si="6"/>
        <v>0.29013261837506577</v>
      </c>
      <c r="S129" t="str">
        <f t="shared" si="7"/>
        <v>Medium</v>
      </c>
    </row>
    <row r="130" spans="1:19" x14ac:dyDescent="0.35">
      <c r="A130" s="4" t="s">
        <v>318</v>
      </c>
      <c r="B130" s="5">
        <v>45705</v>
      </c>
      <c r="C130" s="4" t="s">
        <v>176</v>
      </c>
      <c r="D130" s="4" t="s">
        <v>43</v>
      </c>
      <c r="E130" s="4" t="s">
        <v>87</v>
      </c>
      <c r="F130" s="4" t="s">
        <v>92</v>
      </c>
      <c r="G130" s="4" t="s">
        <v>23</v>
      </c>
      <c r="H130" s="4" t="s">
        <v>24</v>
      </c>
      <c r="I130" s="4">
        <v>4</v>
      </c>
      <c r="J130" s="6">
        <v>71.349999999999994</v>
      </c>
      <c r="K130" s="7">
        <v>0.1</v>
      </c>
      <c r="L130" s="6">
        <f t="shared" ref="L130:L193" si="8">I130*J130*(1-K130)</f>
        <v>256.86</v>
      </c>
      <c r="M130" s="6">
        <v>44.91</v>
      </c>
      <c r="N130" s="8">
        <f t="shared" ref="N130:N193" si="9">L130-I130*M130</f>
        <v>77.220000000000027</v>
      </c>
      <c r="O130" s="4" t="s">
        <v>25</v>
      </c>
      <c r="P130" s="4" t="s">
        <v>118</v>
      </c>
      <c r="Q130" s="4">
        <v>2</v>
      </c>
      <c r="R130" s="21">
        <f t="shared" si="6"/>
        <v>0.30063069376313956</v>
      </c>
      <c r="S130" t="str">
        <f t="shared" si="7"/>
        <v>Small</v>
      </c>
    </row>
    <row r="131" spans="1:19" x14ac:dyDescent="0.35">
      <c r="A131" s="4" t="s">
        <v>319</v>
      </c>
      <c r="B131" s="5">
        <v>45706</v>
      </c>
      <c r="C131" s="4" t="s">
        <v>320</v>
      </c>
      <c r="D131" s="4" t="s">
        <v>20</v>
      </c>
      <c r="E131" s="4" t="s">
        <v>21</v>
      </c>
      <c r="F131" s="4" t="s">
        <v>22</v>
      </c>
      <c r="G131" s="4" t="s">
        <v>38</v>
      </c>
      <c r="H131" s="4" t="s">
        <v>55</v>
      </c>
      <c r="I131" s="4">
        <v>1</v>
      </c>
      <c r="J131" s="6">
        <v>150.08000000000001</v>
      </c>
      <c r="K131" s="7">
        <v>0.05</v>
      </c>
      <c r="L131" s="6">
        <f t="shared" si="8"/>
        <v>142.57599999999999</v>
      </c>
      <c r="M131" s="6">
        <v>117.93</v>
      </c>
      <c r="N131" s="8">
        <f t="shared" si="9"/>
        <v>24.645999999999987</v>
      </c>
      <c r="O131" s="4" t="s">
        <v>51</v>
      </c>
      <c r="P131" s="4" t="s">
        <v>97</v>
      </c>
      <c r="Q131" s="4">
        <v>2</v>
      </c>
      <c r="R131" s="21">
        <f t="shared" ref="R131:R194" si="10">IF(L131=0,0,N131/L131)</f>
        <v>0.17286219279542131</v>
      </c>
      <c r="S131" t="str">
        <f t="shared" ref="S131:S194" si="11">IF(L131&gt;=2000,"Large",IF(L131&gt;=500,"Medium","Small"))</f>
        <v>Small</v>
      </c>
    </row>
    <row r="132" spans="1:19" x14ac:dyDescent="0.35">
      <c r="A132" s="4" t="s">
        <v>321</v>
      </c>
      <c r="B132" s="5">
        <v>45707</v>
      </c>
      <c r="C132" s="4" t="s">
        <v>160</v>
      </c>
      <c r="D132" s="4" t="s">
        <v>47</v>
      </c>
      <c r="E132" s="4" t="s">
        <v>36</v>
      </c>
      <c r="F132" s="4" t="s">
        <v>201</v>
      </c>
      <c r="G132" s="4" t="s">
        <v>38</v>
      </c>
      <c r="H132" s="4" t="s">
        <v>39</v>
      </c>
      <c r="I132" s="4">
        <v>1</v>
      </c>
      <c r="J132" s="6">
        <v>114.43</v>
      </c>
      <c r="K132" s="7">
        <v>0.05</v>
      </c>
      <c r="L132" s="6">
        <f t="shared" si="8"/>
        <v>108.7085</v>
      </c>
      <c r="M132" s="6">
        <v>92.72</v>
      </c>
      <c r="N132" s="8">
        <f t="shared" si="9"/>
        <v>15.988500000000002</v>
      </c>
      <c r="O132" s="4" t="s">
        <v>51</v>
      </c>
      <c r="P132" s="4" t="s">
        <v>72</v>
      </c>
      <c r="Q132" s="4">
        <v>4</v>
      </c>
      <c r="R132" s="21">
        <f t="shared" si="10"/>
        <v>0.1470768155204055</v>
      </c>
      <c r="S132" t="str">
        <f t="shared" si="11"/>
        <v>Small</v>
      </c>
    </row>
    <row r="133" spans="1:19" x14ac:dyDescent="0.35">
      <c r="A133" s="4" t="s">
        <v>322</v>
      </c>
      <c r="B133" s="5">
        <v>45707</v>
      </c>
      <c r="C133" s="4" t="s">
        <v>323</v>
      </c>
      <c r="D133" s="4" t="s">
        <v>43</v>
      </c>
      <c r="E133" s="4" t="s">
        <v>36</v>
      </c>
      <c r="F133" s="4" t="s">
        <v>201</v>
      </c>
      <c r="G133" s="4" t="s">
        <v>38</v>
      </c>
      <c r="H133" s="4" t="s">
        <v>96</v>
      </c>
      <c r="I133" s="4">
        <v>1</v>
      </c>
      <c r="J133" s="6">
        <v>243.23</v>
      </c>
      <c r="K133" s="7">
        <v>0</v>
      </c>
      <c r="L133" s="6">
        <f t="shared" si="8"/>
        <v>243.23</v>
      </c>
      <c r="M133" s="6">
        <v>209.1</v>
      </c>
      <c r="N133" s="8">
        <f t="shared" si="9"/>
        <v>34.129999999999995</v>
      </c>
      <c r="O133" s="4" t="s">
        <v>25</v>
      </c>
      <c r="P133" s="4" t="s">
        <v>26</v>
      </c>
      <c r="Q133" s="4">
        <v>5</v>
      </c>
      <c r="R133" s="21">
        <f t="shared" si="10"/>
        <v>0.14031986185914566</v>
      </c>
      <c r="S133" t="str">
        <f t="shared" si="11"/>
        <v>Small</v>
      </c>
    </row>
    <row r="134" spans="1:19" x14ac:dyDescent="0.35">
      <c r="A134" s="4" t="s">
        <v>324</v>
      </c>
      <c r="B134" s="5">
        <v>45708</v>
      </c>
      <c r="C134" s="4" t="s">
        <v>325</v>
      </c>
      <c r="D134" s="4" t="s">
        <v>43</v>
      </c>
      <c r="E134" s="4" t="s">
        <v>87</v>
      </c>
      <c r="F134" s="4" t="s">
        <v>92</v>
      </c>
      <c r="G134" s="4" t="s">
        <v>67</v>
      </c>
      <c r="H134" s="4" t="s">
        <v>93</v>
      </c>
      <c r="I134" s="4">
        <v>1</v>
      </c>
      <c r="J134" s="6">
        <v>466.03</v>
      </c>
      <c r="K134" s="7">
        <v>0</v>
      </c>
      <c r="L134" s="6">
        <f t="shared" si="8"/>
        <v>466.03</v>
      </c>
      <c r="M134" s="6">
        <v>326.61</v>
      </c>
      <c r="N134" s="8">
        <f t="shared" si="9"/>
        <v>139.41999999999996</v>
      </c>
      <c r="O134" s="4" t="s">
        <v>51</v>
      </c>
      <c r="P134" s="4" t="s">
        <v>97</v>
      </c>
      <c r="Q134" s="4">
        <v>5</v>
      </c>
      <c r="R134" s="21">
        <f t="shared" si="10"/>
        <v>0.299165289788211</v>
      </c>
      <c r="S134" t="str">
        <f t="shared" si="11"/>
        <v>Small</v>
      </c>
    </row>
    <row r="135" spans="1:19" x14ac:dyDescent="0.35">
      <c r="A135" s="4" t="s">
        <v>326</v>
      </c>
      <c r="B135" s="5">
        <v>45708</v>
      </c>
      <c r="C135" s="4" t="s">
        <v>215</v>
      </c>
      <c r="D135" s="4" t="s">
        <v>43</v>
      </c>
      <c r="E135" s="4" t="s">
        <v>87</v>
      </c>
      <c r="F135" s="4" t="s">
        <v>92</v>
      </c>
      <c r="G135" s="4" t="s">
        <v>67</v>
      </c>
      <c r="H135" s="4" t="s">
        <v>140</v>
      </c>
      <c r="I135" s="4">
        <v>2</v>
      </c>
      <c r="J135" s="6">
        <v>141.82</v>
      </c>
      <c r="K135" s="7">
        <v>0.2</v>
      </c>
      <c r="L135" s="6">
        <f t="shared" si="8"/>
        <v>226.91200000000001</v>
      </c>
      <c r="M135" s="6">
        <v>90.1</v>
      </c>
      <c r="N135" s="8">
        <f t="shared" si="9"/>
        <v>46.712000000000018</v>
      </c>
      <c r="O135" s="4" t="s">
        <v>25</v>
      </c>
      <c r="P135" s="4" t="s">
        <v>61</v>
      </c>
      <c r="Q135" s="4">
        <v>5</v>
      </c>
      <c r="R135" s="21">
        <f t="shared" si="10"/>
        <v>0.20585954026230441</v>
      </c>
      <c r="S135" t="str">
        <f t="shared" si="11"/>
        <v>Small</v>
      </c>
    </row>
    <row r="136" spans="1:19" x14ac:dyDescent="0.35">
      <c r="A136" s="4" t="s">
        <v>327</v>
      </c>
      <c r="B136" s="5">
        <v>45708</v>
      </c>
      <c r="C136" s="4" t="s">
        <v>328</v>
      </c>
      <c r="D136" s="4" t="s">
        <v>43</v>
      </c>
      <c r="E136" s="4" t="s">
        <v>87</v>
      </c>
      <c r="F136" s="4" t="s">
        <v>92</v>
      </c>
      <c r="G136" s="4" t="s">
        <v>49</v>
      </c>
      <c r="H136" s="4" t="s">
        <v>78</v>
      </c>
      <c r="I136" s="4">
        <v>2</v>
      </c>
      <c r="J136" s="6">
        <v>627.66999999999996</v>
      </c>
      <c r="K136" s="7">
        <v>0.15</v>
      </c>
      <c r="L136" s="6">
        <f t="shared" si="8"/>
        <v>1067.039</v>
      </c>
      <c r="M136" s="6">
        <v>391.3</v>
      </c>
      <c r="N136" s="8">
        <f t="shared" si="9"/>
        <v>284.43899999999996</v>
      </c>
      <c r="O136" s="4" t="s">
        <v>60</v>
      </c>
      <c r="P136" s="4" t="s">
        <v>72</v>
      </c>
      <c r="Q136" s="4">
        <v>4</v>
      </c>
      <c r="R136" s="21">
        <f t="shared" si="10"/>
        <v>0.26656851342828142</v>
      </c>
      <c r="S136" t="str">
        <f t="shared" si="11"/>
        <v>Medium</v>
      </c>
    </row>
    <row r="137" spans="1:19" x14ac:dyDescent="0.35">
      <c r="A137" s="4" t="s">
        <v>329</v>
      </c>
      <c r="B137" s="5">
        <v>45709</v>
      </c>
      <c r="C137" s="4" t="s">
        <v>276</v>
      </c>
      <c r="D137" s="4" t="s">
        <v>43</v>
      </c>
      <c r="E137" s="4" t="s">
        <v>87</v>
      </c>
      <c r="F137" s="4" t="s">
        <v>92</v>
      </c>
      <c r="G137" s="4" t="s">
        <v>23</v>
      </c>
      <c r="H137" s="4" t="s">
        <v>135</v>
      </c>
      <c r="I137" s="4">
        <v>4</v>
      </c>
      <c r="J137" s="6">
        <v>33.729999999999997</v>
      </c>
      <c r="K137" s="7">
        <v>0.15</v>
      </c>
      <c r="L137" s="6">
        <f t="shared" si="8"/>
        <v>114.68199999999999</v>
      </c>
      <c r="M137" s="6">
        <v>18.03</v>
      </c>
      <c r="N137" s="8">
        <f t="shared" si="9"/>
        <v>42.561999999999983</v>
      </c>
      <c r="O137" s="4" t="s">
        <v>40</v>
      </c>
      <c r="P137" s="4" t="s">
        <v>61</v>
      </c>
      <c r="Q137" s="4">
        <v>4</v>
      </c>
      <c r="R137" s="21">
        <f t="shared" si="10"/>
        <v>0.37113060462845077</v>
      </c>
      <c r="S137" t="str">
        <f t="shared" si="11"/>
        <v>Small</v>
      </c>
    </row>
    <row r="138" spans="1:19" x14ac:dyDescent="0.35">
      <c r="A138" s="4" t="s">
        <v>330</v>
      </c>
      <c r="B138" s="5">
        <v>45709</v>
      </c>
      <c r="C138" s="4" t="s">
        <v>331</v>
      </c>
      <c r="D138" s="4" t="s">
        <v>20</v>
      </c>
      <c r="E138" s="4" t="s">
        <v>21</v>
      </c>
      <c r="F138" s="4" t="s">
        <v>81</v>
      </c>
      <c r="G138" s="4" t="s">
        <v>38</v>
      </c>
      <c r="H138" s="4" t="s">
        <v>109</v>
      </c>
      <c r="I138" s="4">
        <v>10</v>
      </c>
      <c r="J138" s="6">
        <v>872.19</v>
      </c>
      <c r="K138" s="7">
        <v>0.05</v>
      </c>
      <c r="L138" s="6">
        <f t="shared" si="8"/>
        <v>8285.8050000000003</v>
      </c>
      <c r="M138" s="6">
        <v>681.74</v>
      </c>
      <c r="N138" s="8">
        <f t="shared" si="9"/>
        <v>1468.4050000000007</v>
      </c>
      <c r="O138" s="4" t="s">
        <v>51</v>
      </c>
      <c r="P138" s="4" t="s">
        <v>97</v>
      </c>
      <c r="Q138" s="4">
        <v>4</v>
      </c>
      <c r="R138" s="21">
        <f t="shared" si="10"/>
        <v>0.17721935285708518</v>
      </c>
      <c r="S138" t="str">
        <f t="shared" si="11"/>
        <v>Large</v>
      </c>
    </row>
    <row r="139" spans="1:19" x14ac:dyDescent="0.35">
      <c r="A139" s="4" t="s">
        <v>332</v>
      </c>
      <c r="B139" s="5">
        <v>45709</v>
      </c>
      <c r="C139" s="4" t="s">
        <v>333</v>
      </c>
      <c r="D139" s="4" t="s">
        <v>47</v>
      </c>
      <c r="E139" s="4" t="s">
        <v>21</v>
      </c>
      <c r="F139" s="4" t="s">
        <v>22</v>
      </c>
      <c r="G139" s="4" t="s">
        <v>31</v>
      </c>
      <c r="H139" s="4" t="s">
        <v>64</v>
      </c>
      <c r="I139" s="4">
        <v>4</v>
      </c>
      <c r="J139" s="6">
        <v>187.34</v>
      </c>
      <c r="K139" s="7">
        <v>0.1</v>
      </c>
      <c r="L139" s="6">
        <f t="shared" si="8"/>
        <v>674.42399999999998</v>
      </c>
      <c r="M139" s="6">
        <v>110.07</v>
      </c>
      <c r="N139" s="8">
        <f t="shared" si="9"/>
        <v>234.14400000000001</v>
      </c>
      <c r="O139" s="4" t="s">
        <v>51</v>
      </c>
      <c r="P139" s="4" t="s">
        <v>75</v>
      </c>
      <c r="Q139" s="4">
        <v>4</v>
      </c>
      <c r="R139" s="21">
        <f t="shared" si="10"/>
        <v>0.34717625707270205</v>
      </c>
      <c r="S139" t="str">
        <f t="shared" si="11"/>
        <v>Medium</v>
      </c>
    </row>
    <row r="140" spans="1:19" x14ac:dyDescent="0.35">
      <c r="A140" s="4" t="s">
        <v>334</v>
      </c>
      <c r="B140" s="5">
        <v>45710</v>
      </c>
      <c r="C140" s="4" t="s">
        <v>335</v>
      </c>
      <c r="D140" s="4" t="s">
        <v>20</v>
      </c>
      <c r="E140" s="4" t="s">
        <v>29</v>
      </c>
      <c r="F140" s="4" t="s">
        <v>54</v>
      </c>
      <c r="G140" s="4" t="s">
        <v>23</v>
      </c>
      <c r="H140" s="4" t="s">
        <v>44</v>
      </c>
      <c r="I140" s="4">
        <v>1</v>
      </c>
      <c r="J140" s="6">
        <v>156.02000000000001</v>
      </c>
      <c r="K140" s="7">
        <v>0</v>
      </c>
      <c r="L140" s="6">
        <f t="shared" si="8"/>
        <v>156.02000000000001</v>
      </c>
      <c r="M140" s="6">
        <v>88.48</v>
      </c>
      <c r="N140" s="8">
        <f t="shared" si="9"/>
        <v>67.540000000000006</v>
      </c>
      <c r="O140" s="4" t="s">
        <v>51</v>
      </c>
      <c r="P140" s="4" t="s">
        <v>72</v>
      </c>
      <c r="Q140" s="4">
        <v>4</v>
      </c>
      <c r="R140" s="21">
        <f t="shared" si="10"/>
        <v>0.43289321881810028</v>
      </c>
      <c r="S140" t="str">
        <f t="shared" si="11"/>
        <v>Small</v>
      </c>
    </row>
    <row r="141" spans="1:19" x14ac:dyDescent="0.35">
      <c r="A141" s="4" t="s">
        <v>336</v>
      </c>
      <c r="B141" s="5">
        <v>45710</v>
      </c>
      <c r="C141" s="4" t="s">
        <v>337</v>
      </c>
      <c r="D141" s="4" t="s">
        <v>20</v>
      </c>
      <c r="E141" s="4" t="s">
        <v>21</v>
      </c>
      <c r="F141" s="4" t="s">
        <v>81</v>
      </c>
      <c r="G141" s="4" t="s">
        <v>67</v>
      </c>
      <c r="H141" s="4" t="s">
        <v>93</v>
      </c>
      <c r="I141" s="4">
        <v>2</v>
      </c>
      <c r="J141" s="6">
        <v>285.58</v>
      </c>
      <c r="K141" s="7">
        <v>0.2</v>
      </c>
      <c r="L141" s="6">
        <f t="shared" si="8"/>
        <v>456.928</v>
      </c>
      <c r="M141" s="6">
        <v>227.06</v>
      </c>
      <c r="N141" s="8">
        <f t="shared" si="9"/>
        <v>2.8079999999999927</v>
      </c>
      <c r="O141" s="4" t="s">
        <v>84</v>
      </c>
      <c r="P141" s="4" t="s">
        <v>118</v>
      </c>
      <c r="Q141" s="4">
        <v>3</v>
      </c>
      <c r="R141" s="21">
        <f t="shared" si="10"/>
        <v>6.145388332516267E-3</v>
      </c>
      <c r="S141" t="str">
        <f t="shared" si="11"/>
        <v>Small</v>
      </c>
    </row>
    <row r="142" spans="1:19" x14ac:dyDescent="0.35">
      <c r="A142" s="4" t="s">
        <v>338</v>
      </c>
      <c r="B142" s="5">
        <v>45710</v>
      </c>
      <c r="C142" s="4" t="s">
        <v>339</v>
      </c>
      <c r="D142" s="4" t="s">
        <v>43</v>
      </c>
      <c r="E142" s="4" t="s">
        <v>21</v>
      </c>
      <c r="F142" s="4" t="s">
        <v>81</v>
      </c>
      <c r="G142" s="4" t="s">
        <v>23</v>
      </c>
      <c r="H142" s="4" t="s">
        <v>24</v>
      </c>
      <c r="I142" s="4">
        <v>4</v>
      </c>
      <c r="J142" s="6">
        <v>58.87</v>
      </c>
      <c r="K142" s="7">
        <v>0.05</v>
      </c>
      <c r="L142" s="6">
        <f t="shared" si="8"/>
        <v>223.70599999999999</v>
      </c>
      <c r="M142" s="6">
        <v>33.14</v>
      </c>
      <c r="N142" s="8">
        <f t="shared" si="9"/>
        <v>91.145999999999987</v>
      </c>
      <c r="O142" s="4" t="s">
        <v>60</v>
      </c>
      <c r="P142" s="4" t="s">
        <v>56</v>
      </c>
      <c r="Q142" s="4">
        <v>1</v>
      </c>
      <c r="R142" s="21">
        <f t="shared" si="10"/>
        <v>0.40743654618114844</v>
      </c>
      <c r="S142" t="str">
        <f t="shared" si="11"/>
        <v>Small</v>
      </c>
    </row>
    <row r="143" spans="1:19" x14ac:dyDescent="0.35">
      <c r="A143" s="4" t="s">
        <v>340</v>
      </c>
      <c r="B143" s="5">
        <v>45710</v>
      </c>
      <c r="C143" s="4" t="s">
        <v>341</v>
      </c>
      <c r="D143" s="4" t="s">
        <v>43</v>
      </c>
      <c r="E143" s="4" t="s">
        <v>87</v>
      </c>
      <c r="F143" s="4" t="s">
        <v>124</v>
      </c>
      <c r="G143" s="4" t="s">
        <v>67</v>
      </c>
      <c r="H143" s="4" t="s">
        <v>121</v>
      </c>
      <c r="I143" s="4">
        <v>1</v>
      </c>
      <c r="J143" s="6">
        <v>330.54</v>
      </c>
      <c r="K143" s="7">
        <v>0</v>
      </c>
      <c r="L143" s="6">
        <f t="shared" si="8"/>
        <v>330.54</v>
      </c>
      <c r="M143" s="6">
        <v>253.57</v>
      </c>
      <c r="N143" s="8">
        <f t="shared" si="9"/>
        <v>76.970000000000027</v>
      </c>
      <c r="O143" s="4" t="s">
        <v>40</v>
      </c>
      <c r="P143" s="4" t="s">
        <v>72</v>
      </c>
      <c r="Q143" s="4">
        <v>5</v>
      </c>
      <c r="R143" s="21">
        <f t="shared" si="10"/>
        <v>0.23286137835057791</v>
      </c>
      <c r="S143" t="str">
        <f t="shared" si="11"/>
        <v>Small</v>
      </c>
    </row>
    <row r="144" spans="1:19" x14ac:dyDescent="0.35">
      <c r="A144" s="4" t="s">
        <v>342</v>
      </c>
      <c r="B144" s="5">
        <v>45710</v>
      </c>
      <c r="C144" s="4" t="s">
        <v>130</v>
      </c>
      <c r="D144" s="4" t="s">
        <v>43</v>
      </c>
      <c r="E144" s="4" t="s">
        <v>21</v>
      </c>
      <c r="F144" s="4" t="s">
        <v>59</v>
      </c>
      <c r="G144" s="4" t="s">
        <v>23</v>
      </c>
      <c r="H144" s="4" t="s">
        <v>24</v>
      </c>
      <c r="I144" s="4">
        <v>3</v>
      </c>
      <c r="J144" s="6">
        <v>66.63</v>
      </c>
      <c r="K144" s="7">
        <v>0</v>
      </c>
      <c r="L144" s="6">
        <f t="shared" si="8"/>
        <v>199.89</v>
      </c>
      <c r="M144" s="6">
        <v>36.11</v>
      </c>
      <c r="N144" s="8">
        <f t="shared" si="9"/>
        <v>91.559999999999988</v>
      </c>
      <c r="O144" s="4" t="s">
        <v>40</v>
      </c>
      <c r="P144" s="4" t="s">
        <v>75</v>
      </c>
      <c r="Q144" s="4">
        <v>5</v>
      </c>
      <c r="R144" s="21">
        <f t="shared" si="10"/>
        <v>0.45805192856070837</v>
      </c>
      <c r="S144" t="str">
        <f t="shared" si="11"/>
        <v>Small</v>
      </c>
    </row>
    <row r="145" spans="1:19" x14ac:dyDescent="0.35">
      <c r="A145" s="4" t="s">
        <v>343</v>
      </c>
      <c r="B145" s="5">
        <v>45711</v>
      </c>
      <c r="C145" s="4" t="s">
        <v>344</v>
      </c>
      <c r="D145" s="4" t="s">
        <v>20</v>
      </c>
      <c r="E145" s="4" t="s">
        <v>87</v>
      </c>
      <c r="F145" s="4" t="s">
        <v>92</v>
      </c>
      <c r="G145" s="4" t="s">
        <v>38</v>
      </c>
      <c r="H145" s="4" t="s">
        <v>89</v>
      </c>
      <c r="I145" s="4">
        <v>2</v>
      </c>
      <c r="J145" s="6">
        <v>1083.01</v>
      </c>
      <c r="K145" s="7">
        <v>0.05</v>
      </c>
      <c r="L145" s="6">
        <f t="shared" si="8"/>
        <v>2057.7190000000001</v>
      </c>
      <c r="M145" s="6">
        <v>844.83</v>
      </c>
      <c r="N145" s="8">
        <f t="shared" si="9"/>
        <v>368.05899999999997</v>
      </c>
      <c r="O145" s="4" t="s">
        <v>40</v>
      </c>
      <c r="P145" s="4" t="s">
        <v>118</v>
      </c>
      <c r="Q145" s="4">
        <v>4</v>
      </c>
      <c r="R145" s="21">
        <f t="shared" si="10"/>
        <v>0.17886747413033557</v>
      </c>
      <c r="S145" t="str">
        <f t="shared" si="11"/>
        <v>Large</v>
      </c>
    </row>
    <row r="146" spans="1:19" x14ac:dyDescent="0.35">
      <c r="A146" s="4" t="s">
        <v>345</v>
      </c>
      <c r="B146" s="5">
        <v>45712</v>
      </c>
      <c r="C146" s="4" t="s">
        <v>346</v>
      </c>
      <c r="D146" s="4" t="s">
        <v>20</v>
      </c>
      <c r="E146" s="4" t="s">
        <v>87</v>
      </c>
      <c r="F146" s="4" t="s">
        <v>124</v>
      </c>
      <c r="G146" s="4" t="s">
        <v>23</v>
      </c>
      <c r="H146" s="4" t="s">
        <v>135</v>
      </c>
      <c r="I146" s="4">
        <v>4</v>
      </c>
      <c r="J146" s="6">
        <v>17.39</v>
      </c>
      <c r="K146" s="7">
        <v>0</v>
      </c>
      <c r="L146" s="6">
        <f t="shared" si="8"/>
        <v>69.56</v>
      </c>
      <c r="M146" s="6">
        <v>7.63</v>
      </c>
      <c r="N146" s="8">
        <f t="shared" si="9"/>
        <v>39.040000000000006</v>
      </c>
      <c r="O146" s="4" t="s">
        <v>60</v>
      </c>
      <c r="P146" s="4" t="s">
        <v>61</v>
      </c>
      <c r="Q146" s="4">
        <v>3</v>
      </c>
      <c r="R146" s="21">
        <f t="shared" si="10"/>
        <v>0.56124209315698681</v>
      </c>
      <c r="S146" t="str">
        <f t="shared" si="11"/>
        <v>Small</v>
      </c>
    </row>
    <row r="147" spans="1:19" x14ac:dyDescent="0.35">
      <c r="A147" s="4" t="s">
        <v>347</v>
      </c>
      <c r="B147" s="5">
        <v>45712</v>
      </c>
      <c r="C147" s="4" t="s">
        <v>348</v>
      </c>
      <c r="D147" s="4" t="s">
        <v>47</v>
      </c>
      <c r="E147" s="4" t="s">
        <v>29</v>
      </c>
      <c r="F147" s="4" t="s">
        <v>30</v>
      </c>
      <c r="G147" s="4" t="s">
        <v>38</v>
      </c>
      <c r="H147" s="4" t="s">
        <v>89</v>
      </c>
      <c r="I147" s="4">
        <v>3</v>
      </c>
      <c r="J147" s="6">
        <v>787.28</v>
      </c>
      <c r="K147" s="7">
        <v>0.05</v>
      </c>
      <c r="L147" s="6">
        <f t="shared" si="8"/>
        <v>2243.748</v>
      </c>
      <c r="M147" s="6">
        <v>626.66</v>
      </c>
      <c r="N147" s="8">
        <f t="shared" si="9"/>
        <v>363.76800000000003</v>
      </c>
      <c r="O147" s="4" t="s">
        <v>40</v>
      </c>
      <c r="P147" s="4" t="s">
        <v>61</v>
      </c>
      <c r="Q147" s="4">
        <v>4</v>
      </c>
      <c r="R147" s="21">
        <f t="shared" si="10"/>
        <v>0.16212515844025266</v>
      </c>
      <c r="S147" t="str">
        <f t="shared" si="11"/>
        <v>Large</v>
      </c>
    </row>
    <row r="148" spans="1:19" x14ac:dyDescent="0.35">
      <c r="A148" s="4" t="s">
        <v>349</v>
      </c>
      <c r="B148" s="5">
        <v>45712</v>
      </c>
      <c r="C148" s="4" t="s">
        <v>350</v>
      </c>
      <c r="D148" s="4" t="s">
        <v>43</v>
      </c>
      <c r="E148" s="4" t="s">
        <v>21</v>
      </c>
      <c r="F148" s="4" t="s">
        <v>81</v>
      </c>
      <c r="G148" s="4" t="s">
        <v>23</v>
      </c>
      <c r="H148" s="4" t="s">
        <v>24</v>
      </c>
      <c r="I148" s="4">
        <v>8</v>
      </c>
      <c r="J148" s="6">
        <v>37.159999999999997</v>
      </c>
      <c r="K148" s="7">
        <v>0.05</v>
      </c>
      <c r="L148" s="6">
        <f t="shared" si="8"/>
        <v>282.41599999999994</v>
      </c>
      <c r="M148" s="6">
        <v>16.329999999999998</v>
      </c>
      <c r="N148" s="8">
        <f t="shared" si="9"/>
        <v>151.77599999999995</v>
      </c>
      <c r="O148" s="4" t="s">
        <v>51</v>
      </c>
      <c r="P148" s="4" t="s">
        <v>26</v>
      </c>
      <c r="Q148" s="4">
        <v>4</v>
      </c>
      <c r="R148" s="21">
        <f t="shared" si="10"/>
        <v>0.53741997620531412</v>
      </c>
      <c r="S148" t="str">
        <f t="shared" si="11"/>
        <v>Small</v>
      </c>
    </row>
    <row r="149" spans="1:19" x14ac:dyDescent="0.35">
      <c r="A149" s="4" t="s">
        <v>351</v>
      </c>
      <c r="B149" s="5">
        <v>45712</v>
      </c>
      <c r="C149" s="4" t="s">
        <v>352</v>
      </c>
      <c r="D149" s="4" t="s">
        <v>43</v>
      </c>
      <c r="E149" s="4" t="s">
        <v>21</v>
      </c>
      <c r="F149" s="4" t="s">
        <v>22</v>
      </c>
      <c r="G149" s="4" t="s">
        <v>23</v>
      </c>
      <c r="H149" s="4" t="s">
        <v>44</v>
      </c>
      <c r="I149" s="4">
        <v>1</v>
      </c>
      <c r="J149" s="6">
        <v>98.64</v>
      </c>
      <c r="K149" s="7">
        <v>0</v>
      </c>
      <c r="L149" s="6">
        <f t="shared" si="8"/>
        <v>98.64</v>
      </c>
      <c r="M149" s="6">
        <v>62.08</v>
      </c>
      <c r="N149" s="8">
        <f t="shared" si="9"/>
        <v>36.56</v>
      </c>
      <c r="O149" s="4" t="s">
        <v>84</v>
      </c>
      <c r="P149" s="4" t="s">
        <v>26</v>
      </c>
      <c r="Q149" s="4">
        <v>4</v>
      </c>
      <c r="R149" s="21">
        <f t="shared" si="10"/>
        <v>0.37064071370640717</v>
      </c>
      <c r="S149" t="str">
        <f t="shared" si="11"/>
        <v>Small</v>
      </c>
    </row>
    <row r="150" spans="1:19" x14ac:dyDescent="0.35">
      <c r="A150" s="4" t="s">
        <v>353</v>
      </c>
      <c r="B150" s="5">
        <v>45713</v>
      </c>
      <c r="C150" s="4" t="s">
        <v>354</v>
      </c>
      <c r="D150" s="4" t="s">
        <v>20</v>
      </c>
      <c r="E150" s="4" t="s">
        <v>21</v>
      </c>
      <c r="F150" s="4" t="s">
        <v>81</v>
      </c>
      <c r="G150" s="4" t="s">
        <v>31</v>
      </c>
      <c r="H150" s="4" t="s">
        <v>32</v>
      </c>
      <c r="I150" s="4">
        <v>4</v>
      </c>
      <c r="J150" s="6">
        <v>251.41</v>
      </c>
      <c r="K150" s="7">
        <v>0.15</v>
      </c>
      <c r="L150" s="6">
        <f t="shared" si="8"/>
        <v>854.79399999999998</v>
      </c>
      <c r="M150" s="6">
        <v>182.87</v>
      </c>
      <c r="N150" s="8">
        <f t="shared" si="9"/>
        <v>123.31399999999996</v>
      </c>
      <c r="O150" s="4" t="s">
        <v>60</v>
      </c>
      <c r="P150" s="4" t="s">
        <v>26</v>
      </c>
      <c r="Q150" s="4">
        <v>4</v>
      </c>
      <c r="R150" s="21">
        <f t="shared" si="10"/>
        <v>0.14426165836447141</v>
      </c>
      <c r="S150" t="str">
        <f t="shared" si="11"/>
        <v>Medium</v>
      </c>
    </row>
    <row r="151" spans="1:19" x14ac:dyDescent="0.35">
      <c r="A151" s="4" t="s">
        <v>355</v>
      </c>
      <c r="B151" s="5">
        <v>45713</v>
      </c>
      <c r="C151" s="4" t="s">
        <v>344</v>
      </c>
      <c r="D151" s="4" t="s">
        <v>43</v>
      </c>
      <c r="E151" s="4" t="s">
        <v>87</v>
      </c>
      <c r="F151" s="4" t="s">
        <v>92</v>
      </c>
      <c r="G151" s="4" t="s">
        <v>49</v>
      </c>
      <c r="H151" s="4" t="s">
        <v>50</v>
      </c>
      <c r="I151" s="4">
        <v>5</v>
      </c>
      <c r="J151" s="6">
        <v>39.97</v>
      </c>
      <c r="K151" s="7">
        <v>0</v>
      </c>
      <c r="L151" s="6">
        <f t="shared" si="8"/>
        <v>199.85</v>
      </c>
      <c r="M151" s="6">
        <v>24.75</v>
      </c>
      <c r="N151" s="8">
        <f t="shared" si="9"/>
        <v>76.099999999999994</v>
      </c>
      <c r="O151" s="4" t="s">
        <v>60</v>
      </c>
      <c r="P151" s="4" t="s">
        <v>26</v>
      </c>
      <c r="Q151" s="4">
        <v>5</v>
      </c>
      <c r="R151" s="21">
        <f t="shared" si="10"/>
        <v>0.38078558919189393</v>
      </c>
      <c r="S151" t="str">
        <f t="shared" si="11"/>
        <v>Small</v>
      </c>
    </row>
    <row r="152" spans="1:19" x14ac:dyDescent="0.35">
      <c r="A152" s="4" t="s">
        <v>356</v>
      </c>
      <c r="B152" s="5">
        <v>45713</v>
      </c>
      <c r="C152" s="4" t="s">
        <v>357</v>
      </c>
      <c r="D152" s="4" t="s">
        <v>47</v>
      </c>
      <c r="E152" s="4" t="s">
        <v>36</v>
      </c>
      <c r="F152" s="4" t="s">
        <v>37</v>
      </c>
      <c r="G152" s="4" t="s">
        <v>38</v>
      </c>
      <c r="H152" s="4" t="s">
        <v>109</v>
      </c>
      <c r="I152" s="4">
        <v>3</v>
      </c>
      <c r="J152" s="6">
        <v>467.9</v>
      </c>
      <c r="K152" s="7">
        <v>0.05</v>
      </c>
      <c r="L152" s="6">
        <f t="shared" si="8"/>
        <v>1333.5149999999999</v>
      </c>
      <c r="M152" s="6">
        <v>369.34</v>
      </c>
      <c r="N152" s="8">
        <f t="shared" si="9"/>
        <v>225.49499999999989</v>
      </c>
      <c r="O152" s="4" t="s">
        <v>84</v>
      </c>
      <c r="P152" s="4" t="s">
        <v>72</v>
      </c>
      <c r="Q152" s="4">
        <v>5</v>
      </c>
      <c r="R152" s="21">
        <f t="shared" si="10"/>
        <v>0.16909821036883718</v>
      </c>
      <c r="S152" t="str">
        <f t="shared" si="11"/>
        <v>Medium</v>
      </c>
    </row>
    <row r="153" spans="1:19" x14ac:dyDescent="0.35">
      <c r="A153" s="4" t="s">
        <v>358</v>
      </c>
      <c r="B153" s="5">
        <v>45713</v>
      </c>
      <c r="C153" s="4" t="s">
        <v>46</v>
      </c>
      <c r="D153" s="4" t="s">
        <v>20</v>
      </c>
      <c r="E153" s="4" t="s">
        <v>36</v>
      </c>
      <c r="F153" s="4" t="s">
        <v>201</v>
      </c>
      <c r="G153" s="4" t="s">
        <v>23</v>
      </c>
      <c r="H153" s="4" t="s">
        <v>71</v>
      </c>
      <c r="I153" s="4">
        <v>3</v>
      </c>
      <c r="J153" s="6">
        <v>149.44999999999999</v>
      </c>
      <c r="K153" s="7">
        <v>0.2</v>
      </c>
      <c r="L153" s="6">
        <f t="shared" si="8"/>
        <v>358.68</v>
      </c>
      <c r="M153" s="6">
        <v>90.85</v>
      </c>
      <c r="N153" s="8">
        <f t="shared" si="9"/>
        <v>86.130000000000052</v>
      </c>
      <c r="O153" s="4" t="s">
        <v>60</v>
      </c>
      <c r="P153" s="4" t="s">
        <v>61</v>
      </c>
      <c r="Q153" s="4">
        <v>5</v>
      </c>
      <c r="R153" s="21">
        <f t="shared" si="10"/>
        <v>0.24013047842087668</v>
      </c>
      <c r="S153" t="str">
        <f t="shared" si="11"/>
        <v>Small</v>
      </c>
    </row>
    <row r="154" spans="1:19" x14ac:dyDescent="0.35">
      <c r="A154" s="4" t="s">
        <v>359</v>
      </c>
      <c r="B154" s="5">
        <v>45714</v>
      </c>
      <c r="C154" s="4" t="s">
        <v>134</v>
      </c>
      <c r="D154" s="4" t="s">
        <v>43</v>
      </c>
      <c r="E154" s="4" t="s">
        <v>87</v>
      </c>
      <c r="F154" s="4" t="s">
        <v>124</v>
      </c>
      <c r="G154" s="4" t="s">
        <v>31</v>
      </c>
      <c r="H154" s="4" t="s">
        <v>147</v>
      </c>
      <c r="I154" s="4">
        <v>5</v>
      </c>
      <c r="J154" s="6">
        <v>119.29</v>
      </c>
      <c r="K154" s="7">
        <v>0</v>
      </c>
      <c r="L154" s="6">
        <f t="shared" si="8"/>
        <v>596.45000000000005</v>
      </c>
      <c r="M154" s="6">
        <v>68.78</v>
      </c>
      <c r="N154" s="8">
        <f t="shared" si="9"/>
        <v>252.55000000000007</v>
      </c>
      <c r="O154" s="4" t="s">
        <v>84</v>
      </c>
      <c r="P154" s="4" t="s">
        <v>97</v>
      </c>
      <c r="Q154" s="4">
        <v>4</v>
      </c>
      <c r="R154" s="21">
        <f t="shared" si="10"/>
        <v>0.4234219129851623</v>
      </c>
      <c r="S154" t="str">
        <f t="shared" si="11"/>
        <v>Medium</v>
      </c>
    </row>
    <row r="155" spans="1:19" x14ac:dyDescent="0.35">
      <c r="A155" s="4" t="s">
        <v>360</v>
      </c>
      <c r="B155" s="5">
        <v>45715</v>
      </c>
      <c r="C155" s="4" t="s">
        <v>361</v>
      </c>
      <c r="D155" s="4" t="s">
        <v>20</v>
      </c>
      <c r="E155" s="4" t="s">
        <v>21</v>
      </c>
      <c r="F155" s="4" t="s">
        <v>59</v>
      </c>
      <c r="G155" s="4" t="s">
        <v>23</v>
      </c>
      <c r="H155" s="4" t="s">
        <v>71</v>
      </c>
      <c r="I155" s="4">
        <v>4</v>
      </c>
      <c r="J155" s="6">
        <v>154.87</v>
      </c>
      <c r="K155" s="7">
        <v>0.1</v>
      </c>
      <c r="L155" s="6">
        <f t="shared" si="8"/>
        <v>557.53200000000004</v>
      </c>
      <c r="M155" s="6">
        <v>86.14</v>
      </c>
      <c r="N155" s="8">
        <f t="shared" si="9"/>
        <v>212.97200000000004</v>
      </c>
      <c r="O155" s="4" t="s">
        <v>25</v>
      </c>
      <c r="P155" s="4" t="s">
        <v>118</v>
      </c>
      <c r="Q155" s="4">
        <v>4</v>
      </c>
      <c r="R155" s="21">
        <f t="shared" si="10"/>
        <v>0.38199063013423451</v>
      </c>
      <c r="S155" t="str">
        <f t="shared" si="11"/>
        <v>Medium</v>
      </c>
    </row>
    <row r="156" spans="1:19" x14ac:dyDescent="0.35">
      <c r="A156" s="4" t="s">
        <v>362</v>
      </c>
      <c r="B156" s="5">
        <v>45715</v>
      </c>
      <c r="C156" s="4" t="s">
        <v>363</v>
      </c>
      <c r="D156" s="4" t="s">
        <v>43</v>
      </c>
      <c r="E156" s="4" t="s">
        <v>21</v>
      </c>
      <c r="F156" s="4" t="s">
        <v>59</v>
      </c>
      <c r="G156" s="4" t="s">
        <v>23</v>
      </c>
      <c r="H156" s="4" t="s">
        <v>135</v>
      </c>
      <c r="I156" s="4">
        <v>10</v>
      </c>
      <c r="J156" s="6">
        <v>31.46</v>
      </c>
      <c r="K156" s="7">
        <v>0.1</v>
      </c>
      <c r="L156" s="6">
        <f t="shared" si="8"/>
        <v>283.14000000000004</v>
      </c>
      <c r="M156" s="6">
        <v>13.79</v>
      </c>
      <c r="N156" s="8">
        <f t="shared" si="9"/>
        <v>145.24000000000007</v>
      </c>
      <c r="O156" s="4" t="s">
        <v>60</v>
      </c>
      <c r="P156" s="4" t="s">
        <v>97</v>
      </c>
      <c r="Q156" s="4">
        <v>3</v>
      </c>
      <c r="R156" s="21">
        <f t="shared" si="10"/>
        <v>0.51296178568905859</v>
      </c>
      <c r="S156" t="str">
        <f t="shared" si="11"/>
        <v>Small</v>
      </c>
    </row>
    <row r="157" spans="1:19" x14ac:dyDescent="0.35">
      <c r="A157" s="4" t="s">
        <v>364</v>
      </c>
      <c r="B157" s="5">
        <v>45715</v>
      </c>
      <c r="C157" s="4" t="s">
        <v>365</v>
      </c>
      <c r="D157" s="4" t="s">
        <v>43</v>
      </c>
      <c r="E157" s="4" t="s">
        <v>36</v>
      </c>
      <c r="F157" s="4" t="s">
        <v>201</v>
      </c>
      <c r="G157" s="4" t="s">
        <v>23</v>
      </c>
      <c r="H157" s="4" t="s">
        <v>24</v>
      </c>
      <c r="I157" s="4">
        <v>2</v>
      </c>
      <c r="J157" s="6">
        <v>57.16</v>
      </c>
      <c r="K157" s="7">
        <v>0</v>
      </c>
      <c r="L157" s="6">
        <f t="shared" si="8"/>
        <v>114.32</v>
      </c>
      <c r="M157" s="6">
        <v>32.54</v>
      </c>
      <c r="N157" s="8">
        <f t="shared" si="9"/>
        <v>49.239999999999995</v>
      </c>
      <c r="O157" s="4" t="s">
        <v>60</v>
      </c>
      <c r="P157" s="4" t="s">
        <v>75</v>
      </c>
      <c r="Q157" s="4">
        <v>2</v>
      </c>
      <c r="R157" s="21">
        <f t="shared" si="10"/>
        <v>0.4307207837648705</v>
      </c>
      <c r="S157" t="str">
        <f t="shared" si="11"/>
        <v>Small</v>
      </c>
    </row>
    <row r="158" spans="1:19" x14ac:dyDescent="0.35">
      <c r="A158" s="4" t="s">
        <v>366</v>
      </c>
      <c r="B158" s="5">
        <v>45715</v>
      </c>
      <c r="C158" s="4" t="s">
        <v>367</v>
      </c>
      <c r="D158" s="4" t="s">
        <v>47</v>
      </c>
      <c r="E158" s="4" t="s">
        <v>87</v>
      </c>
      <c r="F158" s="4" t="s">
        <v>92</v>
      </c>
      <c r="G158" s="4" t="s">
        <v>31</v>
      </c>
      <c r="H158" s="4" t="s">
        <v>32</v>
      </c>
      <c r="I158" s="4">
        <v>2</v>
      </c>
      <c r="J158" s="6">
        <v>75.37</v>
      </c>
      <c r="K158" s="7">
        <v>0.2</v>
      </c>
      <c r="L158" s="6">
        <f t="shared" si="8"/>
        <v>120.59200000000001</v>
      </c>
      <c r="M158" s="6">
        <v>42.52</v>
      </c>
      <c r="N158" s="8">
        <f t="shared" si="9"/>
        <v>35.552000000000007</v>
      </c>
      <c r="O158" s="4" t="s">
        <v>84</v>
      </c>
      <c r="P158" s="4" t="s">
        <v>33</v>
      </c>
      <c r="Q158" s="4">
        <v>3</v>
      </c>
      <c r="R158" s="21">
        <f t="shared" si="10"/>
        <v>0.2948122595197028</v>
      </c>
      <c r="S158" t="str">
        <f t="shared" si="11"/>
        <v>Small</v>
      </c>
    </row>
    <row r="159" spans="1:19" x14ac:dyDescent="0.35">
      <c r="A159" s="4" t="s">
        <v>368</v>
      </c>
      <c r="B159" s="5">
        <v>45716</v>
      </c>
      <c r="C159" s="4" t="s">
        <v>369</v>
      </c>
      <c r="D159" s="4" t="s">
        <v>43</v>
      </c>
      <c r="E159" s="4" t="s">
        <v>21</v>
      </c>
      <c r="F159" s="4" t="s">
        <v>81</v>
      </c>
      <c r="G159" s="4" t="s">
        <v>49</v>
      </c>
      <c r="H159" s="4" t="s">
        <v>78</v>
      </c>
      <c r="I159" s="4">
        <v>3</v>
      </c>
      <c r="J159" s="6">
        <v>210.67</v>
      </c>
      <c r="K159" s="7">
        <v>0.1</v>
      </c>
      <c r="L159" s="6">
        <f t="shared" si="8"/>
        <v>568.80899999999997</v>
      </c>
      <c r="M159" s="6">
        <v>142.82</v>
      </c>
      <c r="N159" s="8">
        <f t="shared" si="9"/>
        <v>140.34899999999999</v>
      </c>
      <c r="O159" s="4" t="s">
        <v>25</v>
      </c>
      <c r="P159" s="4" t="s">
        <v>72</v>
      </c>
      <c r="Q159" s="4">
        <v>4</v>
      </c>
      <c r="R159" s="21">
        <f t="shared" si="10"/>
        <v>0.24674187644710263</v>
      </c>
      <c r="S159" t="str">
        <f t="shared" si="11"/>
        <v>Medium</v>
      </c>
    </row>
    <row r="160" spans="1:19" x14ac:dyDescent="0.35">
      <c r="A160" s="4" t="s">
        <v>370</v>
      </c>
      <c r="B160" s="5">
        <v>45716</v>
      </c>
      <c r="C160" s="4" t="s">
        <v>371</v>
      </c>
      <c r="D160" s="4" t="s">
        <v>47</v>
      </c>
      <c r="E160" s="4" t="s">
        <v>87</v>
      </c>
      <c r="F160" s="4" t="s">
        <v>124</v>
      </c>
      <c r="G160" s="4" t="s">
        <v>38</v>
      </c>
      <c r="H160" s="4" t="s">
        <v>89</v>
      </c>
      <c r="I160" s="4">
        <v>1</v>
      </c>
      <c r="J160" s="6">
        <v>650.80999999999995</v>
      </c>
      <c r="K160" s="7">
        <v>0.1</v>
      </c>
      <c r="L160" s="6">
        <f t="shared" si="8"/>
        <v>585.72899999999993</v>
      </c>
      <c r="M160" s="6">
        <v>539.17999999999995</v>
      </c>
      <c r="N160" s="8">
        <f t="shared" si="9"/>
        <v>46.548999999999978</v>
      </c>
      <c r="O160" s="4" t="s">
        <v>25</v>
      </c>
      <c r="P160" s="4" t="s">
        <v>56</v>
      </c>
      <c r="Q160" s="4">
        <v>5</v>
      </c>
      <c r="R160" s="21">
        <f t="shared" si="10"/>
        <v>7.9471905949679775E-2</v>
      </c>
      <c r="S160" t="str">
        <f t="shared" si="11"/>
        <v>Medium</v>
      </c>
    </row>
    <row r="161" spans="1:19" x14ac:dyDescent="0.35">
      <c r="A161" s="4" t="s">
        <v>372</v>
      </c>
      <c r="B161" s="5">
        <v>45716</v>
      </c>
      <c r="C161" s="4" t="s">
        <v>373</v>
      </c>
      <c r="D161" s="4" t="s">
        <v>43</v>
      </c>
      <c r="E161" s="4" t="s">
        <v>21</v>
      </c>
      <c r="F161" s="4" t="s">
        <v>59</v>
      </c>
      <c r="G161" s="4" t="s">
        <v>23</v>
      </c>
      <c r="H161" s="4" t="s">
        <v>24</v>
      </c>
      <c r="I161" s="4">
        <v>5</v>
      </c>
      <c r="J161" s="6">
        <v>56.05</v>
      </c>
      <c r="K161" s="7">
        <v>0</v>
      </c>
      <c r="L161" s="6">
        <f t="shared" si="8"/>
        <v>280.25</v>
      </c>
      <c r="M161" s="6">
        <v>33.22</v>
      </c>
      <c r="N161" s="8">
        <f t="shared" si="9"/>
        <v>114.15</v>
      </c>
      <c r="O161" s="4" t="s">
        <v>84</v>
      </c>
      <c r="P161" s="4" t="s">
        <v>97</v>
      </c>
      <c r="Q161" s="4">
        <v>5</v>
      </c>
      <c r="R161" s="21">
        <f t="shared" si="10"/>
        <v>0.40731489741302412</v>
      </c>
      <c r="S161" t="str">
        <f t="shared" si="11"/>
        <v>Small</v>
      </c>
    </row>
    <row r="162" spans="1:19" x14ac:dyDescent="0.35">
      <c r="A162" s="4" t="s">
        <v>374</v>
      </c>
      <c r="B162" s="5">
        <v>45716</v>
      </c>
      <c r="C162" s="4" t="s">
        <v>375</v>
      </c>
      <c r="D162" s="4" t="s">
        <v>43</v>
      </c>
      <c r="E162" s="4" t="s">
        <v>21</v>
      </c>
      <c r="F162" s="4" t="s">
        <v>59</v>
      </c>
      <c r="G162" s="4" t="s">
        <v>31</v>
      </c>
      <c r="H162" s="4" t="s">
        <v>125</v>
      </c>
      <c r="I162" s="4">
        <v>3</v>
      </c>
      <c r="J162" s="6">
        <v>139.07</v>
      </c>
      <c r="K162" s="7">
        <v>0.1</v>
      </c>
      <c r="L162" s="6">
        <f t="shared" si="8"/>
        <v>375.48899999999998</v>
      </c>
      <c r="M162" s="6">
        <v>85.47</v>
      </c>
      <c r="N162" s="8">
        <f t="shared" si="9"/>
        <v>119.07900000000001</v>
      </c>
      <c r="O162" s="4" t="s">
        <v>25</v>
      </c>
      <c r="P162" s="4" t="s">
        <v>72</v>
      </c>
      <c r="Q162" s="4">
        <v>4</v>
      </c>
      <c r="R162" s="21">
        <f t="shared" si="10"/>
        <v>0.31713046187771149</v>
      </c>
      <c r="S162" t="str">
        <f t="shared" si="11"/>
        <v>Small</v>
      </c>
    </row>
    <row r="163" spans="1:19" x14ac:dyDescent="0.35">
      <c r="A163" s="4" t="s">
        <v>376</v>
      </c>
      <c r="B163" s="5">
        <v>45716</v>
      </c>
      <c r="C163" s="4" t="s">
        <v>377</v>
      </c>
      <c r="D163" s="4" t="s">
        <v>20</v>
      </c>
      <c r="E163" s="4" t="s">
        <v>87</v>
      </c>
      <c r="F163" s="4" t="s">
        <v>88</v>
      </c>
      <c r="G163" s="4" t="s">
        <v>38</v>
      </c>
      <c r="H163" s="4" t="s">
        <v>96</v>
      </c>
      <c r="I163" s="4">
        <v>6</v>
      </c>
      <c r="J163" s="6">
        <v>488.84</v>
      </c>
      <c r="K163" s="7">
        <v>0</v>
      </c>
      <c r="L163" s="6">
        <f t="shared" si="8"/>
        <v>2933.04</v>
      </c>
      <c r="M163" s="6">
        <v>407.52</v>
      </c>
      <c r="N163" s="8">
        <f t="shared" si="9"/>
        <v>487.92000000000007</v>
      </c>
      <c r="O163" s="4" t="s">
        <v>40</v>
      </c>
      <c r="P163" s="4" t="s">
        <v>118</v>
      </c>
      <c r="Q163" s="4">
        <v>5</v>
      </c>
      <c r="R163" s="21">
        <f t="shared" si="10"/>
        <v>0.1663529989362573</v>
      </c>
      <c r="S163" t="str">
        <f t="shared" si="11"/>
        <v>Large</v>
      </c>
    </row>
    <row r="164" spans="1:19" x14ac:dyDescent="0.35">
      <c r="A164" s="4" t="s">
        <v>378</v>
      </c>
      <c r="B164" s="5">
        <v>45717</v>
      </c>
      <c r="C164" s="4" t="s">
        <v>379</v>
      </c>
      <c r="D164" s="4" t="s">
        <v>20</v>
      </c>
      <c r="E164" s="4" t="s">
        <v>87</v>
      </c>
      <c r="F164" s="4" t="s">
        <v>124</v>
      </c>
      <c r="G164" s="4" t="s">
        <v>67</v>
      </c>
      <c r="H164" s="4" t="s">
        <v>93</v>
      </c>
      <c r="I164" s="4">
        <v>3</v>
      </c>
      <c r="J164" s="6">
        <v>238.94</v>
      </c>
      <c r="K164" s="7">
        <v>0.1</v>
      </c>
      <c r="L164" s="6">
        <f t="shared" si="8"/>
        <v>645.13799999999992</v>
      </c>
      <c r="M164" s="6">
        <v>160.35</v>
      </c>
      <c r="N164" s="8">
        <f t="shared" si="9"/>
        <v>164.08799999999997</v>
      </c>
      <c r="O164" s="4" t="s">
        <v>60</v>
      </c>
      <c r="P164" s="4" t="s">
        <v>33</v>
      </c>
      <c r="Q164" s="4">
        <v>3</v>
      </c>
      <c r="R164" s="21">
        <f t="shared" si="10"/>
        <v>0.25434558187550571</v>
      </c>
      <c r="S164" t="str">
        <f t="shared" si="11"/>
        <v>Medium</v>
      </c>
    </row>
    <row r="165" spans="1:19" x14ac:dyDescent="0.35">
      <c r="A165" s="4" t="s">
        <v>380</v>
      </c>
      <c r="B165" s="5">
        <v>45717</v>
      </c>
      <c r="C165" s="4" t="s">
        <v>233</v>
      </c>
      <c r="D165" s="4" t="s">
        <v>20</v>
      </c>
      <c r="E165" s="4" t="s">
        <v>21</v>
      </c>
      <c r="F165" s="4" t="s">
        <v>22</v>
      </c>
      <c r="G165" s="4" t="s">
        <v>23</v>
      </c>
      <c r="H165" s="4" t="s">
        <v>24</v>
      </c>
      <c r="I165" s="4">
        <v>2</v>
      </c>
      <c r="J165" s="6">
        <v>73.61</v>
      </c>
      <c r="K165" s="7">
        <v>0</v>
      </c>
      <c r="L165" s="6">
        <f t="shared" si="8"/>
        <v>147.22</v>
      </c>
      <c r="M165" s="6">
        <v>42.41</v>
      </c>
      <c r="N165" s="8">
        <f t="shared" si="9"/>
        <v>62.400000000000006</v>
      </c>
      <c r="O165" s="4" t="s">
        <v>51</v>
      </c>
      <c r="P165" s="4" t="s">
        <v>56</v>
      </c>
      <c r="Q165" s="4">
        <v>4</v>
      </c>
      <c r="R165" s="21">
        <f t="shared" si="10"/>
        <v>0.4238554544219536</v>
      </c>
      <c r="S165" t="str">
        <f t="shared" si="11"/>
        <v>Small</v>
      </c>
    </row>
    <row r="166" spans="1:19" x14ac:dyDescent="0.35">
      <c r="A166" s="4" t="s">
        <v>381</v>
      </c>
      <c r="B166" s="5">
        <v>45717</v>
      </c>
      <c r="C166" s="4" t="s">
        <v>382</v>
      </c>
      <c r="D166" s="4" t="s">
        <v>47</v>
      </c>
      <c r="E166" s="4" t="s">
        <v>29</v>
      </c>
      <c r="F166" s="4" t="s">
        <v>30</v>
      </c>
      <c r="G166" s="4" t="s">
        <v>49</v>
      </c>
      <c r="H166" s="4" t="s">
        <v>78</v>
      </c>
      <c r="I166" s="4">
        <v>2</v>
      </c>
      <c r="J166" s="6">
        <v>757.05</v>
      </c>
      <c r="K166" s="7">
        <v>0</v>
      </c>
      <c r="L166" s="6">
        <f t="shared" si="8"/>
        <v>1514.1</v>
      </c>
      <c r="M166" s="6">
        <v>547.79999999999995</v>
      </c>
      <c r="N166" s="8">
        <f t="shared" si="9"/>
        <v>418.5</v>
      </c>
      <c r="O166" s="4" t="s">
        <v>60</v>
      </c>
      <c r="P166" s="4" t="s">
        <v>56</v>
      </c>
      <c r="Q166" s="4">
        <v>1</v>
      </c>
      <c r="R166" s="21">
        <f t="shared" si="10"/>
        <v>0.27640182286506837</v>
      </c>
      <c r="S166" t="str">
        <f t="shared" si="11"/>
        <v>Medium</v>
      </c>
    </row>
    <row r="167" spans="1:19" x14ac:dyDescent="0.35">
      <c r="A167" s="4" t="s">
        <v>383</v>
      </c>
      <c r="B167" s="5">
        <v>45718</v>
      </c>
      <c r="C167" s="4" t="s">
        <v>348</v>
      </c>
      <c r="D167" s="4" t="s">
        <v>20</v>
      </c>
      <c r="E167" s="4" t="s">
        <v>36</v>
      </c>
      <c r="F167" s="4" t="s">
        <v>37</v>
      </c>
      <c r="G167" s="4" t="s">
        <v>38</v>
      </c>
      <c r="H167" s="4" t="s">
        <v>89</v>
      </c>
      <c r="I167" s="4">
        <v>4</v>
      </c>
      <c r="J167" s="6">
        <v>1361.51</v>
      </c>
      <c r="K167" s="7">
        <v>0.1</v>
      </c>
      <c r="L167" s="6">
        <f t="shared" si="8"/>
        <v>4901.4359999999997</v>
      </c>
      <c r="M167" s="6">
        <v>1144.08</v>
      </c>
      <c r="N167" s="8">
        <f t="shared" si="9"/>
        <v>325.11599999999999</v>
      </c>
      <c r="O167" s="4" t="s">
        <v>40</v>
      </c>
      <c r="P167" s="4" t="s">
        <v>56</v>
      </c>
      <c r="Q167" s="4">
        <v>4</v>
      </c>
      <c r="R167" s="21">
        <f t="shared" si="10"/>
        <v>6.6330765106389231E-2</v>
      </c>
      <c r="S167" t="str">
        <f t="shared" si="11"/>
        <v>Large</v>
      </c>
    </row>
    <row r="168" spans="1:19" x14ac:dyDescent="0.35">
      <c r="A168" s="4" t="s">
        <v>384</v>
      </c>
      <c r="B168" s="5">
        <v>45719</v>
      </c>
      <c r="C168" s="4" t="s">
        <v>385</v>
      </c>
      <c r="D168" s="4" t="s">
        <v>20</v>
      </c>
      <c r="E168" s="4" t="s">
        <v>87</v>
      </c>
      <c r="F168" s="4" t="s">
        <v>88</v>
      </c>
      <c r="G168" s="4" t="s">
        <v>23</v>
      </c>
      <c r="H168" s="4" t="s">
        <v>24</v>
      </c>
      <c r="I168" s="4">
        <v>2</v>
      </c>
      <c r="J168" s="6">
        <v>43.04</v>
      </c>
      <c r="K168" s="7">
        <v>0</v>
      </c>
      <c r="L168" s="6">
        <f t="shared" si="8"/>
        <v>86.08</v>
      </c>
      <c r="M168" s="6">
        <v>24.64</v>
      </c>
      <c r="N168" s="8">
        <f t="shared" si="9"/>
        <v>36.799999999999997</v>
      </c>
      <c r="O168" s="4" t="s">
        <v>60</v>
      </c>
      <c r="P168" s="4" t="s">
        <v>33</v>
      </c>
      <c r="Q168" s="4">
        <v>4</v>
      </c>
      <c r="R168" s="21">
        <f t="shared" si="10"/>
        <v>0.42750929368029739</v>
      </c>
      <c r="S168" t="str">
        <f t="shared" si="11"/>
        <v>Small</v>
      </c>
    </row>
    <row r="169" spans="1:19" x14ac:dyDescent="0.35">
      <c r="A169" s="4" t="s">
        <v>386</v>
      </c>
      <c r="B169" s="5">
        <v>45719</v>
      </c>
      <c r="C169" s="4" t="s">
        <v>146</v>
      </c>
      <c r="D169" s="4" t="s">
        <v>20</v>
      </c>
      <c r="E169" s="4" t="s">
        <v>29</v>
      </c>
      <c r="F169" s="4" t="s">
        <v>54</v>
      </c>
      <c r="G169" s="4" t="s">
        <v>31</v>
      </c>
      <c r="H169" s="4" t="s">
        <v>125</v>
      </c>
      <c r="I169" s="4">
        <v>2</v>
      </c>
      <c r="J169" s="6">
        <v>39.840000000000003</v>
      </c>
      <c r="K169" s="7">
        <v>0.1</v>
      </c>
      <c r="L169" s="6">
        <f t="shared" si="8"/>
        <v>71.712000000000003</v>
      </c>
      <c r="M169" s="6">
        <v>29.19</v>
      </c>
      <c r="N169" s="8">
        <f t="shared" si="9"/>
        <v>13.332000000000001</v>
      </c>
      <c r="O169" s="4" t="s">
        <v>84</v>
      </c>
      <c r="P169" s="4" t="s">
        <v>56</v>
      </c>
      <c r="Q169" s="4">
        <v>1</v>
      </c>
      <c r="R169" s="21">
        <f t="shared" si="10"/>
        <v>0.18591030789825971</v>
      </c>
      <c r="S169" t="str">
        <f t="shared" si="11"/>
        <v>Small</v>
      </c>
    </row>
    <row r="170" spans="1:19" x14ac:dyDescent="0.35">
      <c r="A170" s="4" t="s">
        <v>387</v>
      </c>
      <c r="B170" s="5">
        <v>45719</v>
      </c>
      <c r="C170" s="4" t="s">
        <v>388</v>
      </c>
      <c r="D170" s="4" t="s">
        <v>20</v>
      </c>
      <c r="E170" s="4" t="s">
        <v>36</v>
      </c>
      <c r="F170" s="4" t="s">
        <v>48</v>
      </c>
      <c r="G170" s="4" t="s">
        <v>38</v>
      </c>
      <c r="H170" s="4" t="s">
        <v>89</v>
      </c>
      <c r="I170" s="4">
        <v>2</v>
      </c>
      <c r="J170" s="6">
        <v>772.87</v>
      </c>
      <c r="K170" s="7">
        <v>0.1</v>
      </c>
      <c r="L170" s="6">
        <f t="shared" si="8"/>
        <v>1391.1659999999999</v>
      </c>
      <c r="M170" s="6">
        <v>585.1</v>
      </c>
      <c r="N170" s="8">
        <f t="shared" si="9"/>
        <v>220.96599999999989</v>
      </c>
      <c r="O170" s="4" t="s">
        <v>60</v>
      </c>
      <c r="P170" s="4" t="s">
        <v>75</v>
      </c>
      <c r="Q170" s="4">
        <v>4</v>
      </c>
      <c r="R170" s="21">
        <f t="shared" si="10"/>
        <v>0.15883510666591902</v>
      </c>
      <c r="S170" t="str">
        <f t="shared" si="11"/>
        <v>Medium</v>
      </c>
    </row>
    <row r="171" spans="1:19" x14ac:dyDescent="0.35">
      <c r="A171" s="4" t="s">
        <v>389</v>
      </c>
      <c r="B171" s="5">
        <v>45719</v>
      </c>
      <c r="C171" s="4" t="s">
        <v>233</v>
      </c>
      <c r="D171" s="4" t="s">
        <v>20</v>
      </c>
      <c r="E171" s="4" t="s">
        <v>21</v>
      </c>
      <c r="F171" s="4" t="s">
        <v>81</v>
      </c>
      <c r="G171" s="4" t="s">
        <v>23</v>
      </c>
      <c r="H171" s="4" t="s">
        <v>135</v>
      </c>
      <c r="I171" s="4">
        <v>2</v>
      </c>
      <c r="J171" s="6">
        <v>15.1</v>
      </c>
      <c r="K171" s="7">
        <v>0</v>
      </c>
      <c r="L171" s="6">
        <f t="shared" si="8"/>
        <v>30.2</v>
      </c>
      <c r="M171" s="6">
        <v>6.13</v>
      </c>
      <c r="N171" s="8">
        <f t="shared" si="9"/>
        <v>17.939999999999998</v>
      </c>
      <c r="O171" s="4" t="s">
        <v>84</v>
      </c>
      <c r="P171" s="4" t="s">
        <v>118</v>
      </c>
      <c r="Q171" s="4">
        <v>3</v>
      </c>
      <c r="R171" s="21">
        <f t="shared" si="10"/>
        <v>0.59403973509933772</v>
      </c>
      <c r="S171" t="str">
        <f t="shared" si="11"/>
        <v>Small</v>
      </c>
    </row>
    <row r="172" spans="1:19" x14ac:dyDescent="0.35">
      <c r="A172" s="4" t="s">
        <v>390</v>
      </c>
      <c r="B172" s="5">
        <v>45719</v>
      </c>
      <c r="C172" s="4" t="s">
        <v>231</v>
      </c>
      <c r="D172" s="4" t="s">
        <v>47</v>
      </c>
      <c r="E172" s="4" t="s">
        <v>21</v>
      </c>
      <c r="F172" s="4" t="s">
        <v>22</v>
      </c>
      <c r="G172" s="4" t="s">
        <v>31</v>
      </c>
      <c r="H172" s="4" t="s">
        <v>147</v>
      </c>
      <c r="I172" s="4">
        <v>1</v>
      </c>
      <c r="J172" s="6">
        <v>46.7</v>
      </c>
      <c r="K172" s="7">
        <v>0.05</v>
      </c>
      <c r="L172" s="6">
        <f t="shared" si="8"/>
        <v>44.365000000000002</v>
      </c>
      <c r="M172" s="6">
        <v>30.27</v>
      </c>
      <c r="N172" s="8">
        <f t="shared" si="9"/>
        <v>14.095000000000002</v>
      </c>
      <c r="O172" s="4" t="s">
        <v>84</v>
      </c>
      <c r="P172" s="4" t="s">
        <v>75</v>
      </c>
      <c r="Q172" s="4">
        <v>4</v>
      </c>
      <c r="R172" s="21">
        <f t="shared" si="10"/>
        <v>0.3177053983996394</v>
      </c>
      <c r="S172" t="str">
        <f t="shared" si="11"/>
        <v>Small</v>
      </c>
    </row>
    <row r="173" spans="1:19" x14ac:dyDescent="0.35">
      <c r="A173" s="4" t="s">
        <v>391</v>
      </c>
      <c r="B173" s="5">
        <v>45720</v>
      </c>
      <c r="C173" s="4" t="s">
        <v>392</v>
      </c>
      <c r="D173" s="4" t="s">
        <v>20</v>
      </c>
      <c r="E173" s="4" t="s">
        <v>36</v>
      </c>
      <c r="F173" s="4" t="s">
        <v>201</v>
      </c>
      <c r="G173" s="4" t="s">
        <v>49</v>
      </c>
      <c r="H173" s="4" t="s">
        <v>187</v>
      </c>
      <c r="I173" s="4">
        <v>5</v>
      </c>
      <c r="J173" s="6">
        <v>63.68</v>
      </c>
      <c r="K173" s="7">
        <v>0.05</v>
      </c>
      <c r="L173" s="6">
        <f t="shared" si="8"/>
        <v>302.47999999999996</v>
      </c>
      <c r="M173" s="6">
        <v>44.6</v>
      </c>
      <c r="N173" s="8">
        <f t="shared" si="9"/>
        <v>79.479999999999961</v>
      </c>
      <c r="O173" s="4" t="s">
        <v>60</v>
      </c>
      <c r="P173" s="4" t="s">
        <v>61</v>
      </c>
      <c r="Q173" s="4">
        <v>3</v>
      </c>
      <c r="R173" s="21">
        <f t="shared" si="10"/>
        <v>0.26276117429251511</v>
      </c>
      <c r="S173" t="str">
        <f t="shared" si="11"/>
        <v>Small</v>
      </c>
    </row>
    <row r="174" spans="1:19" x14ac:dyDescent="0.35">
      <c r="A174" s="4" t="s">
        <v>393</v>
      </c>
      <c r="B174" s="5">
        <v>45721</v>
      </c>
      <c r="C174" s="4" t="s">
        <v>213</v>
      </c>
      <c r="D174" s="4" t="s">
        <v>20</v>
      </c>
      <c r="E174" s="4" t="s">
        <v>29</v>
      </c>
      <c r="F174" s="4" t="s">
        <v>30</v>
      </c>
      <c r="G174" s="4" t="s">
        <v>23</v>
      </c>
      <c r="H174" s="4" t="s">
        <v>135</v>
      </c>
      <c r="I174" s="4">
        <v>4</v>
      </c>
      <c r="J174" s="6">
        <v>33.76</v>
      </c>
      <c r="K174" s="7">
        <v>0</v>
      </c>
      <c r="L174" s="6">
        <f t="shared" si="8"/>
        <v>135.04</v>
      </c>
      <c r="M174" s="6">
        <v>21.36</v>
      </c>
      <c r="N174" s="8">
        <f t="shared" si="9"/>
        <v>49.599999999999994</v>
      </c>
      <c r="O174" s="4" t="s">
        <v>40</v>
      </c>
      <c r="P174" s="4" t="s">
        <v>75</v>
      </c>
      <c r="Q174" s="4">
        <v>4</v>
      </c>
      <c r="R174" s="21">
        <f t="shared" si="10"/>
        <v>0.36729857819905209</v>
      </c>
      <c r="S174" t="str">
        <f t="shared" si="11"/>
        <v>Small</v>
      </c>
    </row>
    <row r="175" spans="1:19" x14ac:dyDescent="0.35">
      <c r="A175" s="4" t="s">
        <v>394</v>
      </c>
      <c r="B175" s="5">
        <v>45721</v>
      </c>
      <c r="C175" s="4" t="s">
        <v>294</v>
      </c>
      <c r="D175" s="4" t="s">
        <v>47</v>
      </c>
      <c r="E175" s="4" t="s">
        <v>36</v>
      </c>
      <c r="F175" s="4" t="s">
        <v>37</v>
      </c>
      <c r="G175" s="4" t="s">
        <v>67</v>
      </c>
      <c r="H175" s="4" t="s">
        <v>140</v>
      </c>
      <c r="I175" s="4">
        <v>10</v>
      </c>
      <c r="J175" s="6">
        <v>200.52</v>
      </c>
      <c r="K175" s="7">
        <v>0.2</v>
      </c>
      <c r="L175" s="6">
        <f t="shared" si="8"/>
        <v>1604.16</v>
      </c>
      <c r="M175" s="6">
        <v>150.69</v>
      </c>
      <c r="N175" s="8">
        <f t="shared" si="9"/>
        <v>97.259999999999991</v>
      </c>
      <c r="O175" s="4" t="s">
        <v>51</v>
      </c>
      <c r="P175" s="4" t="s">
        <v>72</v>
      </c>
      <c r="Q175" s="4">
        <v>3</v>
      </c>
      <c r="R175" s="21">
        <f t="shared" si="10"/>
        <v>6.0629862357869532E-2</v>
      </c>
      <c r="S175" t="str">
        <f t="shared" si="11"/>
        <v>Medium</v>
      </c>
    </row>
    <row r="176" spans="1:19" x14ac:dyDescent="0.35">
      <c r="A176" s="4" t="s">
        <v>395</v>
      </c>
      <c r="B176" s="5">
        <v>45722</v>
      </c>
      <c r="C176" s="4" t="s">
        <v>396</v>
      </c>
      <c r="D176" s="4" t="s">
        <v>20</v>
      </c>
      <c r="E176" s="4" t="s">
        <v>21</v>
      </c>
      <c r="F176" s="4" t="s">
        <v>81</v>
      </c>
      <c r="G176" s="4" t="s">
        <v>49</v>
      </c>
      <c r="H176" s="4" t="s">
        <v>50</v>
      </c>
      <c r="I176" s="4">
        <v>1</v>
      </c>
      <c r="J176" s="6">
        <v>20.85</v>
      </c>
      <c r="K176" s="7">
        <v>0.1</v>
      </c>
      <c r="L176" s="6">
        <f t="shared" si="8"/>
        <v>18.765000000000001</v>
      </c>
      <c r="M176" s="6">
        <v>14.19</v>
      </c>
      <c r="N176" s="8">
        <f t="shared" si="9"/>
        <v>4.5750000000000011</v>
      </c>
      <c r="O176" s="4" t="s">
        <v>25</v>
      </c>
      <c r="P176" s="4" t="s">
        <v>56</v>
      </c>
      <c r="Q176" s="4">
        <v>3</v>
      </c>
      <c r="R176" s="21">
        <f t="shared" si="10"/>
        <v>0.24380495603517191</v>
      </c>
      <c r="S176" t="str">
        <f t="shared" si="11"/>
        <v>Small</v>
      </c>
    </row>
    <row r="177" spans="1:19" x14ac:dyDescent="0.35">
      <c r="A177" s="4" t="s">
        <v>397</v>
      </c>
      <c r="B177" s="5">
        <v>45722</v>
      </c>
      <c r="C177" s="4" t="s">
        <v>398</v>
      </c>
      <c r="D177" s="4" t="s">
        <v>20</v>
      </c>
      <c r="E177" s="4" t="s">
        <v>87</v>
      </c>
      <c r="F177" s="4" t="s">
        <v>124</v>
      </c>
      <c r="G177" s="4" t="s">
        <v>49</v>
      </c>
      <c r="H177" s="4" t="s">
        <v>187</v>
      </c>
      <c r="I177" s="4">
        <v>1</v>
      </c>
      <c r="J177" s="6">
        <v>103.8</v>
      </c>
      <c r="K177" s="7">
        <v>0</v>
      </c>
      <c r="L177" s="6">
        <f t="shared" si="8"/>
        <v>103.8</v>
      </c>
      <c r="M177" s="6">
        <v>76.61</v>
      </c>
      <c r="N177" s="8">
        <f t="shared" si="9"/>
        <v>27.189999999999998</v>
      </c>
      <c r="O177" s="4" t="s">
        <v>40</v>
      </c>
      <c r="P177" s="4" t="s">
        <v>118</v>
      </c>
      <c r="Q177" s="4">
        <v>4</v>
      </c>
      <c r="R177" s="21">
        <f t="shared" si="10"/>
        <v>0.26194605009633909</v>
      </c>
      <c r="S177" t="str">
        <f t="shared" si="11"/>
        <v>Small</v>
      </c>
    </row>
    <row r="178" spans="1:19" x14ac:dyDescent="0.35">
      <c r="A178" s="4" t="s">
        <v>399</v>
      </c>
      <c r="B178" s="5">
        <v>45722</v>
      </c>
      <c r="C178" s="4" t="s">
        <v>400</v>
      </c>
      <c r="D178" s="4" t="s">
        <v>47</v>
      </c>
      <c r="E178" s="4" t="s">
        <v>29</v>
      </c>
      <c r="F178" s="4" t="s">
        <v>54</v>
      </c>
      <c r="G178" s="4" t="s">
        <v>31</v>
      </c>
      <c r="H178" s="4" t="s">
        <v>147</v>
      </c>
      <c r="I178" s="4">
        <v>3</v>
      </c>
      <c r="J178" s="6">
        <v>73.02</v>
      </c>
      <c r="K178" s="7">
        <v>0</v>
      </c>
      <c r="L178" s="6">
        <f t="shared" si="8"/>
        <v>219.06</v>
      </c>
      <c r="M178" s="6">
        <v>45.46</v>
      </c>
      <c r="N178" s="8">
        <f t="shared" si="9"/>
        <v>82.68</v>
      </c>
      <c r="O178" s="4" t="s">
        <v>84</v>
      </c>
      <c r="P178" s="4" t="s">
        <v>33</v>
      </c>
      <c r="Q178" s="4">
        <v>3</v>
      </c>
      <c r="R178" s="21">
        <f t="shared" si="10"/>
        <v>0.37743084086551631</v>
      </c>
      <c r="S178" t="str">
        <f t="shared" si="11"/>
        <v>Small</v>
      </c>
    </row>
    <row r="179" spans="1:19" x14ac:dyDescent="0.35">
      <c r="A179" s="4" t="s">
        <v>401</v>
      </c>
      <c r="B179" s="5">
        <v>45722</v>
      </c>
      <c r="C179" s="4" t="s">
        <v>402</v>
      </c>
      <c r="D179" s="4" t="s">
        <v>47</v>
      </c>
      <c r="E179" s="4" t="s">
        <v>36</v>
      </c>
      <c r="F179" s="4" t="s">
        <v>201</v>
      </c>
      <c r="G179" s="4" t="s">
        <v>67</v>
      </c>
      <c r="H179" s="4" t="s">
        <v>68</v>
      </c>
      <c r="I179" s="4">
        <v>1</v>
      </c>
      <c r="J179" s="6">
        <v>930.65</v>
      </c>
      <c r="K179" s="7">
        <v>0</v>
      </c>
      <c r="L179" s="6">
        <f t="shared" si="8"/>
        <v>930.65</v>
      </c>
      <c r="M179" s="6">
        <v>607.65</v>
      </c>
      <c r="N179" s="8">
        <f t="shared" si="9"/>
        <v>323</v>
      </c>
      <c r="O179" s="4" t="s">
        <v>51</v>
      </c>
      <c r="P179" s="4" t="s">
        <v>56</v>
      </c>
      <c r="Q179" s="4">
        <v>3</v>
      </c>
      <c r="R179" s="21">
        <f t="shared" si="10"/>
        <v>0.34706925267286304</v>
      </c>
      <c r="S179" t="str">
        <f t="shared" si="11"/>
        <v>Medium</v>
      </c>
    </row>
    <row r="180" spans="1:19" x14ac:dyDescent="0.35">
      <c r="A180" s="4" t="s">
        <v>403</v>
      </c>
      <c r="B180" s="5">
        <v>45723</v>
      </c>
      <c r="C180" s="4" t="s">
        <v>392</v>
      </c>
      <c r="D180" s="4" t="s">
        <v>47</v>
      </c>
      <c r="E180" s="4" t="s">
        <v>36</v>
      </c>
      <c r="F180" s="4" t="s">
        <v>48</v>
      </c>
      <c r="G180" s="4" t="s">
        <v>38</v>
      </c>
      <c r="H180" s="4" t="s">
        <v>96</v>
      </c>
      <c r="I180" s="4">
        <v>2</v>
      </c>
      <c r="J180" s="6">
        <v>322.72000000000003</v>
      </c>
      <c r="K180" s="7">
        <v>0.05</v>
      </c>
      <c r="L180" s="6">
        <f t="shared" si="8"/>
        <v>613.16800000000001</v>
      </c>
      <c r="M180" s="6">
        <v>284.60000000000002</v>
      </c>
      <c r="N180" s="8">
        <f t="shared" si="9"/>
        <v>43.967999999999961</v>
      </c>
      <c r="O180" s="4" t="s">
        <v>84</v>
      </c>
      <c r="P180" s="4" t="s">
        <v>33</v>
      </c>
      <c r="Q180" s="4">
        <v>5</v>
      </c>
      <c r="R180" s="21">
        <f t="shared" si="10"/>
        <v>7.1706286042324388E-2</v>
      </c>
      <c r="S180" t="str">
        <f t="shared" si="11"/>
        <v>Medium</v>
      </c>
    </row>
    <row r="181" spans="1:19" x14ac:dyDescent="0.35">
      <c r="A181" s="4" t="s">
        <v>404</v>
      </c>
      <c r="B181" s="5">
        <v>45723</v>
      </c>
      <c r="C181" s="4" t="s">
        <v>325</v>
      </c>
      <c r="D181" s="4" t="s">
        <v>20</v>
      </c>
      <c r="E181" s="4" t="s">
        <v>87</v>
      </c>
      <c r="F181" s="4" t="s">
        <v>88</v>
      </c>
      <c r="G181" s="4" t="s">
        <v>31</v>
      </c>
      <c r="H181" s="4" t="s">
        <v>147</v>
      </c>
      <c r="I181" s="4">
        <v>4</v>
      </c>
      <c r="J181" s="6">
        <v>45.43</v>
      </c>
      <c r="K181" s="7">
        <v>0.2</v>
      </c>
      <c r="L181" s="6">
        <f t="shared" si="8"/>
        <v>145.376</v>
      </c>
      <c r="M181" s="6">
        <v>26.29</v>
      </c>
      <c r="N181" s="8">
        <f t="shared" si="9"/>
        <v>40.216000000000008</v>
      </c>
      <c r="O181" s="4" t="s">
        <v>60</v>
      </c>
      <c r="P181" s="4" t="s">
        <v>33</v>
      </c>
      <c r="Q181" s="4">
        <v>3</v>
      </c>
      <c r="R181" s="21">
        <f t="shared" si="10"/>
        <v>0.27663438256658601</v>
      </c>
      <c r="S181" t="str">
        <f t="shared" si="11"/>
        <v>Small</v>
      </c>
    </row>
    <row r="182" spans="1:19" x14ac:dyDescent="0.35">
      <c r="A182" s="4" t="s">
        <v>405</v>
      </c>
      <c r="B182" s="5">
        <v>45723</v>
      </c>
      <c r="C182" s="4" t="s">
        <v>406</v>
      </c>
      <c r="D182" s="4" t="s">
        <v>47</v>
      </c>
      <c r="E182" s="4" t="s">
        <v>87</v>
      </c>
      <c r="F182" s="4" t="s">
        <v>88</v>
      </c>
      <c r="G182" s="4" t="s">
        <v>49</v>
      </c>
      <c r="H182" s="4" t="s">
        <v>50</v>
      </c>
      <c r="I182" s="4">
        <v>2</v>
      </c>
      <c r="J182" s="6">
        <v>48.18</v>
      </c>
      <c r="K182" s="7">
        <v>0.15</v>
      </c>
      <c r="L182" s="6">
        <f t="shared" si="8"/>
        <v>81.905999999999992</v>
      </c>
      <c r="M182" s="6">
        <v>27.9</v>
      </c>
      <c r="N182" s="8">
        <f t="shared" si="9"/>
        <v>26.105999999999995</v>
      </c>
      <c r="O182" s="4" t="s">
        <v>60</v>
      </c>
      <c r="P182" s="4" t="s">
        <v>75</v>
      </c>
      <c r="Q182" s="4">
        <v>5</v>
      </c>
      <c r="R182" s="21">
        <f t="shared" si="10"/>
        <v>0.31873122848142987</v>
      </c>
      <c r="S182" t="str">
        <f t="shared" si="11"/>
        <v>Small</v>
      </c>
    </row>
    <row r="183" spans="1:19" x14ac:dyDescent="0.35">
      <c r="A183" s="4" t="s">
        <v>407</v>
      </c>
      <c r="B183" s="5">
        <v>45723</v>
      </c>
      <c r="C183" s="4" t="s">
        <v>408</v>
      </c>
      <c r="D183" s="4" t="s">
        <v>47</v>
      </c>
      <c r="E183" s="4" t="s">
        <v>21</v>
      </c>
      <c r="F183" s="4" t="s">
        <v>59</v>
      </c>
      <c r="G183" s="4" t="s">
        <v>49</v>
      </c>
      <c r="H183" s="4" t="s">
        <v>128</v>
      </c>
      <c r="I183" s="4">
        <v>3</v>
      </c>
      <c r="J183" s="6">
        <v>49.77</v>
      </c>
      <c r="K183" s="7">
        <v>0.15</v>
      </c>
      <c r="L183" s="6">
        <f t="shared" si="8"/>
        <v>126.9135</v>
      </c>
      <c r="M183" s="6">
        <v>33.340000000000003</v>
      </c>
      <c r="N183" s="8">
        <f t="shared" si="9"/>
        <v>26.893499999999989</v>
      </c>
      <c r="O183" s="4" t="s">
        <v>60</v>
      </c>
      <c r="P183" s="4" t="s">
        <v>72</v>
      </c>
      <c r="Q183" s="4">
        <v>5</v>
      </c>
      <c r="R183" s="21">
        <f t="shared" si="10"/>
        <v>0.21190417095108077</v>
      </c>
      <c r="S183" t="str">
        <f t="shared" si="11"/>
        <v>Small</v>
      </c>
    </row>
    <row r="184" spans="1:19" x14ac:dyDescent="0.35">
      <c r="A184" s="4" t="s">
        <v>409</v>
      </c>
      <c r="B184" s="5">
        <v>45724</v>
      </c>
      <c r="C184" s="4" t="s">
        <v>299</v>
      </c>
      <c r="D184" s="4" t="s">
        <v>20</v>
      </c>
      <c r="E184" s="4" t="s">
        <v>36</v>
      </c>
      <c r="F184" s="4" t="s">
        <v>48</v>
      </c>
      <c r="G184" s="4" t="s">
        <v>23</v>
      </c>
      <c r="H184" s="4" t="s">
        <v>24</v>
      </c>
      <c r="I184" s="4">
        <v>1</v>
      </c>
      <c r="J184" s="6">
        <v>30.98</v>
      </c>
      <c r="K184" s="7">
        <v>0.05</v>
      </c>
      <c r="L184" s="6">
        <f t="shared" si="8"/>
        <v>29.430999999999997</v>
      </c>
      <c r="M184" s="6">
        <v>13.57</v>
      </c>
      <c r="N184" s="8">
        <f t="shared" si="9"/>
        <v>15.860999999999997</v>
      </c>
      <c r="O184" s="4" t="s">
        <v>40</v>
      </c>
      <c r="P184" s="4" t="s">
        <v>97</v>
      </c>
      <c r="Q184" s="4">
        <v>4</v>
      </c>
      <c r="R184" s="21">
        <f t="shared" si="10"/>
        <v>0.53892154530936764</v>
      </c>
      <c r="S184" t="str">
        <f t="shared" si="11"/>
        <v>Small</v>
      </c>
    </row>
    <row r="185" spans="1:19" x14ac:dyDescent="0.35">
      <c r="A185" s="4" t="s">
        <v>410</v>
      </c>
      <c r="B185" s="5">
        <v>45725</v>
      </c>
      <c r="C185" s="4" t="s">
        <v>411</v>
      </c>
      <c r="D185" s="4" t="s">
        <v>20</v>
      </c>
      <c r="E185" s="4" t="s">
        <v>87</v>
      </c>
      <c r="F185" s="4" t="s">
        <v>92</v>
      </c>
      <c r="G185" s="4" t="s">
        <v>67</v>
      </c>
      <c r="H185" s="4" t="s">
        <v>68</v>
      </c>
      <c r="I185" s="4">
        <v>1</v>
      </c>
      <c r="J185" s="6">
        <v>455.53</v>
      </c>
      <c r="K185" s="7">
        <v>0.15</v>
      </c>
      <c r="L185" s="6">
        <f t="shared" si="8"/>
        <v>387.20049999999998</v>
      </c>
      <c r="M185" s="6">
        <v>344.86</v>
      </c>
      <c r="N185" s="8">
        <f t="shared" si="9"/>
        <v>42.340499999999963</v>
      </c>
      <c r="O185" s="4" t="s">
        <v>51</v>
      </c>
      <c r="P185" s="4" t="s">
        <v>72</v>
      </c>
      <c r="Q185" s="4">
        <v>4</v>
      </c>
      <c r="R185" s="21">
        <f t="shared" si="10"/>
        <v>0.10935032366951997</v>
      </c>
      <c r="S185" t="str">
        <f t="shared" si="11"/>
        <v>Small</v>
      </c>
    </row>
    <row r="186" spans="1:19" x14ac:dyDescent="0.35">
      <c r="A186" s="4" t="s">
        <v>412</v>
      </c>
      <c r="B186" s="5">
        <v>45725</v>
      </c>
      <c r="C186" s="4" t="s">
        <v>413</v>
      </c>
      <c r="D186" s="4" t="s">
        <v>47</v>
      </c>
      <c r="E186" s="4" t="s">
        <v>87</v>
      </c>
      <c r="F186" s="4" t="s">
        <v>92</v>
      </c>
      <c r="G186" s="4" t="s">
        <v>23</v>
      </c>
      <c r="H186" s="4" t="s">
        <v>44</v>
      </c>
      <c r="I186" s="4">
        <v>1</v>
      </c>
      <c r="J186" s="6">
        <v>47.32</v>
      </c>
      <c r="K186" s="7">
        <v>0.15</v>
      </c>
      <c r="L186" s="6">
        <f t="shared" si="8"/>
        <v>40.222000000000001</v>
      </c>
      <c r="M186" s="6">
        <v>27.45</v>
      </c>
      <c r="N186" s="8">
        <f t="shared" si="9"/>
        <v>12.772000000000002</v>
      </c>
      <c r="O186" s="4" t="s">
        <v>51</v>
      </c>
      <c r="P186" s="4" t="s">
        <v>75</v>
      </c>
      <c r="Q186" s="4">
        <v>5</v>
      </c>
      <c r="R186" s="21">
        <f t="shared" si="10"/>
        <v>0.31753766595395561</v>
      </c>
      <c r="S186" t="str">
        <f t="shared" si="11"/>
        <v>Small</v>
      </c>
    </row>
    <row r="187" spans="1:19" x14ac:dyDescent="0.35">
      <c r="A187" s="4" t="s">
        <v>414</v>
      </c>
      <c r="B187" s="5">
        <v>45725</v>
      </c>
      <c r="C187" s="4" t="s">
        <v>86</v>
      </c>
      <c r="D187" s="4" t="s">
        <v>47</v>
      </c>
      <c r="E187" s="4" t="s">
        <v>36</v>
      </c>
      <c r="F187" s="4" t="s">
        <v>37</v>
      </c>
      <c r="G187" s="4" t="s">
        <v>31</v>
      </c>
      <c r="H187" s="4" t="s">
        <v>64</v>
      </c>
      <c r="I187" s="4">
        <v>2</v>
      </c>
      <c r="J187" s="6">
        <v>140.72999999999999</v>
      </c>
      <c r="K187" s="7">
        <v>0</v>
      </c>
      <c r="L187" s="6">
        <f t="shared" si="8"/>
        <v>281.45999999999998</v>
      </c>
      <c r="M187" s="6">
        <v>83.55</v>
      </c>
      <c r="N187" s="8">
        <f t="shared" si="9"/>
        <v>114.35999999999999</v>
      </c>
      <c r="O187" s="4" t="s">
        <v>25</v>
      </c>
      <c r="P187" s="4" t="s">
        <v>72</v>
      </c>
      <c r="Q187" s="4">
        <v>1</v>
      </c>
      <c r="R187" s="21">
        <f t="shared" si="10"/>
        <v>0.40630995523342567</v>
      </c>
      <c r="S187" t="str">
        <f t="shared" si="11"/>
        <v>Small</v>
      </c>
    </row>
    <row r="188" spans="1:19" x14ac:dyDescent="0.35">
      <c r="A188" s="4" t="s">
        <v>415</v>
      </c>
      <c r="B188" s="5">
        <v>45726</v>
      </c>
      <c r="C188" s="4" t="s">
        <v>83</v>
      </c>
      <c r="D188" s="4" t="s">
        <v>47</v>
      </c>
      <c r="E188" s="4" t="s">
        <v>36</v>
      </c>
      <c r="F188" s="4" t="s">
        <v>37</v>
      </c>
      <c r="G188" s="4" t="s">
        <v>31</v>
      </c>
      <c r="H188" s="4" t="s">
        <v>64</v>
      </c>
      <c r="I188" s="4">
        <v>10</v>
      </c>
      <c r="J188" s="6">
        <v>52.3</v>
      </c>
      <c r="K188" s="7">
        <v>0.2</v>
      </c>
      <c r="L188" s="6">
        <f t="shared" si="8"/>
        <v>418.40000000000003</v>
      </c>
      <c r="M188" s="6">
        <v>28.85</v>
      </c>
      <c r="N188" s="8">
        <f t="shared" si="9"/>
        <v>129.90000000000003</v>
      </c>
      <c r="O188" s="4" t="s">
        <v>84</v>
      </c>
      <c r="P188" s="4" t="s">
        <v>33</v>
      </c>
      <c r="Q188" s="4">
        <v>4</v>
      </c>
      <c r="R188" s="21">
        <f t="shared" si="10"/>
        <v>0.3104684512428299</v>
      </c>
      <c r="S188" t="str">
        <f t="shared" si="11"/>
        <v>Small</v>
      </c>
    </row>
    <row r="189" spans="1:19" x14ac:dyDescent="0.35">
      <c r="A189" s="4" t="s">
        <v>416</v>
      </c>
      <c r="B189" s="5">
        <v>45726</v>
      </c>
      <c r="C189" s="4" t="s">
        <v>162</v>
      </c>
      <c r="D189" s="4" t="s">
        <v>47</v>
      </c>
      <c r="E189" s="4" t="s">
        <v>29</v>
      </c>
      <c r="F189" s="4" t="s">
        <v>30</v>
      </c>
      <c r="G189" s="4" t="s">
        <v>31</v>
      </c>
      <c r="H189" s="4" t="s">
        <v>147</v>
      </c>
      <c r="I189" s="4">
        <v>8</v>
      </c>
      <c r="J189" s="6">
        <v>97.58</v>
      </c>
      <c r="K189" s="7">
        <v>0.2</v>
      </c>
      <c r="L189" s="6">
        <f t="shared" si="8"/>
        <v>624.51200000000006</v>
      </c>
      <c r="M189" s="6">
        <v>54.69</v>
      </c>
      <c r="N189" s="8">
        <f t="shared" si="9"/>
        <v>186.99200000000008</v>
      </c>
      <c r="O189" s="4" t="s">
        <v>84</v>
      </c>
      <c r="P189" s="4" t="s">
        <v>118</v>
      </c>
      <c r="Q189" s="4">
        <v>5</v>
      </c>
      <c r="R189" s="21">
        <f t="shared" si="10"/>
        <v>0.29942098790735816</v>
      </c>
      <c r="S189" t="str">
        <f t="shared" si="11"/>
        <v>Medium</v>
      </c>
    </row>
    <row r="190" spans="1:19" x14ac:dyDescent="0.35">
      <c r="A190" s="4" t="s">
        <v>417</v>
      </c>
      <c r="B190" s="5">
        <v>45727</v>
      </c>
      <c r="C190" s="4" t="s">
        <v>418</v>
      </c>
      <c r="D190" s="4" t="s">
        <v>20</v>
      </c>
      <c r="E190" s="4" t="s">
        <v>87</v>
      </c>
      <c r="F190" s="4" t="s">
        <v>124</v>
      </c>
      <c r="G190" s="4" t="s">
        <v>31</v>
      </c>
      <c r="H190" s="4" t="s">
        <v>147</v>
      </c>
      <c r="I190" s="4">
        <v>8</v>
      </c>
      <c r="J190" s="6">
        <v>91.83</v>
      </c>
      <c r="K190" s="7">
        <v>0.15</v>
      </c>
      <c r="L190" s="6">
        <f t="shared" si="8"/>
        <v>624.44399999999996</v>
      </c>
      <c r="M190" s="6">
        <v>62.41</v>
      </c>
      <c r="N190" s="8">
        <f t="shared" si="9"/>
        <v>125.16399999999999</v>
      </c>
      <c r="O190" s="4" t="s">
        <v>25</v>
      </c>
      <c r="P190" s="4" t="s">
        <v>61</v>
      </c>
      <c r="Q190" s="4">
        <v>4</v>
      </c>
      <c r="R190" s="21">
        <f t="shared" si="10"/>
        <v>0.20044071205744629</v>
      </c>
      <c r="S190" t="str">
        <f t="shared" si="11"/>
        <v>Medium</v>
      </c>
    </row>
    <row r="191" spans="1:19" x14ac:dyDescent="0.35">
      <c r="A191" s="4" t="s">
        <v>419</v>
      </c>
      <c r="B191" s="5">
        <v>45728</v>
      </c>
      <c r="C191" s="4" t="s">
        <v>420</v>
      </c>
      <c r="D191" s="4" t="s">
        <v>43</v>
      </c>
      <c r="E191" s="4" t="s">
        <v>29</v>
      </c>
      <c r="F191" s="4" t="s">
        <v>54</v>
      </c>
      <c r="G191" s="4" t="s">
        <v>38</v>
      </c>
      <c r="H191" s="4" t="s">
        <v>109</v>
      </c>
      <c r="I191" s="4">
        <v>2</v>
      </c>
      <c r="J191" s="6">
        <v>781.33</v>
      </c>
      <c r="K191" s="7">
        <v>0.1</v>
      </c>
      <c r="L191" s="6">
        <f t="shared" si="8"/>
        <v>1406.394</v>
      </c>
      <c r="M191" s="6">
        <v>700.86</v>
      </c>
      <c r="N191" s="8">
        <f t="shared" si="9"/>
        <v>4.6739999999999782</v>
      </c>
      <c r="O191" s="4" t="s">
        <v>84</v>
      </c>
      <c r="P191" s="4" t="s">
        <v>118</v>
      </c>
      <c r="Q191" s="4">
        <v>2</v>
      </c>
      <c r="R191" s="21">
        <f t="shared" si="10"/>
        <v>3.3233930178882859E-3</v>
      </c>
      <c r="S191" t="str">
        <f t="shared" si="11"/>
        <v>Medium</v>
      </c>
    </row>
    <row r="192" spans="1:19" x14ac:dyDescent="0.35">
      <c r="A192" s="4" t="s">
        <v>421</v>
      </c>
      <c r="B192" s="5">
        <v>45728</v>
      </c>
      <c r="C192" s="4" t="s">
        <v>325</v>
      </c>
      <c r="D192" s="4" t="s">
        <v>20</v>
      </c>
      <c r="E192" s="4" t="s">
        <v>36</v>
      </c>
      <c r="F192" s="4" t="s">
        <v>48</v>
      </c>
      <c r="G192" s="4" t="s">
        <v>38</v>
      </c>
      <c r="H192" s="4" t="s">
        <v>109</v>
      </c>
      <c r="I192" s="4">
        <v>2</v>
      </c>
      <c r="J192" s="6">
        <v>919.49</v>
      </c>
      <c r="K192" s="7">
        <v>0.2</v>
      </c>
      <c r="L192" s="6">
        <f t="shared" si="8"/>
        <v>1471.1840000000002</v>
      </c>
      <c r="M192" s="6">
        <v>710.79</v>
      </c>
      <c r="N192" s="8">
        <f t="shared" si="9"/>
        <v>49.604000000000269</v>
      </c>
      <c r="O192" s="4" t="s">
        <v>60</v>
      </c>
      <c r="P192" s="4" t="s">
        <v>118</v>
      </c>
      <c r="Q192" s="4">
        <v>3</v>
      </c>
      <c r="R192" s="21">
        <f t="shared" si="10"/>
        <v>3.3717060544432416E-2</v>
      </c>
      <c r="S192" t="str">
        <f t="shared" si="11"/>
        <v>Medium</v>
      </c>
    </row>
    <row r="193" spans="1:19" x14ac:dyDescent="0.35">
      <c r="A193" s="4" t="s">
        <v>422</v>
      </c>
      <c r="B193" s="5">
        <v>45729</v>
      </c>
      <c r="C193" s="4" t="s">
        <v>423</v>
      </c>
      <c r="D193" s="4" t="s">
        <v>20</v>
      </c>
      <c r="E193" s="4" t="s">
        <v>29</v>
      </c>
      <c r="F193" s="4" t="s">
        <v>108</v>
      </c>
      <c r="G193" s="4" t="s">
        <v>38</v>
      </c>
      <c r="H193" s="4" t="s">
        <v>109</v>
      </c>
      <c r="I193" s="4">
        <v>2</v>
      </c>
      <c r="J193" s="6">
        <v>885.88</v>
      </c>
      <c r="K193" s="7">
        <v>0.1</v>
      </c>
      <c r="L193" s="6">
        <f t="shared" si="8"/>
        <v>1594.5840000000001</v>
      </c>
      <c r="M193" s="6">
        <v>739.24</v>
      </c>
      <c r="N193" s="8">
        <f t="shared" si="9"/>
        <v>116.10400000000004</v>
      </c>
      <c r="O193" s="4" t="s">
        <v>51</v>
      </c>
      <c r="P193" s="4" t="s">
        <v>118</v>
      </c>
      <c r="Q193" s="4">
        <v>3</v>
      </c>
      <c r="R193" s="21">
        <f t="shared" si="10"/>
        <v>7.2811466815169368E-2</v>
      </c>
      <c r="S193" t="str">
        <f t="shared" si="11"/>
        <v>Medium</v>
      </c>
    </row>
    <row r="194" spans="1:19" x14ac:dyDescent="0.35">
      <c r="A194" s="4" t="s">
        <v>424</v>
      </c>
      <c r="B194" s="5">
        <v>45729</v>
      </c>
      <c r="C194" s="4" t="s">
        <v>425</v>
      </c>
      <c r="D194" s="4" t="s">
        <v>20</v>
      </c>
      <c r="E194" s="4" t="s">
        <v>36</v>
      </c>
      <c r="F194" s="4" t="s">
        <v>48</v>
      </c>
      <c r="G194" s="4" t="s">
        <v>23</v>
      </c>
      <c r="H194" s="4" t="s">
        <v>24</v>
      </c>
      <c r="I194" s="4">
        <v>1</v>
      </c>
      <c r="J194" s="6">
        <v>49.59</v>
      </c>
      <c r="K194" s="7">
        <v>0</v>
      </c>
      <c r="L194" s="6">
        <f t="shared" ref="L194:L257" si="12">I194*J194*(1-K194)</f>
        <v>49.59</v>
      </c>
      <c r="M194" s="6">
        <v>23.13</v>
      </c>
      <c r="N194" s="8">
        <f t="shared" ref="N194:N257" si="13">L194-I194*M194</f>
        <v>26.460000000000004</v>
      </c>
      <c r="O194" s="4" t="s">
        <v>40</v>
      </c>
      <c r="P194" s="4" t="s">
        <v>75</v>
      </c>
      <c r="Q194" s="4">
        <v>3</v>
      </c>
      <c r="R194" s="21">
        <f t="shared" si="10"/>
        <v>0.53357531760435573</v>
      </c>
      <c r="S194" t="str">
        <f t="shared" si="11"/>
        <v>Small</v>
      </c>
    </row>
    <row r="195" spans="1:19" x14ac:dyDescent="0.35">
      <c r="A195" s="4" t="s">
        <v>426</v>
      </c>
      <c r="B195" s="5">
        <v>45729</v>
      </c>
      <c r="C195" s="4" t="s">
        <v>427</v>
      </c>
      <c r="D195" s="4" t="s">
        <v>43</v>
      </c>
      <c r="E195" s="4" t="s">
        <v>29</v>
      </c>
      <c r="F195" s="4" t="s">
        <v>54</v>
      </c>
      <c r="G195" s="4" t="s">
        <v>67</v>
      </c>
      <c r="H195" s="4" t="s">
        <v>93</v>
      </c>
      <c r="I195" s="4">
        <v>2</v>
      </c>
      <c r="J195" s="6">
        <v>427.03</v>
      </c>
      <c r="K195" s="7">
        <v>0</v>
      </c>
      <c r="L195" s="6">
        <f t="shared" si="12"/>
        <v>854.06</v>
      </c>
      <c r="M195" s="6">
        <v>332.73</v>
      </c>
      <c r="N195" s="8">
        <f t="shared" si="13"/>
        <v>188.59999999999991</v>
      </c>
      <c r="O195" s="4" t="s">
        <v>84</v>
      </c>
      <c r="P195" s="4" t="s">
        <v>56</v>
      </c>
      <c r="Q195" s="4">
        <v>5</v>
      </c>
      <c r="R195" s="21">
        <f t="shared" ref="R195:R258" si="14">IF(L195=0,0,N195/L195)</f>
        <v>0.22082757651687226</v>
      </c>
      <c r="S195" t="str">
        <f t="shared" ref="S195:S258" si="15">IF(L195&gt;=2000,"Large",IF(L195&gt;=500,"Medium","Small"))</f>
        <v>Medium</v>
      </c>
    </row>
    <row r="196" spans="1:19" x14ac:dyDescent="0.35">
      <c r="A196" s="4" t="s">
        <v>428</v>
      </c>
      <c r="B196" s="5">
        <v>45731</v>
      </c>
      <c r="C196" s="4" t="s">
        <v>429</v>
      </c>
      <c r="D196" s="4" t="s">
        <v>20</v>
      </c>
      <c r="E196" s="4" t="s">
        <v>87</v>
      </c>
      <c r="F196" s="4" t="s">
        <v>124</v>
      </c>
      <c r="G196" s="4" t="s">
        <v>31</v>
      </c>
      <c r="H196" s="4" t="s">
        <v>64</v>
      </c>
      <c r="I196" s="4">
        <v>1</v>
      </c>
      <c r="J196" s="6">
        <v>133.79</v>
      </c>
      <c r="K196" s="7">
        <v>0</v>
      </c>
      <c r="L196" s="6">
        <f t="shared" si="12"/>
        <v>133.79</v>
      </c>
      <c r="M196" s="6">
        <v>93.25</v>
      </c>
      <c r="N196" s="8">
        <f t="shared" si="13"/>
        <v>40.539999999999992</v>
      </c>
      <c r="O196" s="4" t="s">
        <v>60</v>
      </c>
      <c r="P196" s="4" t="s">
        <v>75</v>
      </c>
      <c r="Q196" s="4">
        <v>4</v>
      </c>
      <c r="R196" s="21">
        <f t="shared" si="14"/>
        <v>0.30301218327229235</v>
      </c>
      <c r="S196" t="str">
        <f t="shared" si="15"/>
        <v>Small</v>
      </c>
    </row>
    <row r="197" spans="1:19" x14ac:dyDescent="0.35">
      <c r="A197" s="4" t="s">
        <v>430</v>
      </c>
      <c r="B197" s="5">
        <v>45733</v>
      </c>
      <c r="C197" s="4" t="s">
        <v>431</v>
      </c>
      <c r="D197" s="4" t="s">
        <v>20</v>
      </c>
      <c r="E197" s="4" t="s">
        <v>29</v>
      </c>
      <c r="F197" s="4" t="s">
        <v>30</v>
      </c>
      <c r="G197" s="4" t="s">
        <v>31</v>
      </c>
      <c r="H197" s="4" t="s">
        <v>125</v>
      </c>
      <c r="I197" s="4">
        <v>2</v>
      </c>
      <c r="J197" s="6">
        <v>180.37</v>
      </c>
      <c r="K197" s="7">
        <v>0</v>
      </c>
      <c r="L197" s="6">
        <f t="shared" si="12"/>
        <v>360.74</v>
      </c>
      <c r="M197" s="6">
        <v>117.49</v>
      </c>
      <c r="N197" s="8">
        <f t="shared" si="13"/>
        <v>125.76000000000002</v>
      </c>
      <c r="O197" s="4" t="s">
        <v>84</v>
      </c>
      <c r="P197" s="4" t="s">
        <v>61</v>
      </c>
      <c r="Q197" s="4">
        <v>4</v>
      </c>
      <c r="R197" s="21">
        <f t="shared" si="14"/>
        <v>0.34861673227255091</v>
      </c>
      <c r="S197" t="str">
        <f t="shared" si="15"/>
        <v>Small</v>
      </c>
    </row>
    <row r="198" spans="1:19" x14ac:dyDescent="0.35">
      <c r="A198" s="4" t="s">
        <v>432</v>
      </c>
      <c r="B198" s="5">
        <v>45733</v>
      </c>
      <c r="C198" s="4" t="s">
        <v>42</v>
      </c>
      <c r="D198" s="4" t="s">
        <v>20</v>
      </c>
      <c r="E198" s="4" t="s">
        <v>21</v>
      </c>
      <c r="F198" s="4" t="s">
        <v>22</v>
      </c>
      <c r="G198" s="4" t="s">
        <v>31</v>
      </c>
      <c r="H198" s="4" t="s">
        <v>147</v>
      </c>
      <c r="I198" s="4">
        <v>2</v>
      </c>
      <c r="J198" s="6">
        <v>53.02</v>
      </c>
      <c r="K198" s="7">
        <v>0.15</v>
      </c>
      <c r="L198" s="6">
        <f t="shared" si="12"/>
        <v>90.134</v>
      </c>
      <c r="M198" s="6">
        <v>36.39</v>
      </c>
      <c r="N198" s="8">
        <f t="shared" si="13"/>
        <v>17.353999999999999</v>
      </c>
      <c r="O198" s="4" t="s">
        <v>60</v>
      </c>
      <c r="P198" s="4" t="s">
        <v>56</v>
      </c>
      <c r="Q198" s="4">
        <v>4</v>
      </c>
      <c r="R198" s="21">
        <f t="shared" si="14"/>
        <v>0.19253555816894843</v>
      </c>
      <c r="S198" t="str">
        <f t="shared" si="15"/>
        <v>Small</v>
      </c>
    </row>
    <row r="199" spans="1:19" x14ac:dyDescent="0.35">
      <c r="A199" s="4" t="s">
        <v>433</v>
      </c>
      <c r="B199" s="5">
        <v>45733</v>
      </c>
      <c r="C199" s="4" t="s">
        <v>83</v>
      </c>
      <c r="D199" s="4" t="s">
        <v>43</v>
      </c>
      <c r="E199" s="4" t="s">
        <v>87</v>
      </c>
      <c r="F199" s="4" t="s">
        <v>124</v>
      </c>
      <c r="G199" s="4" t="s">
        <v>49</v>
      </c>
      <c r="H199" s="4" t="s">
        <v>187</v>
      </c>
      <c r="I199" s="4">
        <v>6</v>
      </c>
      <c r="J199" s="6">
        <v>135.68</v>
      </c>
      <c r="K199" s="7">
        <v>0</v>
      </c>
      <c r="L199" s="6">
        <f t="shared" si="12"/>
        <v>814.08</v>
      </c>
      <c r="M199" s="6">
        <v>90.06</v>
      </c>
      <c r="N199" s="8">
        <f t="shared" si="13"/>
        <v>273.72000000000003</v>
      </c>
      <c r="O199" s="4" t="s">
        <v>84</v>
      </c>
      <c r="P199" s="4" t="s">
        <v>72</v>
      </c>
      <c r="Q199" s="4">
        <v>4</v>
      </c>
      <c r="R199" s="21">
        <f t="shared" si="14"/>
        <v>0.33623231132075471</v>
      </c>
      <c r="S199" t="str">
        <f t="shared" si="15"/>
        <v>Medium</v>
      </c>
    </row>
    <row r="200" spans="1:19" x14ac:dyDescent="0.35">
      <c r="A200" s="4" t="s">
        <v>434</v>
      </c>
      <c r="B200" s="5">
        <v>45734</v>
      </c>
      <c r="C200" s="4" t="s">
        <v>435</v>
      </c>
      <c r="D200" s="4" t="s">
        <v>47</v>
      </c>
      <c r="E200" s="4" t="s">
        <v>21</v>
      </c>
      <c r="F200" s="4" t="s">
        <v>22</v>
      </c>
      <c r="G200" s="4" t="s">
        <v>23</v>
      </c>
      <c r="H200" s="4" t="s">
        <v>71</v>
      </c>
      <c r="I200" s="4">
        <v>2</v>
      </c>
      <c r="J200" s="6">
        <v>160.6</v>
      </c>
      <c r="K200" s="7">
        <v>0.05</v>
      </c>
      <c r="L200" s="6">
        <f t="shared" si="12"/>
        <v>305.14</v>
      </c>
      <c r="M200" s="6">
        <v>92.45</v>
      </c>
      <c r="N200" s="8">
        <f t="shared" si="13"/>
        <v>120.23999999999998</v>
      </c>
      <c r="O200" s="4" t="s">
        <v>60</v>
      </c>
      <c r="P200" s="4" t="s">
        <v>118</v>
      </c>
      <c r="Q200" s="4">
        <v>1</v>
      </c>
      <c r="R200" s="21">
        <f t="shared" si="14"/>
        <v>0.39404863341417051</v>
      </c>
      <c r="S200" t="str">
        <f t="shared" si="15"/>
        <v>Small</v>
      </c>
    </row>
    <row r="201" spans="1:19" x14ac:dyDescent="0.35">
      <c r="A201" s="4" t="s">
        <v>436</v>
      </c>
      <c r="B201" s="5">
        <v>45734</v>
      </c>
      <c r="C201" s="4" t="s">
        <v>437</v>
      </c>
      <c r="D201" s="4" t="s">
        <v>47</v>
      </c>
      <c r="E201" s="4" t="s">
        <v>87</v>
      </c>
      <c r="F201" s="4" t="s">
        <v>88</v>
      </c>
      <c r="G201" s="4" t="s">
        <v>38</v>
      </c>
      <c r="H201" s="4" t="s">
        <v>39</v>
      </c>
      <c r="I201" s="4">
        <v>3</v>
      </c>
      <c r="J201" s="6">
        <v>257.72000000000003</v>
      </c>
      <c r="K201" s="7">
        <v>0.2</v>
      </c>
      <c r="L201" s="6">
        <f t="shared" si="12"/>
        <v>618.52800000000013</v>
      </c>
      <c r="M201" s="6">
        <v>228.2</v>
      </c>
      <c r="N201" s="8">
        <f t="shared" si="13"/>
        <v>-66.071999999999775</v>
      </c>
      <c r="O201" s="4" t="s">
        <v>25</v>
      </c>
      <c r="P201" s="4" t="s">
        <v>97</v>
      </c>
      <c r="Q201" s="4">
        <v>4</v>
      </c>
      <c r="R201" s="21">
        <f t="shared" si="14"/>
        <v>-0.10682135651094173</v>
      </c>
      <c r="S201" t="str">
        <f t="shared" si="15"/>
        <v>Medium</v>
      </c>
    </row>
    <row r="202" spans="1:19" x14ac:dyDescent="0.35">
      <c r="A202" s="4" t="s">
        <v>438</v>
      </c>
      <c r="B202" s="5">
        <v>45735</v>
      </c>
      <c r="C202" s="4" t="s">
        <v>264</v>
      </c>
      <c r="D202" s="4" t="s">
        <v>47</v>
      </c>
      <c r="E202" s="4" t="s">
        <v>87</v>
      </c>
      <c r="F202" s="4" t="s">
        <v>92</v>
      </c>
      <c r="G202" s="4" t="s">
        <v>49</v>
      </c>
      <c r="H202" s="4" t="s">
        <v>78</v>
      </c>
      <c r="I202" s="4">
        <v>6</v>
      </c>
      <c r="J202" s="6">
        <v>209.24</v>
      </c>
      <c r="K202" s="7">
        <v>0</v>
      </c>
      <c r="L202" s="6">
        <f t="shared" si="12"/>
        <v>1255.44</v>
      </c>
      <c r="M202" s="6">
        <v>134.16</v>
      </c>
      <c r="N202" s="8">
        <f t="shared" si="13"/>
        <v>450.48</v>
      </c>
      <c r="O202" s="4" t="s">
        <v>25</v>
      </c>
      <c r="P202" s="4" t="s">
        <v>26</v>
      </c>
      <c r="Q202" s="4">
        <v>4</v>
      </c>
      <c r="R202" s="21">
        <f t="shared" si="14"/>
        <v>0.35882240489390171</v>
      </c>
      <c r="S202" t="str">
        <f t="shared" si="15"/>
        <v>Medium</v>
      </c>
    </row>
    <row r="203" spans="1:19" x14ac:dyDescent="0.35">
      <c r="A203" s="4" t="s">
        <v>439</v>
      </c>
      <c r="B203" s="5">
        <v>45735</v>
      </c>
      <c r="C203" s="4" t="s">
        <v>245</v>
      </c>
      <c r="D203" s="4" t="s">
        <v>20</v>
      </c>
      <c r="E203" s="4" t="s">
        <v>21</v>
      </c>
      <c r="F203" s="4" t="s">
        <v>22</v>
      </c>
      <c r="G203" s="4" t="s">
        <v>38</v>
      </c>
      <c r="H203" s="4" t="s">
        <v>55</v>
      </c>
      <c r="I203" s="4">
        <v>3</v>
      </c>
      <c r="J203" s="6">
        <v>182.35</v>
      </c>
      <c r="K203" s="7">
        <v>0.15</v>
      </c>
      <c r="L203" s="6">
        <f t="shared" si="12"/>
        <v>464.99249999999995</v>
      </c>
      <c r="M203" s="6">
        <v>159.97999999999999</v>
      </c>
      <c r="N203" s="8">
        <f t="shared" si="13"/>
        <v>-14.947499999999991</v>
      </c>
      <c r="O203" s="4" t="s">
        <v>84</v>
      </c>
      <c r="P203" s="4" t="s">
        <v>75</v>
      </c>
      <c r="Q203" s="4">
        <v>5</v>
      </c>
      <c r="R203" s="21">
        <f t="shared" si="14"/>
        <v>-3.2145679769028518E-2</v>
      </c>
      <c r="S203" t="str">
        <f t="shared" si="15"/>
        <v>Small</v>
      </c>
    </row>
    <row r="204" spans="1:19" x14ac:dyDescent="0.35">
      <c r="A204" s="4" t="s">
        <v>440</v>
      </c>
      <c r="B204" s="5">
        <v>45736</v>
      </c>
      <c r="C204" s="4" t="s">
        <v>189</v>
      </c>
      <c r="D204" s="4" t="s">
        <v>43</v>
      </c>
      <c r="E204" s="4" t="s">
        <v>29</v>
      </c>
      <c r="F204" s="4" t="s">
        <v>108</v>
      </c>
      <c r="G204" s="4" t="s">
        <v>31</v>
      </c>
      <c r="H204" s="4" t="s">
        <v>32</v>
      </c>
      <c r="I204" s="4">
        <v>6</v>
      </c>
      <c r="J204" s="6">
        <v>388.66</v>
      </c>
      <c r="K204" s="7">
        <v>0.05</v>
      </c>
      <c r="L204" s="6">
        <f t="shared" si="12"/>
        <v>2215.3620000000001</v>
      </c>
      <c r="M204" s="6">
        <v>238.09</v>
      </c>
      <c r="N204" s="8">
        <f t="shared" si="13"/>
        <v>786.82200000000012</v>
      </c>
      <c r="O204" s="4" t="s">
        <v>60</v>
      </c>
      <c r="P204" s="4" t="s">
        <v>61</v>
      </c>
      <c r="Q204" s="4">
        <v>3</v>
      </c>
      <c r="R204" s="21">
        <f t="shared" si="14"/>
        <v>0.35516633398965952</v>
      </c>
      <c r="S204" t="str">
        <f t="shared" si="15"/>
        <v>Large</v>
      </c>
    </row>
    <row r="205" spans="1:19" x14ac:dyDescent="0.35">
      <c r="A205" s="4" t="s">
        <v>441</v>
      </c>
      <c r="B205" s="5">
        <v>45736</v>
      </c>
      <c r="C205" s="4" t="s">
        <v>442</v>
      </c>
      <c r="D205" s="4" t="s">
        <v>43</v>
      </c>
      <c r="E205" s="4" t="s">
        <v>87</v>
      </c>
      <c r="F205" s="4" t="s">
        <v>88</v>
      </c>
      <c r="G205" s="4" t="s">
        <v>31</v>
      </c>
      <c r="H205" s="4" t="s">
        <v>125</v>
      </c>
      <c r="I205" s="4">
        <v>1</v>
      </c>
      <c r="J205" s="6">
        <v>191.34</v>
      </c>
      <c r="K205" s="7">
        <v>0.05</v>
      </c>
      <c r="L205" s="6">
        <f t="shared" si="12"/>
        <v>181.773</v>
      </c>
      <c r="M205" s="6">
        <v>137.11000000000001</v>
      </c>
      <c r="N205" s="8">
        <f t="shared" si="13"/>
        <v>44.662999999999982</v>
      </c>
      <c r="O205" s="4" t="s">
        <v>84</v>
      </c>
      <c r="P205" s="4" t="s">
        <v>61</v>
      </c>
      <c r="Q205" s="4">
        <v>5</v>
      </c>
      <c r="R205" s="21">
        <f t="shared" si="14"/>
        <v>0.24570755832824448</v>
      </c>
      <c r="S205" t="str">
        <f t="shared" si="15"/>
        <v>Small</v>
      </c>
    </row>
    <row r="206" spans="1:19" x14ac:dyDescent="0.35">
      <c r="A206" s="4" t="s">
        <v>443</v>
      </c>
      <c r="B206" s="5">
        <v>45736</v>
      </c>
      <c r="C206" s="4" t="s">
        <v>444</v>
      </c>
      <c r="D206" s="4" t="s">
        <v>20</v>
      </c>
      <c r="E206" s="4" t="s">
        <v>36</v>
      </c>
      <c r="F206" s="4" t="s">
        <v>201</v>
      </c>
      <c r="G206" s="4" t="s">
        <v>67</v>
      </c>
      <c r="H206" s="4" t="s">
        <v>121</v>
      </c>
      <c r="I206" s="4">
        <v>2</v>
      </c>
      <c r="J206" s="6">
        <v>112.2</v>
      </c>
      <c r="K206" s="7">
        <v>0.15</v>
      </c>
      <c r="L206" s="6">
        <f t="shared" si="12"/>
        <v>190.74</v>
      </c>
      <c r="M206" s="6">
        <v>77.28</v>
      </c>
      <c r="N206" s="8">
        <f t="shared" si="13"/>
        <v>36.180000000000007</v>
      </c>
      <c r="O206" s="4" t="s">
        <v>51</v>
      </c>
      <c r="P206" s="4" t="s">
        <v>97</v>
      </c>
      <c r="Q206" s="4">
        <v>2</v>
      </c>
      <c r="R206" s="21">
        <f t="shared" si="14"/>
        <v>0.18968229002831083</v>
      </c>
      <c r="S206" t="str">
        <f t="shared" si="15"/>
        <v>Small</v>
      </c>
    </row>
    <row r="207" spans="1:19" x14ac:dyDescent="0.35">
      <c r="A207" s="4" t="s">
        <v>445</v>
      </c>
      <c r="B207" s="5">
        <v>45736</v>
      </c>
      <c r="C207" s="4" t="s">
        <v>446</v>
      </c>
      <c r="D207" s="4" t="s">
        <v>20</v>
      </c>
      <c r="E207" s="4" t="s">
        <v>21</v>
      </c>
      <c r="F207" s="4" t="s">
        <v>22</v>
      </c>
      <c r="G207" s="4" t="s">
        <v>38</v>
      </c>
      <c r="H207" s="4" t="s">
        <v>39</v>
      </c>
      <c r="I207" s="4">
        <v>3</v>
      </c>
      <c r="J207" s="6">
        <v>297.54000000000002</v>
      </c>
      <c r="K207" s="7">
        <v>0</v>
      </c>
      <c r="L207" s="6">
        <f t="shared" si="12"/>
        <v>892.62000000000012</v>
      </c>
      <c r="M207" s="6">
        <v>233.94</v>
      </c>
      <c r="N207" s="8">
        <f t="shared" si="13"/>
        <v>190.80000000000018</v>
      </c>
      <c r="O207" s="4" t="s">
        <v>25</v>
      </c>
      <c r="P207" s="4" t="s">
        <v>97</v>
      </c>
      <c r="Q207" s="4">
        <v>3</v>
      </c>
      <c r="R207" s="21">
        <f t="shared" si="14"/>
        <v>0.21375277273643897</v>
      </c>
      <c r="S207" t="str">
        <f t="shared" si="15"/>
        <v>Medium</v>
      </c>
    </row>
    <row r="208" spans="1:19" x14ac:dyDescent="0.35">
      <c r="A208" s="4" t="s">
        <v>447</v>
      </c>
      <c r="B208" s="5">
        <v>45736</v>
      </c>
      <c r="C208" s="4" t="s">
        <v>448</v>
      </c>
      <c r="D208" s="4" t="s">
        <v>43</v>
      </c>
      <c r="E208" s="4" t="s">
        <v>87</v>
      </c>
      <c r="F208" s="4" t="s">
        <v>124</v>
      </c>
      <c r="G208" s="4" t="s">
        <v>31</v>
      </c>
      <c r="H208" s="4" t="s">
        <v>32</v>
      </c>
      <c r="I208" s="4">
        <v>3</v>
      </c>
      <c r="J208" s="6">
        <v>82.36</v>
      </c>
      <c r="K208" s="7">
        <v>0.1</v>
      </c>
      <c r="L208" s="6">
        <f t="shared" si="12"/>
        <v>222.37199999999999</v>
      </c>
      <c r="M208" s="6">
        <v>57.23</v>
      </c>
      <c r="N208" s="8">
        <f t="shared" si="13"/>
        <v>50.681999999999988</v>
      </c>
      <c r="O208" s="4" t="s">
        <v>25</v>
      </c>
      <c r="P208" s="4" t="s">
        <v>72</v>
      </c>
      <c r="Q208" s="4">
        <v>2</v>
      </c>
      <c r="R208" s="21">
        <f t="shared" si="14"/>
        <v>0.22791538503048941</v>
      </c>
      <c r="S208" t="str">
        <f t="shared" si="15"/>
        <v>Small</v>
      </c>
    </row>
    <row r="209" spans="1:19" x14ac:dyDescent="0.35">
      <c r="A209" s="4" t="s">
        <v>449</v>
      </c>
      <c r="B209" s="5">
        <v>45737</v>
      </c>
      <c r="C209" s="4" t="s">
        <v>450</v>
      </c>
      <c r="D209" s="4" t="s">
        <v>20</v>
      </c>
      <c r="E209" s="4" t="s">
        <v>36</v>
      </c>
      <c r="F209" s="4" t="s">
        <v>201</v>
      </c>
      <c r="G209" s="4" t="s">
        <v>23</v>
      </c>
      <c r="H209" s="4" t="s">
        <v>71</v>
      </c>
      <c r="I209" s="4">
        <v>1</v>
      </c>
      <c r="J209" s="6">
        <v>201.98</v>
      </c>
      <c r="K209" s="7">
        <v>0.05</v>
      </c>
      <c r="L209" s="6">
        <f t="shared" si="12"/>
        <v>191.88099999999997</v>
      </c>
      <c r="M209" s="6">
        <v>130.27000000000001</v>
      </c>
      <c r="N209" s="8">
        <f t="shared" si="13"/>
        <v>61.610999999999962</v>
      </c>
      <c r="O209" s="4" t="s">
        <v>60</v>
      </c>
      <c r="P209" s="4" t="s">
        <v>72</v>
      </c>
      <c r="Q209" s="4">
        <v>3</v>
      </c>
      <c r="R209" s="21">
        <f t="shared" si="14"/>
        <v>0.32108963367920729</v>
      </c>
      <c r="S209" t="str">
        <f t="shared" si="15"/>
        <v>Small</v>
      </c>
    </row>
    <row r="210" spans="1:19" x14ac:dyDescent="0.35">
      <c r="A210" s="4" t="s">
        <v>451</v>
      </c>
      <c r="B210" s="5">
        <v>45737</v>
      </c>
      <c r="C210" s="4" t="s">
        <v>452</v>
      </c>
      <c r="D210" s="4" t="s">
        <v>43</v>
      </c>
      <c r="E210" s="4" t="s">
        <v>29</v>
      </c>
      <c r="F210" s="4" t="s">
        <v>108</v>
      </c>
      <c r="G210" s="4" t="s">
        <v>49</v>
      </c>
      <c r="H210" s="4" t="s">
        <v>187</v>
      </c>
      <c r="I210" s="4">
        <v>3</v>
      </c>
      <c r="J210" s="6">
        <v>146.1</v>
      </c>
      <c r="K210" s="7">
        <v>0</v>
      </c>
      <c r="L210" s="6">
        <f t="shared" si="12"/>
        <v>438.29999999999995</v>
      </c>
      <c r="M210" s="6">
        <v>100.2</v>
      </c>
      <c r="N210" s="8">
        <f t="shared" si="13"/>
        <v>137.69999999999993</v>
      </c>
      <c r="O210" s="4" t="s">
        <v>40</v>
      </c>
      <c r="P210" s="4" t="s">
        <v>118</v>
      </c>
      <c r="Q210" s="4">
        <v>5</v>
      </c>
      <c r="R210" s="21">
        <f t="shared" si="14"/>
        <v>0.31416837782340851</v>
      </c>
      <c r="S210" t="str">
        <f t="shared" si="15"/>
        <v>Small</v>
      </c>
    </row>
    <row r="211" spans="1:19" x14ac:dyDescent="0.35">
      <c r="A211" s="4" t="s">
        <v>453</v>
      </c>
      <c r="B211" s="5">
        <v>45737</v>
      </c>
      <c r="C211" s="4" t="s">
        <v>237</v>
      </c>
      <c r="D211" s="4" t="s">
        <v>47</v>
      </c>
      <c r="E211" s="4" t="s">
        <v>29</v>
      </c>
      <c r="F211" s="4" t="s">
        <v>54</v>
      </c>
      <c r="G211" s="4" t="s">
        <v>23</v>
      </c>
      <c r="H211" s="4" t="s">
        <v>24</v>
      </c>
      <c r="I211" s="4">
        <v>4</v>
      </c>
      <c r="J211" s="6">
        <v>29.27</v>
      </c>
      <c r="K211" s="7">
        <v>0.05</v>
      </c>
      <c r="L211" s="6">
        <f t="shared" si="12"/>
        <v>111.226</v>
      </c>
      <c r="M211" s="6">
        <v>13.83</v>
      </c>
      <c r="N211" s="8">
        <f t="shared" si="13"/>
        <v>55.905999999999999</v>
      </c>
      <c r="O211" s="4" t="s">
        <v>84</v>
      </c>
      <c r="P211" s="4" t="s">
        <v>72</v>
      </c>
      <c r="Q211" s="4">
        <v>5</v>
      </c>
      <c r="R211" s="21">
        <f t="shared" si="14"/>
        <v>0.50263427615845213</v>
      </c>
      <c r="S211" t="str">
        <f t="shared" si="15"/>
        <v>Small</v>
      </c>
    </row>
    <row r="212" spans="1:19" x14ac:dyDescent="0.35">
      <c r="A212" s="4" t="s">
        <v>454</v>
      </c>
      <c r="B212" s="5">
        <v>45737</v>
      </c>
      <c r="C212" s="4" t="s">
        <v>280</v>
      </c>
      <c r="D212" s="4" t="s">
        <v>20</v>
      </c>
      <c r="E212" s="4" t="s">
        <v>36</v>
      </c>
      <c r="F212" s="4" t="s">
        <v>37</v>
      </c>
      <c r="G212" s="4" t="s">
        <v>38</v>
      </c>
      <c r="H212" s="4" t="s">
        <v>89</v>
      </c>
      <c r="I212" s="4">
        <v>1</v>
      </c>
      <c r="J212" s="6">
        <v>837.12</v>
      </c>
      <c r="K212" s="7">
        <v>0</v>
      </c>
      <c r="L212" s="6">
        <f t="shared" si="12"/>
        <v>837.12</v>
      </c>
      <c r="M212" s="6">
        <v>696.09</v>
      </c>
      <c r="N212" s="8">
        <f t="shared" si="13"/>
        <v>141.02999999999997</v>
      </c>
      <c r="O212" s="4" t="s">
        <v>40</v>
      </c>
      <c r="P212" s="4" t="s">
        <v>56</v>
      </c>
      <c r="Q212" s="4">
        <v>4</v>
      </c>
      <c r="R212" s="21">
        <f t="shared" si="14"/>
        <v>0.16847047018348621</v>
      </c>
      <c r="S212" t="str">
        <f t="shared" si="15"/>
        <v>Medium</v>
      </c>
    </row>
    <row r="213" spans="1:19" x14ac:dyDescent="0.35">
      <c r="A213" s="4" t="s">
        <v>455</v>
      </c>
      <c r="B213" s="5">
        <v>45738</v>
      </c>
      <c r="C213" s="4" t="s">
        <v>456</v>
      </c>
      <c r="D213" s="4" t="s">
        <v>20</v>
      </c>
      <c r="E213" s="4" t="s">
        <v>29</v>
      </c>
      <c r="F213" s="4" t="s">
        <v>108</v>
      </c>
      <c r="G213" s="4" t="s">
        <v>38</v>
      </c>
      <c r="H213" s="4" t="s">
        <v>96</v>
      </c>
      <c r="I213" s="4">
        <v>3</v>
      </c>
      <c r="J213" s="6">
        <v>476.72</v>
      </c>
      <c r="K213" s="7">
        <v>0</v>
      </c>
      <c r="L213" s="6">
        <f t="shared" si="12"/>
        <v>1430.16</v>
      </c>
      <c r="M213" s="6">
        <v>416.35</v>
      </c>
      <c r="N213" s="8">
        <f t="shared" si="13"/>
        <v>181.1099999999999</v>
      </c>
      <c r="O213" s="4" t="s">
        <v>60</v>
      </c>
      <c r="P213" s="4" t="s">
        <v>33</v>
      </c>
      <c r="Q213" s="4">
        <v>1</v>
      </c>
      <c r="R213" s="21">
        <f t="shared" si="14"/>
        <v>0.12663618056720918</v>
      </c>
      <c r="S213" t="str">
        <f t="shared" si="15"/>
        <v>Medium</v>
      </c>
    </row>
    <row r="214" spans="1:19" x14ac:dyDescent="0.35">
      <c r="A214" s="4" t="s">
        <v>457</v>
      </c>
      <c r="B214" s="5">
        <v>45738</v>
      </c>
      <c r="C214" s="4" t="s">
        <v>74</v>
      </c>
      <c r="D214" s="4" t="s">
        <v>43</v>
      </c>
      <c r="E214" s="4" t="s">
        <v>87</v>
      </c>
      <c r="F214" s="4" t="s">
        <v>124</v>
      </c>
      <c r="G214" s="4" t="s">
        <v>38</v>
      </c>
      <c r="H214" s="4" t="s">
        <v>39</v>
      </c>
      <c r="I214" s="4">
        <v>1</v>
      </c>
      <c r="J214" s="6">
        <v>368.54</v>
      </c>
      <c r="K214" s="7">
        <v>0</v>
      </c>
      <c r="L214" s="6">
        <f t="shared" si="12"/>
        <v>368.54</v>
      </c>
      <c r="M214" s="6">
        <v>319.83999999999997</v>
      </c>
      <c r="N214" s="8">
        <f t="shared" si="13"/>
        <v>48.700000000000045</v>
      </c>
      <c r="O214" s="4" t="s">
        <v>51</v>
      </c>
      <c r="P214" s="4" t="s">
        <v>75</v>
      </c>
      <c r="Q214" s="4">
        <v>5</v>
      </c>
      <c r="R214" s="21">
        <f t="shared" si="14"/>
        <v>0.13214305095783374</v>
      </c>
      <c r="S214" t="str">
        <f t="shared" si="15"/>
        <v>Small</v>
      </c>
    </row>
    <row r="215" spans="1:19" x14ac:dyDescent="0.35">
      <c r="A215" s="4" t="s">
        <v>458</v>
      </c>
      <c r="B215" s="5">
        <v>45738</v>
      </c>
      <c r="C215" s="4" t="s">
        <v>459</v>
      </c>
      <c r="D215" s="4" t="s">
        <v>43</v>
      </c>
      <c r="E215" s="4" t="s">
        <v>87</v>
      </c>
      <c r="F215" s="4" t="s">
        <v>124</v>
      </c>
      <c r="G215" s="4" t="s">
        <v>49</v>
      </c>
      <c r="H215" s="4" t="s">
        <v>50</v>
      </c>
      <c r="I215" s="4">
        <v>5</v>
      </c>
      <c r="J215" s="6">
        <v>30.02</v>
      </c>
      <c r="K215" s="7">
        <v>0</v>
      </c>
      <c r="L215" s="6">
        <f t="shared" si="12"/>
        <v>150.1</v>
      </c>
      <c r="M215" s="6">
        <v>21.72</v>
      </c>
      <c r="N215" s="8">
        <f t="shared" si="13"/>
        <v>41.5</v>
      </c>
      <c r="O215" s="4" t="s">
        <v>25</v>
      </c>
      <c r="P215" s="4" t="s">
        <v>97</v>
      </c>
      <c r="Q215" s="4">
        <v>5</v>
      </c>
      <c r="R215" s="21">
        <f t="shared" si="14"/>
        <v>0.27648234510326453</v>
      </c>
      <c r="S215" t="str">
        <f t="shared" si="15"/>
        <v>Small</v>
      </c>
    </row>
    <row r="216" spans="1:19" x14ac:dyDescent="0.35">
      <c r="A216" s="4" t="s">
        <v>460</v>
      </c>
      <c r="B216" s="5">
        <v>45738</v>
      </c>
      <c r="C216" s="4" t="s">
        <v>400</v>
      </c>
      <c r="D216" s="4" t="s">
        <v>43</v>
      </c>
      <c r="E216" s="4" t="s">
        <v>29</v>
      </c>
      <c r="F216" s="4" t="s">
        <v>108</v>
      </c>
      <c r="G216" s="4" t="s">
        <v>49</v>
      </c>
      <c r="H216" s="4" t="s">
        <v>187</v>
      </c>
      <c r="I216" s="4">
        <v>1</v>
      </c>
      <c r="J216" s="6">
        <v>67.8</v>
      </c>
      <c r="K216" s="7">
        <v>0.05</v>
      </c>
      <c r="L216" s="6">
        <f t="shared" si="12"/>
        <v>64.41</v>
      </c>
      <c r="M216" s="6">
        <v>44.52</v>
      </c>
      <c r="N216" s="8">
        <f t="shared" si="13"/>
        <v>19.889999999999993</v>
      </c>
      <c r="O216" s="4" t="s">
        <v>51</v>
      </c>
      <c r="P216" s="4" t="s">
        <v>33</v>
      </c>
      <c r="Q216" s="4">
        <v>3</v>
      </c>
      <c r="R216" s="21">
        <f t="shared" si="14"/>
        <v>0.30880298090358632</v>
      </c>
      <c r="S216" t="str">
        <f t="shared" si="15"/>
        <v>Small</v>
      </c>
    </row>
    <row r="217" spans="1:19" x14ac:dyDescent="0.35">
      <c r="A217" s="4" t="s">
        <v>461</v>
      </c>
      <c r="B217" s="5">
        <v>45738</v>
      </c>
      <c r="C217" s="4" t="s">
        <v>74</v>
      </c>
      <c r="D217" s="4" t="s">
        <v>43</v>
      </c>
      <c r="E217" s="4" t="s">
        <v>36</v>
      </c>
      <c r="F217" s="4" t="s">
        <v>201</v>
      </c>
      <c r="G217" s="4" t="s">
        <v>38</v>
      </c>
      <c r="H217" s="4" t="s">
        <v>89</v>
      </c>
      <c r="I217" s="4">
        <v>1</v>
      </c>
      <c r="J217" s="6">
        <v>902.21</v>
      </c>
      <c r="K217" s="7">
        <v>0.1</v>
      </c>
      <c r="L217" s="6">
        <f t="shared" si="12"/>
        <v>811.98900000000003</v>
      </c>
      <c r="M217" s="6">
        <v>774.57</v>
      </c>
      <c r="N217" s="8">
        <f t="shared" si="13"/>
        <v>37.418999999999983</v>
      </c>
      <c r="O217" s="4" t="s">
        <v>84</v>
      </c>
      <c r="P217" s="4" t="s">
        <v>61</v>
      </c>
      <c r="Q217" s="4">
        <v>4</v>
      </c>
      <c r="R217" s="21">
        <f t="shared" si="14"/>
        <v>4.6083136594214924E-2</v>
      </c>
      <c r="S217" t="str">
        <f t="shared" si="15"/>
        <v>Medium</v>
      </c>
    </row>
    <row r="218" spans="1:19" x14ac:dyDescent="0.35">
      <c r="A218" s="4" t="s">
        <v>462</v>
      </c>
      <c r="B218" s="5">
        <v>45739</v>
      </c>
      <c r="C218" s="4" t="s">
        <v>463</v>
      </c>
      <c r="D218" s="4" t="s">
        <v>20</v>
      </c>
      <c r="E218" s="4" t="s">
        <v>29</v>
      </c>
      <c r="F218" s="4" t="s">
        <v>108</v>
      </c>
      <c r="G218" s="4" t="s">
        <v>38</v>
      </c>
      <c r="H218" s="4" t="s">
        <v>89</v>
      </c>
      <c r="I218" s="4">
        <v>2</v>
      </c>
      <c r="J218" s="6">
        <v>1254.07</v>
      </c>
      <c r="K218" s="7">
        <v>0</v>
      </c>
      <c r="L218" s="6">
        <f t="shared" si="12"/>
        <v>2508.14</v>
      </c>
      <c r="M218" s="6">
        <v>977.73</v>
      </c>
      <c r="N218" s="8">
        <f t="shared" si="13"/>
        <v>552.67999999999984</v>
      </c>
      <c r="O218" s="4" t="s">
        <v>40</v>
      </c>
      <c r="P218" s="4" t="s">
        <v>33</v>
      </c>
      <c r="Q218" s="4">
        <v>3</v>
      </c>
      <c r="R218" s="21">
        <f t="shared" si="14"/>
        <v>0.22035452566443653</v>
      </c>
      <c r="S218" t="str">
        <f t="shared" si="15"/>
        <v>Large</v>
      </c>
    </row>
    <row r="219" spans="1:19" x14ac:dyDescent="0.35">
      <c r="A219" s="4" t="s">
        <v>464</v>
      </c>
      <c r="B219" s="5">
        <v>45739</v>
      </c>
      <c r="C219" s="4" t="s">
        <v>465</v>
      </c>
      <c r="D219" s="4" t="s">
        <v>20</v>
      </c>
      <c r="E219" s="4" t="s">
        <v>87</v>
      </c>
      <c r="F219" s="4" t="s">
        <v>92</v>
      </c>
      <c r="G219" s="4" t="s">
        <v>23</v>
      </c>
      <c r="H219" s="4" t="s">
        <v>44</v>
      </c>
      <c r="I219" s="4">
        <v>4</v>
      </c>
      <c r="J219" s="6">
        <v>128.41</v>
      </c>
      <c r="K219" s="7">
        <v>0</v>
      </c>
      <c r="L219" s="6">
        <f t="shared" si="12"/>
        <v>513.64</v>
      </c>
      <c r="M219" s="6">
        <v>64.75</v>
      </c>
      <c r="N219" s="8">
        <f t="shared" si="13"/>
        <v>254.64</v>
      </c>
      <c r="O219" s="4" t="s">
        <v>40</v>
      </c>
      <c r="P219" s="4" t="s">
        <v>118</v>
      </c>
      <c r="Q219" s="4">
        <v>4</v>
      </c>
      <c r="R219" s="21">
        <f t="shared" si="14"/>
        <v>0.4957557822599486</v>
      </c>
      <c r="S219" t="str">
        <f t="shared" si="15"/>
        <v>Medium</v>
      </c>
    </row>
    <row r="220" spans="1:19" x14ac:dyDescent="0.35">
      <c r="A220" s="4" t="s">
        <v>466</v>
      </c>
      <c r="B220" s="5">
        <v>45739</v>
      </c>
      <c r="C220" s="4" t="s">
        <v>467</v>
      </c>
      <c r="D220" s="4" t="s">
        <v>20</v>
      </c>
      <c r="E220" s="4" t="s">
        <v>36</v>
      </c>
      <c r="F220" s="4" t="s">
        <v>37</v>
      </c>
      <c r="G220" s="4" t="s">
        <v>31</v>
      </c>
      <c r="H220" s="4" t="s">
        <v>125</v>
      </c>
      <c r="I220" s="4">
        <v>5</v>
      </c>
      <c r="J220" s="6">
        <v>79.94</v>
      </c>
      <c r="K220" s="7">
        <v>0.1</v>
      </c>
      <c r="L220" s="6">
        <f t="shared" si="12"/>
        <v>359.73</v>
      </c>
      <c r="M220" s="6">
        <v>52.43</v>
      </c>
      <c r="N220" s="8">
        <f t="shared" si="13"/>
        <v>97.580000000000041</v>
      </c>
      <c r="O220" s="4" t="s">
        <v>25</v>
      </c>
      <c r="P220" s="4" t="s">
        <v>56</v>
      </c>
      <c r="Q220" s="4">
        <v>3</v>
      </c>
      <c r="R220" s="21">
        <f t="shared" si="14"/>
        <v>0.27125899980540974</v>
      </c>
      <c r="S220" t="str">
        <f t="shared" si="15"/>
        <v>Small</v>
      </c>
    </row>
    <row r="221" spans="1:19" x14ac:dyDescent="0.35">
      <c r="A221" s="4" t="s">
        <v>468</v>
      </c>
      <c r="B221" s="5">
        <v>45739</v>
      </c>
      <c r="C221" s="4" t="s">
        <v>469</v>
      </c>
      <c r="D221" s="4" t="s">
        <v>43</v>
      </c>
      <c r="E221" s="4" t="s">
        <v>36</v>
      </c>
      <c r="F221" s="4" t="s">
        <v>201</v>
      </c>
      <c r="G221" s="4" t="s">
        <v>38</v>
      </c>
      <c r="H221" s="4" t="s">
        <v>55</v>
      </c>
      <c r="I221" s="4">
        <v>3</v>
      </c>
      <c r="J221" s="6">
        <v>143.53</v>
      </c>
      <c r="K221" s="7">
        <v>0.05</v>
      </c>
      <c r="L221" s="6">
        <f t="shared" si="12"/>
        <v>409.06049999999999</v>
      </c>
      <c r="M221" s="6">
        <v>110.08</v>
      </c>
      <c r="N221" s="8">
        <f t="shared" si="13"/>
        <v>78.820499999999981</v>
      </c>
      <c r="O221" s="4" t="s">
        <v>60</v>
      </c>
      <c r="P221" s="4" t="s">
        <v>56</v>
      </c>
      <c r="Q221" s="4">
        <v>4</v>
      </c>
      <c r="R221" s="21">
        <f t="shared" si="14"/>
        <v>0.19268665637479049</v>
      </c>
      <c r="S221" t="str">
        <f t="shared" si="15"/>
        <v>Small</v>
      </c>
    </row>
    <row r="222" spans="1:19" x14ac:dyDescent="0.35">
      <c r="A222" s="4" t="s">
        <v>470</v>
      </c>
      <c r="B222" s="5">
        <v>45740</v>
      </c>
      <c r="C222" s="4" t="s">
        <v>301</v>
      </c>
      <c r="D222" s="4" t="s">
        <v>47</v>
      </c>
      <c r="E222" s="4" t="s">
        <v>36</v>
      </c>
      <c r="F222" s="4" t="s">
        <v>201</v>
      </c>
      <c r="G222" s="4" t="s">
        <v>38</v>
      </c>
      <c r="H222" s="4" t="s">
        <v>89</v>
      </c>
      <c r="I222" s="4">
        <v>1</v>
      </c>
      <c r="J222" s="6">
        <v>1300.6199999999999</v>
      </c>
      <c r="K222" s="7">
        <v>0.15</v>
      </c>
      <c r="L222" s="6">
        <f t="shared" si="12"/>
        <v>1105.5269999999998</v>
      </c>
      <c r="M222" s="6">
        <v>1096.0999999999999</v>
      </c>
      <c r="N222" s="8">
        <f t="shared" si="13"/>
        <v>9.4269999999999072</v>
      </c>
      <c r="O222" s="4" t="s">
        <v>25</v>
      </c>
      <c r="P222" s="4" t="s">
        <v>97</v>
      </c>
      <c r="Q222" s="4">
        <v>5</v>
      </c>
      <c r="R222" s="21">
        <f t="shared" si="14"/>
        <v>8.5271549224938958E-3</v>
      </c>
      <c r="S222" t="str">
        <f t="shared" si="15"/>
        <v>Medium</v>
      </c>
    </row>
    <row r="223" spans="1:19" x14ac:dyDescent="0.35">
      <c r="A223" s="4" t="s">
        <v>471</v>
      </c>
      <c r="B223" s="5">
        <v>45740</v>
      </c>
      <c r="C223" s="4" t="s">
        <v>472</v>
      </c>
      <c r="D223" s="4" t="s">
        <v>43</v>
      </c>
      <c r="E223" s="4" t="s">
        <v>87</v>
      </c>
      <c r="F223" s="4" t="s">
        <v>88</v>
      </c>
      <c r="G223" s="4" t="s">
        <v>49</v>
      </c>
      <c r="H223" s="4" t="s">
        <v>187</v>
      </c>
      <c r="I223" s="4">
        <v>2</v>
      </c>
      <c r="J223" s="6">
        <v>51.48</v>
      </c>
      <c r="K223" s="7">
        <v>0.1</v>
      </c>
      <c r="L223" s="6">
        <f t="shared" si="12"/>
        <v>92.664000000000001</v>
      </c>
      <c r="M223" s="6">
        <v>29.73</v>
      </c>
      <c r="N223" s="8">
        <f t="shared" si="13"/>
        <v>33.204000000000001</v>
      </c>
      <c r="O223" s="4" t="s">
        <v>60</v>
      </c>
      <c r="P223" s="4" t="s">
        <v>75</v>
      </c>
      <c r="Q223" s="4">
        <v>4</v>
      </c>
      <c r="R223" s="21">
        <f t="shared" si="14"/>
        <v>0.35832685832685834</v>
      </c>
      <c r="S223" t="str">
        <f t="shared" si="15"/>
        <v>Small</v>
      </c>
    </row>
    <row r="224" spans="1:19" x14ac:dyDescent="0.35">
      <c r="A224" s="4" t="s">
        <v>473</v>
      </c>
      <c r="B224" s="5">
        <v>45741</v>
      </c>
      <c r="C224" s="4" t="s">
        <v>361</v>
      </c>
      <c r="D224" s="4" t="s">
        <v>43</v>
      </c>
      <c r="E224" s="4" t="s">
        <v>21</v>
      </c>
      <c r="F224" s="4" t="s">
        <v>22</v>
      </c>
      <c r="G224" s="4" t="s">
        <v>38</v>
      </c>
      <c r="H224" s="4" t="s">
        <v>109</v>
      </c>
      <c r="I224" s="4">
        <v>3</v>
      </c>
      <c r="J224" s="6">
        <v>761.02</v>
      </c>
      <c r="K224" s="7">
        <v>0.1</v>
      </c>
      <c r="L224" s="6">
        <f t="shared" si="12"/>
        <v>2054.7539999999999</v>
      </c>
      <c r="M224" s="6">
        <v>666.83</v>
      </c>
      <c r="N224" s="8">
        <f t="shared" si="13"/>
        <v>54.263999999999669</v>
      </c>
      <c r="O224" s="4" t="s">
        <v>40</v>
      </c>
      <c r="P224" s="4" t="s">
        <v>97</v>
      </c>
      <c r="Q224" s="4">
        <v>1</v>
      </c>
      <c r="R224" s="21">
        <f t="shared" si="14"/>
        <v>2.640900078549533E-2</v>
      </c>
      <c r="S224" t="str">
        <f t="shared" si="15"/>
        <v>Large</v>
      </c>
    </row>
    <row r="225" spans="1:19" x14ac:dyDescent="0.35">
      <c r="A225" s="4" t="s">
        <v>474</v>
      </c>
      <c r="B225" s="5">
        <v>45741</v>
      </c>
      <c r="C225" s="4" t="s">
        <v>475</v>
      </c>
      <c r="D225" s="4" t="s">
        <v>47</v>
      </c>
      <c r="E225" s="4" t="s">
        <v>87</v>
      </c>
      <c r="F225" s="4" t="s">
        <v>88</v>
      </c>
      <c r="G225" s="4" t="s">
        <v>23</v>
      </c>
      <c r="H225" s="4" t="s">
        <v>71</v>
      </c>
      <c r="I225" s="4">
        <v>3</v>
      </c>
      <c r="J225" s="6">
        <v>211.26</v>
      </c>
      <c r="K225" s="7">
        <v>0.1</v>
      </c>
      <c r="L225" s="6">
        <f t="shared" si="12"/>
        <v>570.40200000000004</v>
      </c>
      <c r="M225" s="6">
        <v>90.21</v>
      </c>
      <c r="N225" s="8">
        <f t="shared" si="13"/>
        <v>299.77200000000005</v>
      </c>
      <c r="O225" s="4" t="s">
        <v>25</v>
      </c>
      <c r="P225" s="4" t="s">
        <v>33</v>
      </c>
      <c r="Q225" s="4">
        <v>3</v>
      </c>
      <c r="R225" s="21">
        <f t="shared" si="14"/>
        <v>0.52554514184732881</v>
      </c>
      <c r="S225" t="str">
        <f t="shared" si="15"/>
        <v>Medium</v>
      </c>
    </row>
    <row r="226" spans="1:19" x14ac:dyDescent="0.35">
      <c r="A226" s="4" t="s">
        <v>476</v>
      </c>
      <c r="B226" s="5">
        <v>45741</v>
      </c>
      <c r="C226" s="4" t="s">
        <v>243</v>
      </c>
      <c r="D226" s="4" t="s">
        <v>43</v>
      </c>
      <c r="E226" s="4" t="s">
        <v>36</v>
      </c>
      <c r="F226" s="4" t="s">
        <v>201</v>
      </c>
      <c r="G226" s="4" t="s">
        <v>67</v>
      </c>
      <c r="H226" s="4" t="s">
        <v>140</v>
      </c>
      <c r="I226" s="4">
        <v>2</v>
      </c>
      <c r="J226" s="6">
        <v>91.73</v>
      </c>
      <c r="K226" s="7">
        <v>0.05</v>
      </c>
      <c r="L226" s="6">
        <f t="shared" si="12"/>
        <v>174.28700000000001</v>
      </c>
      <c r="M226" s="6">
        <v>58.27</v>
      </c>
      <c r="N226" s="8">
        <f t="shared" si="13"/>
        <v>57.747</v>
      </c>
      <c r="O226" s="4" t="s">
        <v>40</v>
      </c>
      <c r="P226" s="4" t="s">
        <v>61</v>
      </c>
      <c r="Q226" s="4">
        <v>4</v>
      </c>
      <c r="R226" s="21">
        <f t="shared" si="14"/>
        <v>0.33133280164326656</v>
      </c>
      <c r="S226" t="str">
        <f t="shared" si="15"/>
        <v>Small</v>
      </c>
    </row>
    <row r="227" spans="1:19" x14ac:dyDescent="0.35">
      <c r="A227" s="4" t="s">
        <v>477</v>
      </c>
      <c r="B227" s="5">
        <v>45741</v>
      </c>
      <c r="C227" s="4" t="s">
        <v>478</v>
      </c>
      <c r="D227" s="4" t="s">
        <v>47</v>
      </c>
      <c r="E227" s="4" t="s">
        <v>29</v>
      </c>
      <c r="F227" s="4" t="s">
        <v>54</v>
      </c>
      <c r="G227" s="4" t="s">
        <v>49</v>
      </c>
      <c r="H227" s="4" t="s">
        <v>78</v>
      </c>
      <c r="I227" s="4">
        <v>1</v>
      </c>
      <c r="J227" s="6">
        <v>637.58000000000004</v>
      </c>
      <c r="K227" s="7">
        <v>0.1</v>
      </c>
      <c r="L227" s="6">
        <f t="shared" si="12"/>
        <v>573.822</v>
      </c>
      <c r="M227" s="6">
        <v>457.16</v>
      </c>
      <c r="N227" s="8">
        <f t="shared" si="13"/>
        <v>116.66199999999998</v>
      </c>
      <c r="O227" s="4" t="s">
        <v>60</v>
      </c>
      <c r="P227" s="4" t="s">
        <v>61</v>
      </c>
      <c r="Q227" s="4">
        <v>3</v>
      </c>
      <c r="R227" s="21">
        <f t="shared" si="14"/>
        <v>0.20330694884476366</v>
      </c>
      <c r="S227" t="str">
        <f t="shared" si="15"/>
        <v>Medium</v>
      </c>
    </row>
    <row r="228" spans="1:19" x14ac:dyDescent="0.35">
      <c r="A228" s="4" t="s">
        <v>479</v>
      </c>
      <c r="B228" s="5">
        <v>45742</v>
      </c>
      <c r="C228" s="4" t="s">
        <v>235</v>
      </c>
      <c r="D228" s="4" t="s">
        <v>47</v>
      </c>
      <c r="E228" s="4" t="s">
        <v>21</v>
      </c>
      <c r="F228" s="4" t="s">
        <v>59</v>
      </c>
      <c r="G228" s="4" t="s">
        <v>31</v>
      </c>
      <c r="H228" s="4" t="s">
        <v>147</v>
      </c>
      <c r="I228" s="4">
        <v>10</v>
      </c>
      <c r="J228" s="6">
        <v>60.64</v>
      </c>
      <c r="K228" s="7">
        <v>0.1</v>
      </c>
      <c r="L228" s="6">
        <f t="shared" si="12"/>
        <v>545.76</v>
      </c>
      <c r="M228" s="6">
        <v>37.71</v>
      </c>
      <c r="N228" s="8">
        <f t="shared" si="13"/>
        <v>168.65999999999997</v>
      </c>
      <c r="O228" s="4" t="s">
        <v>60</v>
      </c>
      <c r="P228" s="4" t="s">
        <v>56</v>
      </c>
      <c r="Q228" s="4">
        <v>4</v>
      </c>
      <c r="R228" s="21">
        <f t="shared" si="14"/>
        <v>0.30903693931398413</v>
      </c>
      <c r="S228" t="str">
        <f t="shared" si="15"/>
        <v>Medium</v>
      </c>
    </row>
    <row r="229" spans="1:19" x14ac:dyDescent="0.35">
      <c r="A229" s="4" t="s">
        <v>480</v>
      </c>
      <c r="B229" s="5">
        <v>45742</v>
      </c>
      <c r="C229" s="4" t="s">
        <v>481</v>
      </c>
      <c r="D229" s="4" t="s">
        <v>43</v>
      </c>
      <c r="E229" s="4" t="s">
        <v>21</v>
      </c>
      <c r="F229" s="4" t="s">
        <v>81</v>
      </c>
      <c r="G229" s="4" t="s">
        <v>67</v>
      </c>
      <c r="H229" s="4" t="s">
        <v>140</v>
      </c>
      <c r="I229" s="4">
        <v>2</v>
      </c>
      <c r="J229" s="6">
        <v>150.13999999999999</v>
      </c>
      <c r="K229" s="7">
        <v>0</v>
      </c>
      <c r="L229" s="6">
        <f t="shared" si="12"/>
        <v>300.27999999999997</v>
      </c>
      <c r="M229" s="6">
        <v>115.51</v>
      </c>
      <c r="N229" s="8">
        <f t="shared" si="13"/>
        <v>69.259999999999962</v>
      </c>
      <c r="O229" s="4" t="s">
        <v>51</v>
      </c>
      <c r="P229" s="4" t="s">
        <v>61</v>
      </c>
      <c r="Q229" s="4">
        <v>4</v>
      </c>
      <c r="R229" s="21">
        <f t="shared" si="14"/>
        <v>0.2306513920341014</v>
      </c>
      <c r="S229" t="str">
        <f t="shared" si="15"/>
        <v>Small</v>
      </c>
    </row>
    <row r="230" spans="1:19" x14ac:dyDescent="0.35">
      <c r="A230" s="4" t="s">
        <v>482</v>
      </c>
      <c r="B230" s="5">
        <v>45742</v>
      </c>
      <c r="C230" s="4" t="s">
        <v>483</v>
      </c>
      <c r="D230" s="4" t="s">
        <v>47</v>
      </c>
      <c r="E230" s="4" t="s">
        <v>29</v>
      </c>
      <c r="F230" s="4" t="s">
        <v>54</v>
      </c>
      <c r="G230" s="4" t="s">
        <v>49</v>
      </c>
      <c r="H230" s="4" t="s">
        <v>50</v>
      </c>
      <c r="I230" s="4">
        <v>3</v>
      </c>
      <c r="J230" s="6">
        <v>22.74</v>
      </c>
      <c r="K230" s="7">
        <v>0.1</v>
      </c>
      <c r="L230" s="6">
        <f t="shared" si="12"/>
        <v>61.398000000000003</v>
      </c>
      <c r="M230" s="6">
        <v>13.49</v>
      </c>
      <c r="N230" s="8">
        <f t="shared" si="13"/>
        <v>20.928000000000004</v>
      </c>
      <c r="O230" s="4" t="s">
        <v>25</v>
      </c>
      <c r="P230" s="4" t="s">
        <v>97</v>
      </c>
      <c r="Q230" s="4">
        <v>3</v>
      </c>
      <c r="R230" s="21">
        <f t="shared" si="14"/>
        <v>0.34085800840418262</v>
      </c>
      <c r="S230" t="str">
        <f t="shared" si="15"/>
        <v>Small</v>
      </c>
    </row>
    <row r="231" spans="1:19" x14ac:dyDescent="0.35">
      <c r="A231" s="4" t="s">
        <v>484</v>
      </c>
      <c r="B231" s="5">
        <v>45743</v>
      </c>
      <c r="C231" s="4" t="s">
        <v>485</v>
      </c>
      <c r="D231" s="4" t="s">
        <v>47</v>
      </c>
      <c r="E231" s="4" t="s">
        <v>29</v>
      </c>
      <c r="F231" s="4" t="s">
        <v>30</v>
      </c>
      <c r="G231" s="4" t="s">
        <v>38</v>
      </c>
      <c r="H231" s="4" t="s">
        <v>96</v>
      </c>
      <c r="I231" s="4">
        <v>1</v>
      </c>
      <c r="J231" s="6">
        <v>650.70000000000005</v>
      </c>
      <c r="K231" s="7">
        <v>0</v>
      </c>
      <c r="L231" s="6">
        <f t="shared" si="12"/>
        <v>650.70000000000005</v>
      </c>
      <c r="M231" s="6">
        <v>518.46</v>
      </c>
      <c r="N231" s="8">
        <f t="shared" si="13"/>
        <v>132.24</v>
      </c>
      <c r="O231" s="4" t="s">
        <v>51</v>
      </c>
      <c r="P231" s="4" t="s">
        <v>26</v>
      </c>
      <c r="Q231" s="4">
        <v>3</v>
      </c>
      <c r="R231" s="21">
        <f t="shared" si="14"/>
        <v>0.20322729368372522</v>
      </c>
      <c r="S231" t="str">
        <f t="shared" si="15"/>
        <v>Medium</v>
      </c>
    </row>
    <row r="232" spans="1:19" x14ac:dyDescent="0.35">
      <c r="A232" s="4" t="s">
        <v>486</v>
      </c>
      <c r="B232" s="5">
        <v>45743</v>
      </c>
      <c r="C232" s="4" t="s">
        <v>105</v>
      </c>
      <c r="D232" s="4" t="s">
        <v>43</v>
      </c>
      <c r="E232" s="4" t="s">
        <v>36</v>
      </c>
      <c r="F232" s="4" t="s">
        <v>37</v>
      </c>
      <c r="G232" s="4" t="s">
        <v>38</v>
      </c>
      <c r="H232" s="4" t="s">
        <v>39</v>
      </c>
      <c r="I232" s="4">
        <v>1</v>
      </c>
      <c r="J232" s="6">
        <v>107.77</v>
      </c>
      <c r="K232" s="7">
        <v>0.2</v>
      </c>
      <c r="L232" s="6">
        <f t="shared" si="12"/>
        <v>86.216000000000008</v>
      </c>
      <c r="M232" s="6">
        <v>85.3</v>
      </c>
      <c r="N232" s="8">
        <f t="shared" si="13"/>
        <v>0.91600000000001103</v>
      </c>
      <c r="O232" s="4" t="s">
        <v>40</v>
      </c>
      <c r="P232" s="4" t="s">
        <v>75</v>
      </c>
      <c r="Q232" s="4">
        <v>2</v>
      </c>
      <c r="R232" s="21">
        <f t="shared" si="14"/>
        <v>1.0624478055117506E-2</v>
      </c>
      <c r="S232" t="str">
        <f t="shared" si="15"/>
        <v>Small</v>
      </c>
    </row>
    <row r="233" spans="1:19" x14ac:dyDescent="0.35">
      <c r="A233" s="4" t="s">
        <v>487</v>
      </c>
      <c r="B233" s="5">
        <v>45744</v>
      </c>
      <c r="C233" s="4" t="s">
        <v>488</v>
      </c>
      <c r="D233" s="4" t="s">
        <v>47</v>
      </c>
      <c r="E233" s="4" t="s">
        <v>36</v>
      </c>
      <c r="F233" s="4" t="s">
        <v>201</v>
      </c>
      <c r="G233" s="4" t="s">
        <v>38</v>
      </c>
      <c r="H233" s="4" t="s">
        <v>89</v>
      </c>
      <c r="I233" s="4">
        <v>4</v>
      </c>
      <c r="J233" s="6">
        <v>1289.19</v>
      </c>
      <c r="K233" s="7">
        <v>0</v>
      </c>
      <c r="L233" s="6">
        <f t="shared" si="12"/>
        <v>5156.76</v>
      </c>
      <c r="M233" s="6">
        <v>1090.6099999999999</v>
      </c>
      <c r="N233" s="8">
        <f t="shared" si="13"/>
        <v>794.32000000000062</v>
      </c>
      <c r="O233" s="4" t="s">
        <v>60</v>
      </c>
      <c r="P233" s="4" t="s">
        <v>61</v>
      </c>
      <c r="Q233" s="4">
        <v>4</v>
      </c>
      <c r="R233" s="21">
        <f t="shared" si="14"/>
        <v>0.15403470396140223</v>
      </c>
      <c r="S233" t="str">
        <f t="shared" si="15"/>
        <v>Large</v>
      </c>
    </row>
    <row r="234" spans="1:19" x14ac:dyDescent="0.35">
      <c r="A234" s="4" t="s">
        <v>489</v>
      </c>
      <c r="B234" s="5">
        <v>45745</v>
      </c>
      <c r="C234" s="4" t="s">
        <v>467</v>
      </c>
      <c r="D234" s="4" t="s">
        <v>47</v>
      </c>
      <c r="E234" s="4" t="s">
        <v>36</v>
      </c>
      <c r="F234" s="4" t="s">
        <v>37</v>
      </c>
      <c r="G234" s="4" t="s">
        <v>38</v>
      </c>
      <c r="H234" s="4" t="s">
        <v>55</v>
      </c>
      <c r="I234" s="4">
        <v>1</v>
      </c>
      <c r="J234" s="6">
        <v>271.52</v>
      </c>
      <c r="K234" s="7">
        <v>0.15</v>
      </c>
      <c r="L234" s="6">
        <f t="shared" si="12"/>
        <v>230.79199999999997</v>
      </c>
      <c r="M234" s="6">
        <v>205.47</v>
      </c>
      <c r="N234" s="8">
        <f t="shared" si="13"/>
        <v>25.321999999999974</v>
      </c>
      <c r="O234" s="4" t="s">
        <v>40</v>
      </c>
      <c r="P234" s="4" t="s">
        <v>97</v>
      </c>
      <c r="Q234" s="4">
        <v>5</v>
      </c>
      <c r="R234" s="21">
        <f t="shared" si="14"/>
        <v>0.10971784117300416</v>
      </c>
      <c r="S234" t="str">
        <f t="shared" si="15"/>
        <v>Small</v>
      </c>
    </row>
    <row r="235" spans="1:19" x14ac:dyDescent="0.35">
      <c r="A235" s="4" t="s">
        <v>490</v>
      </c>
      <c r="B235" s="5">
        <v>45746</v>
      </c>
      <c r="C235" s="4" t="s">
        <v>478</v>
      </c>
      <c r="D235" s="4" t="s">
        <v>20</v>
      </c>
      <c r="E235" s="4" t="s">
        <v>29</v>
      </c>
      <c r="F235" s="4" t="s">
        <v>108</v>
      </c>
      <c r="G235" s="4" t="s">
        <v>67</v>
      </c>
      <c r="H235" s="4" t="s">
        <v>68</v>
      </c>
      <c r="I235" s="4">
        <v>6</v>
      </c>
      <c r="J235" s="6">
        <v>920.91</v>
      </c>
      <c r="K235" s="7">
        <v>0</v>
      </c>
      <c r="L235" s="6">
        <f t="shared" si="12"/>
        <v>5525.46</v>
      </c>
      <c r="M235" s="6">
        <v>648.64</v>
      </c>
      <c r="N235" s="8">
        <f t="shared" si="13"/>
        <v>1633.62</v>
      </c>
      <c r="O235" s="4" t="s">
        <v>60</v>
      </c>
      <c r="P235" s="4" t="s">
        <v>61</v>
      </c>
      <c r="Q235" s="4">
        <v>2</v>
      </c>
      <c r="R235" s="21">
        <f t="shared" si="14"/>
        <v>0.2956532125832057</v>
      </c>
      <c r="S235" t="str">
        <f t="shared" si="15"/>
        <v>Large</v>
      </c>
    </row>
    <row r="236" spans="1:19" x14ac:dyDescent="0.35">
      <c r="A236" s="4" t="s">
        <v>491</v>
      </c>
      <c r="B236" s="5">
        <v>45747</v>
      </c>
      <c r="C236" s="4" t="s">
        <v>186</v>
      </c>
      <c r="D236" s="4" t="s">
        <v>20</v>
      </c>
      <c r="E236" s="4" t="s">
        <v>87</v>
      </c>
      <c r="F236" s="4" t="s">
        <v>124</v>
      </c>
      <c r="G236" s="4" t="s">
        <v>49</v>
      </c>
      <c r="H236" s="4" t="s">
        <v>187</v>
      </c>
      <c r="I236" s="4">
        <v>2</v>
      </c>
      <c r="J236" s="6">
        <v>150.34</v>
      </c>
      <c r="K236" s="7">
        <v>0</v>
      </c>
      <c r="L236" s="6">
        <f t="shared" si="12"/>
        <v>300.68</v>
      </c>
      <c r="M236" s="6">
        <v>92.36</v>
      </c>
      <c r="N236" s="8">
        <f t="shared" si="13"/>
        <v>115.96000000000001</v>
      </c>
      <c r="O236" s="4" t="s">
        <v>84</v>
      </c>
      <c r="P236" s="4" t="s">
        <v>26</v>
      </c>
      <c r="Q236" s="4">
        <v>5</v>
      </c>
      <c r="R236" s="21">
        <f t="shared" si="14"/>
        <v>0.38565917254223764</v>
      </c>
      <c r="S236" t="str">
        <f t="shared" si="15"/>
        <v>Small</v>
      </c>
    </row>
    <row r="237" spans="1:19" x14ac:dyDescent="0.35">
      <c r="A237" s="4" t="s">
        <v>492</v>
      </c>
      <c r="B237" s="5">
        <v>45748</v>
      </c>
      <c r="C237" s="4" t="s">
        <v>493</v>
      </c>
      <c r="D237" s="4" t="s">
        <v>20</v>
      </c>
      <c r="E237" s="4" t="s">
        <v>36</v>
      </c>
      <c r="F237" s="4" t="s">
        <v>48</v>
      </c>
      <c r="G237" s="4" t="s">
        <v>38</v>
      </c>
      <c r="H237" s="4" t="s">
        <v>96</v>
      </c>
      <c r="I237" s="4">
        <v>4</v>
      </c>
      <c r="J237" s="6">
        <v>392.38</v>
      </c>
      <c r="K237" s="7">
        <v>0.1</v>
      </c>
      <c r="L237" s="6">
        <f t="shared" si="12"/>
        <v>1412.568</v>
      </c>
      <c r="M237" s="6">
        <v>349.41</v>
      </c>
      <c r="N237" s="8">
        <f t="shared" si="13"/>
        <v>14.927999999999884</v>
      </c>
      <c r="O237" s="4" t="s">
        <v>51</v>
      </c>
      <c r="P237" s="4" t="s">
        <v>72</v>
      </c>
      <c r="Q237" s="4">
        <v>5</v>
      </c>
      <c r="R237" s="21">
        <f t="shared" si="14"/>
        <v>1.0567986815501897E-2</v>
      </c>
      <c r="S237" t="str">
        <f t="shared" si="15"/>
        <v>Medium</v>
      </c>
    </row>
    <row r="238" spans="1:19" x14ac:dyDescent="0.35">
      <c r="A238" s="4" t="s">
        <v>494</v>
      </c>
      <c r="B238" s="5">
        <v>45748</v>
      </c>
      <c r="C238" s="4" t="s">
        <v>427</v>
      </c>
      <c r="D238" s="4" t="s">
        <v>20</v>
      </c>
      <c r="E238" s="4" t="s">
        <v>21</v>
      </c>
      <c r="F238" s="4" t="s">
        <v>81</v>
      </c>
      <c r="G238" s="4" t="s">
        <v>31</v>
      </c>
      <c r="H238" s="4" t="s">
        <v>64</v>
      </c>
      <c r="I238" s="4">
        <v>3</v>
      </c>
      <c r="J238" s="6">
        <v>149.01</v>
      </c>
      <c r="K238" s="7">
        <v>0</v>
      </c>
      <c r="L238" s="6">
        <f t="shared" si="12"/>
        <v>447.03</v>
      </c>
      <c r="M238" s="6">
        <v>91.25</v>
      </c>
      <c r="N238" s="8">
        <f t="shared" si="13"/>
        <v>173.27999999999997</v>
      </c>
      <c r="O238" s="4" t="s">
        <v>40</v>
      </c>
      <c r="P238" s="4" t="s">
        <v>61</v>
      </c>
      <c r="Q238" s="4">
        <v>5</v>
      </c>
      <c r="R238" s="21">
        <f t="shared" si="14"/>
        <v>0.38762499161130121</v>
      </c>
      <c r="S238" t="str">
        <f t="shared" si="15"/>
        <v>Small</v>
      </c>
    </row>
    <row r="239" spans="1:19" x14ac:dyDescent="0.35">
      <c r="A239" s="4" t="s">
        <v>495</v>
      </c>
      <c r="B239" s="5">
        <v>45748</v>
      </c>
      <c r="C239" s="4" t="s">
        <v>435</v>
      </c>
      <c r="D239" s="4" t="s">
        <v>43</v>
      </c>
      <c r="E239" s="4" t="s">
        <v>29</v>
      </c>
      <c r="F239" s="4" t="s">
        <v>30</v>
      </c>
      <c r="G239" s="4" t="s">
        <v>23</v>
      </c>
      <c r="H239" s="4" t="s">
        <v>135</v>
      </c>
      <c r="I239" s="4">
        <v>5</v>
      </c>
      <c r="J239" s="6">
        <v>8.31</v>
      </c>
      <c r="K239" s="7">
        <v>0</v>
      </c>
      <c r="L239" s="6">
        <f t="shared" si="12"/>
        <v>41.550000000000004</v>
      </c>
      <c r="M239" s="6">
        <v>3.46</v>
      </c>
      <c r="N239" s="8">
        <f t="shared" si="13"/>
        <v>24.250000000000004</v>
      </c>
      <c r="O239" s="4" t="s">
        <v>84</v>
      </c>
      <c r="P239" s="4" t="s">
        <v>118</v>
      </c>
      <c r="Q239" s="4">
        <v>5</v>
      </c>
      <c r="R239" s="21">
        <f t="shared" si="14"/>
        <v>0.58363417569193743</v>
      </c>
      <c r="S239" t="str">
        <f t="shared" si="15"/>
        <v>Small</v>
      </c>
    </row>
    <row r="240" spans="1:19" x14ac:dyDescent="0.35">
      <c r="A240" s="4" t="s">
        <v>496</v>
      </c>
      <c r="B240" s="5">
        <v>45749</v>
      </c>
      <c r="C240" s="4" t="s">
        <v>497</v>
      </c>
      <c r="D240" s="4" t="s">
        <v>47</v>
      </c>
      <c r="E240" s="4" t="s">
        <v>87</v>
      </c>
      <c r="F240" s="4" t="s">
        <v>88</v>
      </c>
      <c r="G240" s="4" t="s">
        <v>38</v>
      </c>
      <c r="H240" s="4" t="s">
        <v>109</v>
      </c>
      <c r="I240" s="4">
        <v>2</v>
      </c>
      <c r="J240" s="6">
        <v>740.4</v>
      </c>
      <c r="K240" s="7">
        <v>0.15</v>
      </c>
      <c r="L240" s="6">
        <f t="shared" si="12"/>
        <v>1258.6799999999998</v>
      </c>
      <c r="M240" s="6">
        <v>624.30999999999995</v>
      </c>
      <c r="N240" s="8">
        <f t="shared" si="13"/>
        <v>10.059999999999945</v>
      </c>
      <c r="O240" s="4" t="s">
        <v>40</v>
      </c>
      <c r="P240" s="4" t="s">
        <v>26</v>
      </c>
      <c r="Q240" s="4">
        <v>3</v>
      </c>
      <c r="R240" s="21">
        <f t="shared" si="14"/>
        <v>7.9925000794482687E-3</v>
      </c>
      <c r="S240" t="str">
        <f t="shared" si="15"/>
        <v>Medium</v>
      </c>
    </row>
    <row r="241" spans="1:19" x14ac:dyDescent="0.35">
      <c r="A241" s="4" t="s">
        <v>498</v>
      </c>
      <c r="B241" s="5">
        <v>45749</v>
      </c>
      <c r="C241" s="4" t="s">
        <v>499</v>
      </c>
      <c r="D241" s="4" t="s">
        <v>43</v>
      </c>
      <c r="E241" s="4" t="s">
        <v>21</v>
      </c>
      <c r="F241" s="4" t="s">
        <v>22</v>
      </c>
      <c r="G241" s="4" t="s">
        <v>49</v>
      </c>
      <c r="H241" s="4" t="s">
        <v>50</v>
      </c>
      <c r="I241" s="4">
        <v>4</v>
      </c>
      <c r="J241" s="6">
        <v>15.9</v>
      </c>
      <c r="K241" s="7">
        <v>0.2</v>
      </c>
      <c r="L241" s="6">
        <f t="shared" si="12"/>
        <v>50.88</v>
      </c>
      <c r="M241" s="6">
        <v>10.61</v>
      </c>
      <c r="N241" s="8">
        <f t="shared" si="13"/>
        <v>8.4400000000000048</v>
      </c>
      <c r="O241" s="4" t="s">
        <v>51</v>
      </c>
      <c r="P241" s="4" t="s">
        <v>72</v>
      </c>
      <c r="Q241" s="4">
        <v>4</v>
      </c>
      <c r="R241" s="21">
        <f t="shared" si="14"/>
        <v>0.16588050314465416</v>
      </c>
      <c r="S241" t="str">
        <f t="shared" si="15"/>
        <v>Small</v>
      </c>
    </row>
    <row r="242" spans="1:19" x14ac:dyDescent="0.35">
      <c r="A242" s="4" t="s">
        <v>500</v>
      </c>
      <c r="B242" s="5">
        <v>45749</v>
      </c>
      <c r="C242" s="4" t="s">
        <v>501</v>
      </c>
      <c r="D242" s="4" t="s">
        <v>43</v>
      </c>
      <c r="E242" s="4" t="s">
        <v>87</v>
      </c>
      <c r="F242" s="4" t="s">
        <v>92</v>
      </c>
      <c r="G242" s="4" t="s">
        <v>23</v>
      </c>
      <c r="H242" s="4" t="s">
        <v>71</v>
      </c>
      <c r="I242" s="4">
        <v>2</v>
      </c>
      <c r="J242" s="6">
        <v>108.58</v>
      </c>
      <c r="K242" s="7">
        <v>0.1</v>
      </c>
      <c r="L242" s="6">
        <f t="shared" si="12"/>
        <v>195.44399999999999</v>
      </c>
      <c r="M242" s="6">
        <v>69.099999999999994</v>
      </c>
      <c r="N242" s="8">
        <f t="shared" si="13"/>
        <v>57.244</v>
      </c>
      <c r="O242" s="4" t="s">
        <v>25</v>
      </c>
      <c r="P242" s="4" t="s">
        <v>26</v>
      </c>
      <c r="Q242" s="4">
        <v>2</v>
      </c>
      <c r="R242" s="21">
        <f t="shared" si="14"/>
        <v>0.29289208161928737</v>
      </c>
      <c r="S242" t="str">
        <f t="shared" si="15"/>
        <v>Small</v>
      </c>
    </row>
    <row r="243" spans="1:19" x14ac:dyDescent="0.35">
      <c r="A243" s="4" t="s">
        <v>502</v>
      </c>
      <c r="B243" s="5">
        <v>45749</v>
      </c>
      <c r="C243" s="4" t="s">
        <v>503</v>
      </c>
      <c r="D243" s="4" t="s">
        <v>47</v>
      </c>
      <c r="E243" s="4" t="s">
        <v>36</v>
      </c>
      <c r="F243" s="4" t="s">
        <v>37</v>
      </c>
      <c r="G243" s="4" t="s">
        <v>31</v>
      </c>
      <c r="H243" s="4" t="s">
        <v>125</v>
      </c>
      <c r="I243" s="4">
        <v>2</v>
      </c>
      <c r="J243" s="6">
        <v>30.37</v>
      </c>
      <c r="K243" s="7">
        <v>0.1</v>
      </c>
      <c r="L243" s="6">
        <f t="shared" si="12"/>
        <v>54.666000000000004</v>
      </c>
      <c r="M243" s="6">
        <v>20.62</v>
      </c>
      <c r="N243" s="8">
        <f t="shared" si="13"/>
        <v>13.426000000000002</v>
      </c>
      <c r="O243" s="4" t="s">
        <v>40</v>
      </c>
      <c r="P243" s="4" t="s">
        <v>61</v>
      </c>
      <c r="Q243" s="4">
        <v>5</v>
      </c>
      <c r="R243" s="21">
        <f t="shared" si="14"/>
        <v>0.24560055610434275</v>
      </c>
      <c r="S243" t="str">
        <f t="shared" si="15"/>
        <v>Small</v>
      </c>
    </row>
    <row r="244" spans="1:19" x14ac:dyDescent="0.35">
      <c r="A244" s="4" t="s">
        <v>504</v>
      </c>
      <c r="B244" s="5">
        <v>45751</v>
      </c>
      <c r="C244" s="4" t="s">
        <v>505</v>
      </c>
      <c r="D244" s="4" t="s">
        <v>47</v>
      </c>
      <c r="E244" s="4" t="s">
        <v>87</v>
      </c>
      <c r="F244" s="4" t="s">
        <v>88</v>
      </c>
      <c r="G244" s="4" t="s">
        <v>31</v>
      </c>
      <c r="H244" s="4" t="s">
        <v>32</v>
      </c>
      <c r="I244" s="4">
        <v>8</v>
      </c>
      <c r="J244" s="6">
        <v>105.3</v>
      </c>
      <c r="K244" s="7">
        <v>0</v>
      </c>
      <c r="L244" s="6">
        <f t="shared" si="12"/>
        <v>842.4</v>
      </c>
      <c r="M244" s="6">
        <v>66.11</v>
      </c>
      <c r="N244" s="8">
        <f t="shared" si="13"/>
        <v>313.52</v>
      </c>
      <c r="O244" s="4" t="s">
        <v>25</v>
      </c>
      <c r="P244" s="4" t="s">
        <v>56</v>
      </c>
      <c r="Q244" s="4">
        <v>5</v>
      </c>
      <c r="R244" s="21">
        <f t="shared" si="14"/>
        <v>0.37217473884140551</v>
      </c>
      <c r="S244" t="str">
        <f t="shared" si="15"/>
        <v>Medium</v>
      </c>
    </row>
    <row r="245" spans="1:19" x14ac:dyDescent="0.35">
      <c r="A245" s="4" t="s">
        <v>506</v>
      </c>
      <c r="B245" s="5">
        <v>45751</v>
      </c>
      <c r="C245" s="4" t="s">
        <v>233</v>
      </c>
      <c r="D245" s="4" t="s">
        <v>47</v>
      </c>
      <c r="E245" s="4" t="s">
        <v>29</v>
      </c>
      <c r="F245" s="4" t="s">
        <v>108</v>
      </c>
      <c r="G245" s="4" t="s">
        <v>38</v>
      </c>
      <c r="H245" s="4" t="s">
        <v>39</v>
      </c>
      <c r="I245" s="4">
        <v>3</v>
      </c>
      <c r="J245" s="6">
        <v>125.59</v>
      </c>
      <c r="K245" s="7">
        <v>0.05</v>
      </c>
      <c r="L245" s="6">
        <f t="shared" si="12"/>
        <v>357.93149999999997</v>
      </c>
      <c r="M245" s="6">
        <v>96.23</v>
      </c>
      <c r="N245" s="8">
        <f t="shared" si="13"/>
        <v>69.241499999999974</v>
      </c>
      <c r="O245" s="4" t="s">
        <v>51</v>
      </c>
      <c r="P245" s="4" t="s">
        <v>75</v>
      </c>
      <c r="Q245" s="4">
        <v>4</v>
      </c>
      <c r="R245" s="21">
        <f t="shared" si="14"/>
        <v>0.19344902586109347</v>
      </c>
      <c r="S245" t="str">
        <f t="shared" si="15"/>
        <v>Small</v>
      </c>
    </row>
    <row r="246" spans="1:19" x14ac:dyDescent="0.35">
      <c r="A246" s="4" t="s">
        <v>507</v>
      </c>
      <c r="B246" s="5">
        <v>45751</v>
      </c>
      <c r="C246" s="4" t="s">
        <v>219</v>
      </c>
      <c r="D246" s="4" t="s">
        <v>47</v>
      </c>
      <c r="E246" s="4" t="s">
        <v>87</v>
      </c>
      <c r="F246" s="4" t="s">
        <v>124</v>
      </c>
      <c r="G246" s="4" t="s">
        <v>23</v>
      </c>
      <c r="H246" s="4" t="s">
        <v>44</v>
      </c>
      <c r="I246" s="4">
        <v>3</v>
      </c>
      <c r="J246" s="6">
        <v>150.91999999999999</v>
      </c>
      <c r="K246" s="7">
        <v>0.1</v>
      </c>
      <c r="L246" s="6">
        <f t="shared" si="12"/>
        <v>407.48399999999998</v>
      </c>
      <c r="M246" s="6">
        <v>68.63</v>
      </c>
      <c r="N246" s="8">
        <f t="shared" si="13"/>
        <v>201.59399999999999</v>
      </c>
      <c r="O246" s="4" t="s">
        <v>40</v>
      </c>
      <c r="P246" s="4" t="s">
        <v>118</v>
      </c>
      <c r="Q246" s="4">
        <v>4</v>
      </c>
      <c r="R246" s="21">
        <f t="shared" si="14"/>
        <v>0.4947286273816886</v>
      </c>
      <c r="S246" t="str">
        <f t="shared" si="15"/>
        <v>Small</v>
      </c>
    </row>
    <row r="247" spans="1:19" x14ac:dyDescent="0.35">
      <c r="A247" s="4" t="s">
        <v>508</v>
      </c>
      <c r="B247" s="5">
        <v>45752</v>
      </c>
      <c r="C247" s="4" t="s">
        <v>509</v>
      </c>
      <c r="D247" s="4" t="s">
        <v>20</v>
      </c>
      <c r="E247" s="4" t="s">
        <v>36</v>
      </c>
      <c r="F247" s="4" t="s">
        <v>201</v>
      </c>
      <c r="G247" s="4" t="s">
        <v>67</v>
      </c>
      <c r="H247" s="4" t="s">
        <v>93</v>
      </c>
      <c r="I247" s="4">
        <v>5</v>
      </c>
      <c r="J247" s="6">
        <v>251.33</v>
      </c>
      <c r="K247" s="7">
        <v>0</v>
      </c>
      <c r="L247" s="6">
        <f t="shared" si="12"/>
        <v>1256.6500000000001</v>
      </c>
      <c r="M247" s="6">
        <v>152.63</v>
      </c>
      <c r="N247" s="8">
        <f t="shared" si="13"/>
        <v>493.50000000000011</v>
      </c>
      <c r="O247" s="4" t="s">
        <v>51</v>
      </c>
      <c r="P247" s="4" t="s">
        <v>33</v>
      </c>
      <c r="Q247" s="4">
        <v>5</v>
      </c>
      <c r="R247" s="21">
        <f t="shared" si="14"/>
        <v>0.39271077865754195</v>
      </c>
      <c r="S247" t="str">
        <f t="shared" si="15"/>
        <v>Medium</v>
      </c>
    </row>
    <row r="248" spans="1:19" x14ac:dyDescent="0.35">
      <c r="A248" s="4" t="s">
        <v>510</v>
      </c>
      <c r="B248" s="5">
        <v>45752</v>
      </c>
      <c r="C248" s="4" t="s">
        <v>511</v>
      </c>
      <c r="D248" s="4" t="s">
        <v>43</v>
      </c>
      <c r="E248" s="4" t="s">
        <v>87</v>
      </c>
      <c r="F248" s="4" t="s">
        <v>88</v>
      </c>
      <c r="G248" s="4" t="s">
        <v>23</v>
      </c>
      <c r="H248" s="4" t="s">
        <v>71</v>
      </c>
      <c r="I248" s="4">
        <v>1</v>
      </c>
      <c r="J248" s="6">
        <v>169.58</v>
      </c>
      <c r="K248" s="7">
        <v>0.1</v>
      </c>
      <c r="L248" s="6">
        <f t="shared" si="12"/>
        <v>152.62200000000001</v>
      </c>
      <c r="M248" s="6">
        <v>70.569999999999993</v>
      </c>
      <c r="N248" s="8">
        <f t="shared" si="13"/>
        <v>82.052000000000021</v>
      </c>
      <c r="O248" s="4" t="s">
        <v>84</v>
      </c>
      <c r="P248" s="4" t="s">
        <v>61</v>
      </c>
      <c r="Q248" s="4">
        <v>4</v>
      </c>
      <c r="R248" s="21">
        <f t="shared" si="14"/>
        <v>0.53761580899215067</v>
      </c>
      <c r="S248" t="str">
        <f t="shared" si="15"/>
        <v>Small</v>
      </c>
    </row>
    <row r="249" spans="1:19" x14ac:dyDescent="0.35">
      <c r="A249" s="4" t="s">
        <v>512</v>
      </c>
      <c r="B249" s="5">
        <v>45753</v>
      </c>
      <c r="C249" s="4" t="s">
        <v>513</v>
      </c>
      <c r="D249" s="4" t="s">
        <v>20</v>
      </c>
      <c r="E249" s="4" t="s">
        <v>29</v>
      </c>
      <c r="F249" s="4" t="s">
        <v>108</v>
      </c>
      <c r="G249" s="4" t="s">
        <v>31</v>
      </c>
      <c r="H249" s="4" t="s">
        <v>64</v>
      </c>
      <c r="I249" s="4">
        <v>3</v>
      </c>
      <c r="J249" s="6">
        <v>189.17</v>
      </c>
      <c r="K249" s="7">
        <v>0.1</v>
      </c>
      <c r="L249" s="6">
        <f t="shared" si="12"/>
        <v>510.75900000000001</v>
      </c>
      <c r="M249" s="6">
        <v>113.09</v>
      </c>
      <c r="N249" s="8">
        <f t="shared" si="13"/>
        <v>171.48900000000003</v>
      </c>
      <c r="O249" s="4" t="s">
        <v>51</v>
      </c>
      <c r="P249" s="4" t="s">
        <v>33</v>
      </c>
      <c r="Q249" s="4">
        <v>5</v>
      </c>
      <c r="R249" s="21">
        <f t="shared" si="14"/>
        <v>0.33575326132285488</v>
      </c>
      <c r="S249" t="str">
        <f t="shared" si="15"/>
        <v>Medium</v>
      </c>
    </row>
    <row r="250" spans="1:19" x14ac:dyDescent="0.35">
      <c r="A250" s="4" t="s">
        <v>514</v>
      </c>
      <c r="B250" s="5">
        <v>45755</v>
      </c>
      <c r="C250" s="4" t="s">
        <v>515</v>
      </c>
      <c r="D250" s="4" t="s">
        <v>47</v>
      </c>
      <c r="E250" s="4" t="s">
        <v>87</v>
      </c>
      <c r="F250" s="4" t="s">
        <v>88</v>
      </c>
      <c r="G250" s="4" t="s">
        <v>23</v>
      </c>
      <c r="H250" s="4" t="s">
        <v>135</v>
      </c>
      <c r="I250" s="4">
        <v>3</v>
      </c>
      <c r="J250" s="6">
        <v>22.11</v>
      </c>
      <c r="K250" s="7">
        <v>0</v>
      </c>
      <c r="L250" s="6">
        <f t="shared" si="12"/>
        <v>66.33</v>
      </c>
      <c r="M250" s="6">
        <v>14.23</v>
      </c>
      <c r="N250" s="8">
        <f t="shared" si="13"/>
        <v>23.64</v>
      </c>
      <c r="O250" s="4" t="s">
        <v>25</v>
      </c>
      <c r="P250" s="4" t="s">
        <v>33</v>
      </c>
      <c r="Q250" s="4">
        <v>3</v>
      </c>
      <c r="R250" s="21">
        <f t="shared" si="14"/>
        <v>0.35639981908638629</v>
      </c>
      <c r="S250" t="str">
        <f t="shared" si="15"/>
        <v>Small</v>
      </c>
    </row>
    <row r="251" spans="1:19" x14ac:dyDescent="0.35">
      <c r="A251" s="4" t="s">
        <v>516</v>
      </c>
      <c r="B251" s="5">
        <v>45755</v>
      </c>
      <c r="C251" s="4" t="s">
        <v>176</v>
      </c>
      <c r="D251" s="4" t="s">
        <v>20</v>
      </c>
      <c r="E251" s="4" t="s">
        <v>36</v>
      </c>
      <c r="F251" s="4" t="s">
        <v>201</v>
      </c>
      <c r="G251" s="4" t="s">
        <v>38</v>
      </c>
      <c r="H251" s="4" t="s">
        <v>55</v>
      </c>
      <c r="I251" s="4">
        <v>1</v>
      </c>
      <c r="J251" s="6">
        <v>85.08</v>
      </c>
      <c r="K251" s="7">
        <v>0.15</v>
      </c>
      <c r="L251" s="6">
        <f t="shared" si="12"/>
        <v>72.317999999999998</v>
      </c>
      <c r="M251" s="6">
        <v>69.67</v>
      </c>
      <c r="N251" s="8">
        <f t="shared" si="13"/>
        <v>2.6479999999999961</v>
      </c>
      <c r="O251" s="4" t="s">
        <v>84</v>
      </c>
      <c r="P251" s="4" t="s">
        <v>97</v>
      </c>
      <c r="Q251" s="4">
        <v>3</v>
      </c>
      <c r="R251" s="21">
        <f t="shared" si="14"/>
        <v>3.6616056859979484E-2</v>
      </c>
      <c r="S251" t="str">
        <f t="shared" si="15"/>
        <v>Small</v>
      </c>
    </row>
    <row r="252" spans="1:19" x14ac:dyDescent="0.35">
      <c r="A252" s="4" t="s">
        <v>517</v>
      </c>
      <c r="B252" s="5">
        <v>45755</v>
      </c>
      <c r="C252" s="4" t="s">
        <v>518</v>
      </c>
      <c r="D252" s="4" t="s">
        <v>43</v>
      </c>
      <c r="E252" s="4" t="s">
        <v>29</v>
      </c>
      <c r="F252" s="4" t="s">
        <v>30</v>
      </c>
      <c r="G252" s="4" t="s">
        <v>31</v>
      </c>
      <c r="H252" s="4" t="s">
        <v>64</v>
      </c>
      <c r="I252" s="4">
        <v>2</v>
      </c>
      <c r="J252" s="6">
        <v>185.52</v>
      </c>
      <c r="K252" s="7">
        <v>0.1</v>
      </c>
      <c r="L252" s="6">
        <f t="shared" si="12"/>
        <v>333.93600000000004</v>
      </c>
      <c r="M252" s="6">
        <v>137.4</v>
      </c>
      <c r="N252" s="8">
        <f t="shared" si="13"/>
        <v>59.136000000000024</v>
      </c>
      <c r="O252" s="4" t="s">
        <v>51</v>
      </c>
      <c r="P252" s="4" t="s">
        <v>75</v>
      </c>
      <c r="Q252" s="4">
        <v>1</v>
      </c>
      <c r="R252" s="21">
        <f t="shared" si="14"/>
        <v>0.17708782521201671</v>
      </c>
      <c r="S252" t="str">
        <f t="shared" si="15"/>
        <v>Small</v>
      </c>
    </row>
    <row r="253" spans="1:19" x14ac:dyDescent="0.35">
      <c r="A253" s="4" t="s">
        <v>519</v>
      </c>
      <c r="B253" s="5">
        <v>45755</v>
      </c>
      <c r="C253" s="4" t="s">
        <v>294</v>
      </c>
      <c r="D253" s="4" t="s">
        <v>20</v>
      </c>
      <c r="E253" s="4" t="s">
        <v>36</v>
      </c>
      <c r="F253" s="4" t="s">
        <v>37</v>
      </c>
      <c r="G253" s="4" t="s">
        <v>67</v>
      </c>
      <c r="H253" s="4" t="s">
        <v>68</v>
      </c>
      <c r="I253" s="4">
        <v>2</v>
      </c>
      <c r="J253" s="6">
        <v>1046.99</v>
      </c>
      <c r="K253" s="7">
        <v>0.1</v>
      </c>
      <c r="L253" s="6">
        <f t="shared" si="12"/>
        <v>1884.5820000000001</v>
      </c>
      <c r="M253" s="6">
        <v>646.73</v>
      </c>
      <c r="N253" s="8">
        <f t="shared" si="13"/>
        <v>591.12200000000007</v>
      </c>
      <c r="O253" s="4" t="s">
        <v>84</v>
      </c>
      <c r="P253" s="4" t="s">
        <v>33</v>
      </c>
      <c r="Q253" s="4">
        <v>4</v>
      </c>
      <c r="R253" s="21">
        <f t="shared" si="14"/>
        <v>0.31366212772911978</v>
      </c>
      <c r="S253" t="str">
        <f t="shared" si="15"/>
        <v>Medium</v>
      </c>
    </row>
    <row r="254" spans="1:19" x14ac:dyDescent="0.35">
      <c r="A254" s="4" t="s">
        <v>520</v>
      </c>
      <c r="B254" s="5">
        <v>45755</v>
      </c>
      <c r="C254" s="4" t="s">
        <v>521</v>
      </c>
      <c r="D254" s="4" t="s">
        <v>47</v>
      </c>
      <c r="E254" s="4" t="s">
        <v>21</v>
      </c>
      <c r="F254" s="4" t="s">
        <v>81</v>
      </c>
      <c r="G254" s="4" t="s">
        <v>49</v>
      </c>
      <c r="H254" s="4" t="s">
        <v>50</v>
      </c>
      <c r="I254" s="4">
        <v>1</v>
      </c>
      <c r="J254" s="6">
        <v>19.11</v>
      </c>
      <c r="K254" s="7">
        <v>0</v>
      </c>
      <c r="L254" s="6">
        <f t="shared" si="12"/>
        <v>19.11</v>
      </c>
      <c r="M254" s="6">
        <v>13.67</v>
      </c>
      <c r="N254" s="8">
        <f t="shared" si="13"/>
        <v>5.4399999999999995</v>
      </c>
      <c r="O254" s="4" t="s">
        <v>84</v>
      </c>
      <c r="P254" s="4" t="s">
        <v>33</v>
      </c>
      <c r="Q254" s="4">
        <v>1</v>
      </c>
      <c r="R254" s="21">
        <f t="shared" si="14"/>
        <v>0.28466771323914181</v>
      </c>
      <c r="S254" t="str">
        <f t="shared" si="15"/>
        <v>Small</v>
      </c>
    </row>
    <row r="255" spans="1:19" x14ac:dyDescent="0.35">
      <c r="A255" s="4" t="s">
        <v>522</v>
      </c>
      <c r="B255" s="5">
        <v>45756</v>
      </c>
      <c r="C255" s="4" t="s">
        <v>435</v>
      </c>
      <c r="D255" s="4" t="s">
        <v>20</v>
      </c>
      <c r="E255" s="4" t="s">
        <v>21</v>
      </c>
      <c r="F255" s="4" t="s">
        <v>59</v>
      </c>
      <c r="G255" s="4" t="s">
        <v>23</v>
      </c>
      <c r="H255" s="4" t="s">
        <v>24</v>
      </c>
      <c r="I255" s="4">
        <v>3</v>
      </c>
      <c r="J255" s="6">
        <v>27.6</v>
      </c>
      <c r="K255" s="7">
        <v>0.1</v>
      </c>
      <c r="L255" s="6">
        <f t="shared" si="12"/>
        <v>74.52000000000001</v>
      </c>
      <c r="M255" s="6">
        <v>11.53</v>
      </c>
      <c r="N255" s="8">
        <f t="shared" si="13"/>
        <v>39.930000000000014</v>
      </c>
      <c r="O255" s="4" t="s">
        <v>51</v>
      </c>
      <c r="P255" s="4" t="s">
        <v>118</v>
      </c>
      <c r="Q255" s="4">
        <v>2</v>
      </c>
      <c r="R255" s="21">
        <f t="shared" si="14"/>
        <v>0.53582930756843816</v>
      </c>
      <c r="S255" t="str">
        <f t="shared" si="15"/>
        <v>Small</v>
      </c>
    </row>
    <row r="256" spans="1:19" x14ac:dyDescent="0.35">
      <c r="A256" s="4" t="s">
        <v>523</v>
      </c>
      <c r="B256" s="5">
        <v>45756</v>
      </c>
      <c r="C256" s="4" t="s">
        <v>524</v>
      </c>
      <c r="D256" s="4" t="s">
        <v>47</v>
      </c>
      <c r="E256" s="4" t="s">
        <v>87</v>
      </c>
      <c r="F256" s="4" t="s">
        <v>92</v>
      </c>
      <c r="G256" s="4" t="s">
        <v>31</v>
      </c>
      <c r="H256" s="4" t="s">
        <v>125</v>
      </c>
      <c r="I256" s="4">
        <v>2</v>
      </c>
      <c r="J256" s="6">
        <v>192.69</v>
      </c>
      <c r="K256" s="7">
        <v>0.05</v>
      </c>
      <c r="L256" s="6">
        <f t="shared" si="12"/>
        <v>366.11099999999999</v>
      </c>
      <c r="M256" s="6">
        <v>124.45</v>
      </c>
      <c r="N256" s="8">
        <f t="shared" si="13"/>
        <v>117.21099999999998</v>
      </c>
      <c r="O256" s="4" t="s">
        <v>84</v>
      </c>
      <c r="P256" s="4" t="s">
        <v>118</v>
      </c>
      <c r="Q256" s="4">
        <v>4</v>
      </c>
      <c r="R256" s="21">
        <f t="shared" si="14"/>
        <v>0.3201515387409829</v>
      </c>
      <c r="S256" t="str">
        <f t="shared" si="15"/>
        <v>Small</v>
      </c>
    </row>
    <row r="257" spans="1:19" x14ac:dyDescent="0.35">
      <c r="A257" s="4" t="s">
        <v>525</v>
      </c>
      <c r="B257" s="5">
        <v>45756</v>
      </c>
      <c r="C257" s="4" t="s">
        <v>526</v>
      </c>
      <c r="D257" s="4" t="s">
        <v>20</v>
      </c>
      <c r="E257" s="4" t="s">
        <v>21</v>
      </c>
      <c r="F257" s="4" t="s">
        <v>22</v>
      </c>
      <c r="G257" s="4" t="s">
        <v>67</v>
      </c>
      <c r="H257" s="4" t="s">
        <v>68</v>
      </c>
      <c r="I257" s="4">
        <v>3</v>
      </c>
      <c r="J257" s="6">
        <v>1196.97</v>
      </c>
      <c r="K257" s="7">
        <v>0.05</v>
      </c>
      <c r="L257" s="6">
        <f t="shared" si="12"/>
        <v>3411.3644999999997</v>
      </c>
      <c r="M257" s="6">
        <v>760.39</v>
      </c>
      <c r="N257" s="8">
        <f t="shared" si="13"/>
        <v>1130.1944999999996</v>
      </c>
      <c r="O257" s="4" t="s">
        <v>51</v>
      </c>
      <c r="P257" s="4" t="s">
        <v>72</v>
      </c>
      <c r="Q257" s="4">
        <v>5</v>
      </c>
      <c r="R257" s="21">
        <f t="shared" si="14"/>
        <v>0.33130276755825994</v>
      </c>
      <c r="S257" t="str">
        <f t="shared" si="15"/>
        <v>Large</v>
      </c>
    </row>
    <row r="258" spans="1:19" x14ac:dyDescent="0.35">
      <c r="A258" s="4" t="s">
        <v>527</v>
      </c>
      <c r="B258" s="5">
        <v>45756</v>
      </c>
      <c r="C258" s="4" t="s">
        <v>528</v>
      </c>
      <c r="D258" s="4" t="s">
        <v>20</v>
      </c>
      <c r="E258" s="4" t="s">
        <v>21</v>
      </c>
      <c r="F258" s="4" t="s">
        <v>81</v>
      </c>
      <c r="G258" s="4" t="s">
        <v>31</v>
      </c>
      <c r="H258" s="4" t="s">
        <v>64</v>
      </c>
      <c r="I258" s="4">
        <v>1</v>
      </c>
      <c r="J258" s="6">
        <v>120.09</v>
      </c>
      <c r="K258" s="7">
        <v>0.1</v>
      </c>
      <c r="L258" s="6">
        <f t="shared" ref="L258:L321" si="16">I258*J258*(1-K258)</f>
        <v>108.081</v>
      </c>
      <c r="M258" s="6">
        <v>70.94</v>
      </c>
      <c r="N258" s="8">
        <f t="shared" ref="N258:N321" si="17">L258-I258*M258</f>
        <v>37.141000000000005</v>
      </c>
      <c r="O258" s="4" t="s">
        <v>25</v>
      </c>
      <c r="P258" s="4" t="s">
        <v>26</v>
      </c>
      <c r="Q258" s="4">
        <v>4</v>
      </c>
      <c r="R258" s="21">
        <f t="shared" si="14"/>
        <v>0.34364041783477212</v>
      </c>
      <c r="S258" t="str">
        <f t="shared" si="15"/>
        <v>Small</v>
      </c>
    </row>
    <row r="259" spans="1:19" x14ac:dyDescent="0.35">
      <c r="A259" s="4" t="s">
        <v>529</v>
      </c>
      <c r="B259" s="5">
        <v>45756</v>
      </c>
      <c r="C259" s="4" t="s">
        <v>465</v>
      </c>
      <c r="D259" s="4" t="s">
        <v>47</v>
      </c>
      <c r="E259" s="4" t="s">
        <v>21</v>
      </c>
      <c r="F259" s="4" t="s">
        <v>22</v>
      </c>
      <c r="G259" s="4" t="s">
        <v>67</v>
      </c>
      <c r="H259" s="4" t="s">
        <v>93</v>
      </c>
      <c r="I259" s="4">
        <v>10</v>
      </c>
      <c r="J259" s="6">
        <v>273.75</v>
      </c>
      <c r="K259" s="7">
        <v>0.1</v>
      </c>
      <c r="L259" s="6">
        <f t="shared" si="16"/>
        <v>2463.75</v>
      </c>
      <c r="M259" s="6">
        <v>214.49</v>
      </c>
      <c r="N259" s="8">
        <f t="shared" si="17"/>
        <v>318.84999999999991</v>
      </c>
      <c r="O259" s="4" t="s">
        <v>60</v>
      </c>
      <c r="P259" s="4" t="s">
        <v>72</v>
      </c>
      <c r="Q259" s="4">
        <v>4</v>
      </c>
      <c r="R259" s="21">
        <f t="shared" ref="R259:R322" si="18">IF(L259=0,0,N259/L259)</f>
        <v>0.12941653982749871</v>
      </c>
      <c r="S259" t="str">
        <f t="shared" ref="S259:S322" si="19">IF(L259&gt;=2000,"Large",IF(L259&gt;=500,"Medium","Small"))</f>
        <v>Large</v>
      </c>
    </row>
    <row r="260" spans="1:19" x14ac:dyDescent="0.35">
      <c r="A260" s="4" t="s">
        <v>530</v>
      </c>
      <c r="B260" s="5">
        <v>45756</v>
      </c>
      <c r="C260" s="4" t="s">
        <v>511</v>
      </c>
      <c r="D260" s="4" t="s">
        <v>47</v>
      </c>
      <c r="E260" s="4" t="s">
        <v>29</v>
      </c>
      <c r="F260" s="4" t="s">
        <v>108</v>
      </c>
      <c r="G260" s="4" t="s">
        <v>31</v>
      </c>
      <c r="H260" s="4" t="s">
        <v>32</v>
      </c>
      <c r="I260" s="4">
        <v>5</v>
      </c>
      <c r="J260" s="6">
        <v>345.77</v>
      </c>
      <c r="K260" s="7">
        <v>0</v>
      </c>
      <c r="L260" s="6">
        <f t="shared" si="16"/>
        <v>1728.85</v>
      </c>
      <c r="M260" s="6">
        <v>245.11</v>
      </c>
      <c r="N260" s="8">
        <f t="shared" si="17"/>
        <v>503.29999999999973</v>
      </c>
      <c r="O260" s="4" t="s">
        <v>60</v>
      </c>
      <c r="P260" s="4" t="s">
        <v>26</v>
      </c>
      <c r="Q260" s="4">
        <v>5</v>
      </c>
      <c r="R260" s="21">
        <f t="shared" si="18"/>
        <v>0.29111837348526465</v>
      </c>
      <c r="S260" t="str">
        <f t="shared" si="19"/>
        <v>Medium</v>
      </c>
    </row>
    <row r="261" spans="1:19" x14ac:dyDescent="0.35">
      <c r="A261" s="4" t="s">
        <v>531</v>
      </c>
      <c r="B261" s="5">
        <v>45757</v>
      </c>
      <c r="C261" s="4" t="s">
        <v>532</v>
      </c>
      <c r="D261" s="4" t="s">
        <v>43</v>
      </c>
      <c r="E261" s="4" t="s">
        <v>21</v>
      </c>
      <c r="F261" s="4" t="s">
        <v>59</v>
      </c>
      <c r="G261" s="4" t="s">
        <v>38</v>
      </c>
      <c r="H261" s="4" t="s">
        <v>89</v>
      </c>
      <c r="I261" s="4">
        <v>5</v>
      </c>
      <c r="J261" s="6">
        <v>690.7</v>
      </c>
      <c r="K261" s="7">
        <v>0.15</v>
      </c>
      <c r="L261" s="6">
        <f t="shared" si="16"/>
        <v>2935.4749999999999</v>
      </c>
      <c r="M261" s="6">
        <v>539.35</v>
      </c>
      <c r="N261" s="8">
        <f t="shared" si="17"/>
        <v>238.72499999999991</v>
      </c>
      <c r="O261" s="4" t="s">
        <v>40</v>
      </c>
      <c r="P261" s="4" t="s">
        <v>97</v>
      </c>
      <c r="Q261" s="4">
        <v>4</v>
      </c>
      <c r="R261" s="21">
        <f t="shared" si="18"/>
        <v>8.1324146858685539E-2</v>
      </c>
      <c r="S261" t="str">
        <f t="shared" si="19"/>
        <v>Large</v>
      </c>
    </row>
    <row r="262" spans="1:19" x14ac:dyDescent="0.35">
      <c r="A262" s="4" t="s">
        <v>533</v>
      </c>
      <c r="B262" s="5">
        <v>45757</v>
      </c>
      <c r="C262" s="4" t="s">
        <v>534</v>
      </c>
      <c r="D262" s="4" t="s">
        <v>43</v>
      </c>
      <c r="E262" s="4" t="s">
        <v>21</v>
      </c>
      <c r="F262" s="4" t="s">
        <v>59</v>
      </c>
      <c r="G262" s="4" t="s">
        <v>38</v>
      </c>
      <c r="H262" s="4" t="s">
        <v>89</v>
      </c>
      <c r="I262" s="4">
        <v>3</v>
      </c>
      <c r="J262" s="6">
        <v>1051.1300000000001</v>
      </c>
      <c r="K262" s="7">
        <v>0.1</v>
      </c>
      <c r="L262" s="6">
        <f t="shared" si="16"/>
        <v>2838.0510000000004</v>
      </c>
      <c r="M262" s="6">
        <v>844.88</v>
      </c>
      <c r="N262" s="8">
        <f t="shared" si="17"/>
        <v>303.41100000000051</v>
      </c>
      <c r="O262" s="4" t="s">
        <v>51</v>
      </c>
      <c r="P262" s="4" t="s">
        <v>56</v>
      </c>
      <c r="Q262" s="4">
        <v>3</v>
      </c>
      <c r="R262" s="21">
        <f t="shared" si="18"/>
        <v>0.10690822680776366</v>
      </c>
      <c r="S262" t="str">
        <f t="shared" si="19"/>
        <v>Large</v>
      </c>
    </row>
    <row r="263" spans="1:19" x14ac:dyDescent="0.35">
      <c r="A263" s="4" t="s">
        <v>535</v>
      </c>
      <c r="B263" s="5">
        <v>45758</v>
      </c>
      <c r="C263" s="4" t="s">
        <v>254</v>
      </c>
      <c r="D263" s="4" t="s">
        <v>20</v>
      </c>
      <c r="E263" s="4" t="s">
        <v>29</v>
      </c>
      <c r="F263" s="4" t="s">
        <v>30</v>
      </c>
      <c r="G263" s="4" t="s">
        <v>31</v>
      </c>
      <c r="H263" s="4" t="s">
        <v>147</v>
      </c>
      <c r="I263" s="4">
        <v>5</v>
      </c>
      <c r="J263" s="6">
        <v>51.74</v>
      </c>
      <c r="K263" s="7">
        <v>0</v>
      </c>
      <c r="L263" s="6">
        <f t="shared" si="16"/>
        <v>258.7</v>
      </c>
      <c r="M263" s="6">
        <v>29.22</v>
      </c>
      <c r="N263" s="8">
        <f t="shared" si="17"/>
        <v>112.6</v>
      </c>
      <c r="O263" s="4" t="s">
        <v>84</v>
      </c>
      <c r="P263" s="4" t="s">
        <v>61</v>
      </c>
      <c r="Q263" s="4">
        <v>5</v>
      </c>
      <c r="R263" s="21">
        <f t="shared" si="18"/>
        <v>0.43525318902203325</v>
      </c>
      <c r="S263" t="str">
        <f t="shared" si="19"/>
        <v>Small</v>
      </c>
    </row>
    <row r="264" spans="1:19" x14ac:dyDescent="0.35">
      <c r="A264" s="4" t="s">
        <v>536</v>
      </c>
      <c r="B264" s="5">
        <v>45759</v>
      </c>
      <c r="C264" s="4" t="s">
        <v>377</v>
      </c>
      <c r="D264" s="4" t="s">
        <v>47</v>
      </c>
      <c r="E264" s="4" t="s">
        <v>36</v>
      </c>
      <c r="F264" s="4" t="s">
        <v>48</v>
      </c>
      <c r="G264" s="4" t="s">
        <v>31</v>
      </c>
      <c r="H264" s="4" t="s">
        <v>64</v>
      </c>
      <c r="I264" s="4">
        <v>3</v>
      </c>
      <c r="J264" s="6">
        <v>241.63</v>
      </c>
      <c r="K264" s="7">
        <v>0.05</v>
      </c>
      <c r="L264" s="6">
        <f t="shared" si="16"/>
        <v>688.64549999999997</v>
      </c>
      <c r="M264" s="6">
        <v>174.26</v>
      </c>
      <c r="N264" s="8">
        <f t="shared" si="17"/>
        <v>165.8655</v>
      </c>
      <c r="O264" s="4" t="s">
        <v>60</v>
      </c>
      <c r="P264" s="4" t="s">
        <v>97</v>
      </c>
      <c r="Q264" s="4">
        <v>4</v>
      </c>
      <c r="R264" s="21">
        <f t="shared" si="18"/>
        <v>0.24085759654277855</v>
      </c>
      <c r="S264" t="str">
        <f t="shared" si="19"/>
        <v>Medium</v>
      </c>
    </row>
    <row r="265" spans="1:19" x14ac:dyDescent="0.35">
      <c r="A265" s="4" t="s">
        <v>537</v>
      </c>
      <c r="B265" s="5">
        <v>45759</v>
      </c>
      <c r="C265" s="4" t="s">
        <v>538</v>
      </c>
      <c r="D265" s="4" t="s">
        <v>47</v>
      </c>
      <c r="E265" s="4" t="s">
        <v>36</v>
      </c>
      <c r="F265" s="4" t="s">
        <v>48</v>
      </c>
      <c r="G265" s="4" t="s">
        <v>49</v>
      </c>
      <c r="H265" s="4" t="s">
        <v>78</v>
      </c>
      <c r="I265" s="4">
        <v>2</v>
      </c>
      <c r="J265" s="6">
        <v>286.52999999999997</v>
      </c>
      <c r="K265" s="7">
        <v>0.1</v>
      </c>
      <c r="L265" s="6">
        <f t="shared" si="16"/>
        <v>515.75400000000002</v>
      </c>
      <c r="M265" s="6">
        <v>172.41</v>
      </c>
      <c r="N265" s="8">
        <f t="shared" si="17"/>
        <v>170.93400000000003</v>
      </c>
      <c r="O265" s="4" t="s">
        <v>84</v>
      </c>
      <c r="P265" s="4" t="s">
        <v>61</v>
      </c>
      <c r="Q265" s="4">
        <v>3</v>
      </c>
      <c r="R265" s="21">
        <f t="shared" si="18"/>
        <v>0.33142544701543764</v>
      </c>
      <c r="S265" t="str">
        <f t="shared" si="19"/>
        <v>Medium</v>
      </c>
    </row>
    <row r="266" spans="1:19" x14ac:dyDescent="0.35">
      <c r="A266" s="4" t="s">
        <v>539</v>
      </c>
      <c r="B266" s="5">
        <v>45759</v>
      </c>
      <c r="C266" s="4" t="s">
        <v>258</v>
      </c>
      <c r="D266" s="4" t="s">
        <v>20</v>
      </c>
      <c r="E266" s="4" t="s">
        <v>21</v>
      </c>
      <c r="F266" s="4" t="s">
        <v>59</v>
      </c>
      <c r="G266" s="4" t="s">
        <v>31</v>
      </c>
      <c r="H266" s="4" t="s">
        <v>125</v>
      </c>
      <c r="I266" s="4">
        <v>2</v>
      </c>
      <c r="J266" s="6">
        <v>49.49</v>
      </c>
      <c r="K266" s="7">
        <v>0.05</v>
      </c>
      <c r="L266" s="6">
        <f t="shared" si="16"/>
        <v>94.031000000000006</v>
      </c>
      <c r="M266" s="6">
        <v>30.48</v>
      </c>
      <c r="N266" s="8">
        <f t="shared" si="17"/>
        <v>33.071000000000005</v>
      </c>
      <c r="O266" s="4" t="s">
        <v>60</v>
      </c>
      <c r="P266" s="4" t="s">
        <v>33</v>
      </c>
      <c r="Q266" s="4">
        <v>2</v>
      </c>
      <c r="R266" s="21">
        <f t="shared" si="18"/>
        <v>0.35170316172326149</v>
      </c>
      <c r="S266" t="str">
        <f t="shared" si="19"/>
        <v>Small</v>
      </c>
    </row>
    <row r="267" spans="1:19" x14ac:dyDescent="0.35">
      <c r="A267" s="4" t="s">
        <v>540</v>
      </c>
      <c r="B267" s="5">
        <v>45759</v>
      </c>
      <c r="C267" s="4" t="s">
        <v>350</v>
      </c>
      <c r="D267" s="4" t="s">
        <v>43</v>
      </c>
      <c r="E267" s="4" t="s">
        <v>87</v>
      </c>
      <c r="F267" s="4" t="s">
        <v>88</v>
      </c>
      <c r="G267" s="4" t="s">
        <v>31</v>
      </c>
      <c r="H267" s="4" t="s">
        <v>32</v>
      </c>
      <c r="I267" s="4">
        <v>1</v>
      </c>
      <c r="J267" s="6">
        <v>384.01</v>
      </c>
      <c r="K267" s="7">
        <v>0</v>
      </c>
      <c r="L267" s="6">
        <f t="shared" si="16"/>
        <v>384.01</v>
      </c>
      <c r="M267" s="6">
        <v>260.58</v>
      </c>
      <c r="N267" s="8">
        <f t="shared" si="17"/>
        <v>123.43</v>
      </c>
      <c r="O267" s="4" t="s">
        <v>40</v>
      </c>
      <c r="P267" s="4" t="s">
        <v>26</v>
      </c>
      <c r="Q267" s="4">
        <v>4</v>
      </c>
      <c r="R267" s="21">
        <f t="shared" si="18"/>
        <v>0.32142392125205077</v>
      </c>
      <c r="S267" t="str">
        <f t="shared" si="19"/>
        <v>Small</v>
      </c>
    </row>
    <row r="268" spans="1:19" x14ac:dyDescent="0.35">
      <c r="A268" s="4" t="s">
        <v>541</v>
      </c>
      <c r="B268" s="5">
        <v>45759</v>
      </c>
      <c r="C268" s="4" t="s">
        <v>542</v>
      </c>
      <c r="D268" s="4" t="s">
        <v>20</v>
      </c>
      <c r="E268" s="4" t="s">
        <v>36</v>
      </c>
      <c r="F268" s="4" t="s">
        <v>201</v>
      </c>
      <c r="G268" s="4" t="s">
        <v>31</v>
      </c>
      <c r="H268" s="4" t="s">
        <v>125</v>
      </c>
      <c r="I268" s="4">
        <v>1</v>
      </c>
      <c r="J268" s="6">
        <v>126.14</v>
      </c>
      <c r="K268" s="7">
        <v>0</v>
      </c>
      <c r="L268" s="6">
        <f t="shared" si="16"/>
        <v>126.14</v>
      </c>
      <c r="M268" s="6">
        <v>85.41</v>
      </c>
      <c r="N268" s="8">
        <f t="shared" si="17"/>
        <v>40.730000000000004</v>
      </c>
      <c r="O268" s="4" t="s">
        <v>40</v>
      </c>
      <c r="P268" s="4" t="s">
        <v>33</v>
      </c>
      <c r="Q268" s="4">
        <v>5</v>
      </c>
      <c r="R268" s="21">
        <f t="shared" si="18"/>
        <v>0.32289519581417475</v>
      </c>
      <c r="S268" t="str">
        <f t="shared" si="19"/>
        <v>Small</v>
      </c>
    </row>
    <row r="269" spans="1:19" x14ac:dyDescent="0.35">
      <c r="A269" s="4" t="s">
        <v>543</v>
      </c>
      <c r="B269" s="5">
        <v>45760</v>
      </c>
      <c r="C269" s="4" t="s">
        <v>207</v>
      </c>
      <c r="D269" s="4" t="s">
        <v>20</v>
      </c>
      <c r="E269" s="4" t="s">
        <v>36</v>
      </c>
      <c r="F269" s="4" t="s">
        <v>201</v>
      </c>
      <c r="G269" s="4" t="s">
        <v>38</v>
      </c>
      <c r="H269" s="4" t="s">
        <v>55</v>
      </c>
      <c r="I269" s="4">
        <v>2</v>
      </c>
      <c r="J269" s="6">
        <v>267.02999999999997</v>
      </c>
      <c r="K269" s="7">
        <v>0</v>
      </c>
      <c r="L269" s="6">
        <f t="shared" si="16"/>
        <v>534.05999999999995</v>
      </c>
      <c r="M269" s="6">
        <v>221.79</v>
      </c>
      <c r="N269" s="8">
        <f t="shared" si="17"/>
        <v>90.479999999999961</v>
      </c>
      <c r="O269" s="4" t="s">
        <v>60</v>
      </c>
      <c r="P269" s="4" t="s">
        <v>33</v>
      </c>
      <c r="Q269" s="4">
        <v>5</v>
      </c>
      <c r="R269" s="21">
        <f t="shared" si="18"/>
        <v>0.16941916638579929</v>
      </c>
      <c r="S269" t="str">
        <f t="shared" si="19"/>
        <v>Medium</v>
      </c>
    </row>
    <row r="270" spans="1:19" x14ac:dyDescent="0.35">
      <c r="A270" s="4" t="s">
        <v>544</v>
      </c>
      <c r="B270" s="5">
        <v>45760</v>
      </c>
      <c r="C270" s="4" t="s">
        <v>545</v>
      </c>
      <c r="D270" s="4" t="s">
        <v>20</v>
      </c>
      <c r="E270" s="4" t="s">
        <v>21</v>
      </c>
      <c r="F270" s="4" t="s">
        <v>59</v>
      </c>
      <c r="G270" s="4" t="s">
        <v>38</v>
      </c>
      <c r="H270" s="4" t="s">
        <v>39</v>
      </c>
      <c r="I270" s="4">
        <v>1</v>
      </c>
      <c r="J270" s="6">
        <v>152.68</v>
      </c>
      <c r="K270" s="7">
        <v>0</v>
      </c>
      <c r="L270" s="6">
        <f t="shared" si="16"/>
        <v>152.68</v>
      </c>
      <c r="M270" s="6">
        <v>120.61</v>
      </c>
      <c r="N270" s="8">
        <f t="shared" si="17"/>
        <v>32.070000000000007</v>
      </c>
      <c r="O270" s="4" t="s">
        <v>60</v>
      </c>
      <c r="P270" s="4" t="s">
        <v>97</v>
      </c>
      <c r="Q270" s="4">
        <v>5</v>
      </c>
      <c r="R270" s="21">
        <f t="shared" si="18"/>
        <v>0.21004715745349756</v>
      </c>
      <c r="S270" t="str">
        <f t="shared" si="19"/>
        <v>Small</v>
      </c>
    </row>
    <row r="271" spans="1:19" x14ac:dyDescent="0.35">
      <c r="A271" s="4" t="s">
        <v>546</v>
      </c>
      <c r="B271" s="5">
        <v>45760</v>
      </c>
      <c r="C271" s="4" t="s">
        <v>547</v>
      </c>
      <c r="D271" s="4" t="s">
        <v>20</v>
      </c>
      <c r="E271" s="4" t="s">
        <v>29</v>
      </c>
      <c r="F271" s="4" t="s">
        <v>108</v>
      </c>
      <c r="G271" s="4" t="s">
        <v>38</v>
      </c>
      <c r="H271" s="4" t="s">
        <v>89</v>
      </c>
      <c r="I271" s="4">
        <v>4</v>
      </c>
      <c r="J271" s="6">
        <v>1063.7</v>
      </c>
      <c r="K271" s="7">
        <v>0</v>
      </c>
      <c r="L271" s="6">
        <f t="shared" si="16"/>
        <v>4254.8</v>
      </c>
      <c r="M271" s="6">
        <v>870.62</v>
      </c>
      <c r="N271" s="8">
        <f t="shared" si="17"/>
        <v>772.32000000000016</v>
      </c>
      <c r="O271" s="4" t="s">
        <v>25</v>
      </c>
      <c r="P271" s="4" t="s">
        <v>61</v>
      </c>
      <c r="Q271" s="4">
        <v>4</v>
      </c>
      <c r="R271" s="21">
        <f t="shared" si="18"/>
        <v>0.18151734511610421</v>
      </c>
      <c r="S271" t="str">
        <f t="shared" si="19"/>
        <v>Large</v>
      </c>
    </row>
    <row r="272" spans="1:19" x14ac:dyDescent="0.35">
      <c r="A272" s="4" t="s">
        <v>548</v>
      </c>
      <c r="B272" s="5">
        <v>45762</v>
      </c>
      <c r="C272" s="4" t="s">
        <v>406</v>
      </c>
      <c r="D272" s="4" t="s">
        <v>43</v>
      </c>
      <c r="E272" s="4" t="s">
        <v>87</v>
      </c>
      <c r="F272" s="4" t="s">
        <v>124</v>
      </c>
      <c r="G272" s="4" t="s">
        <v>23</v>
      </c>
      <c r="H272" s="4" t="s">
        <v>44</v>
      </c>
      <c r="I272" s="4">
        <v>3</v>
      </c>
      <c r="J272" s="6">
        <v>83.66</v>
      </c>
      <c r="K272" s="7">
        <v>0.1</v>
      </c>
      <c r="L272" s="6">
        <f t="shared" si="16"/>
        <v>225.88200000000001</v>
      </c>
      <c r="M272" s="6">
        <v>54.16</v>
      </c>
      <c r="N272" s="8">
        <f t="shared" si="17"/>
        <v>63.402000000000015</v>
      </c>
      <c r="O272" s="4" t="s">
        <v>84</v>
      </c>
      <c r="P272" s="4" t="s">
        <v>61</v>
      </c>
      <c r="Q272" s="4">
        <v>4</v>
      </c>
      <c r="R272" s="21">
        <f t="shared" si="18"/>
        <v>0.28068637607246266</v>
      </c>
      <c r="S272" t="str">
        <f t="shared" si="19"/>
        <v>Small</v>
      </c>
    </row>
    <row r="273" spans="1:19" x14ac:dyDescent="0.35">
      <c r="A273" s="4" t="s">
        <v>549</v>
      </c>
      <c r="B273" s="5">
        <v>45762</v>
      </c>
      <c r="C273" s="4" t="s">
        <v>550</v>
      </c>
      <c r="D273" s="4" t="s">
        <v>43</v>
      </c>
      <c r="E273" s="4" t="s">
        <v>36</v>
      </c>
      <c r="F273" s="4" t="s">
        <v>48</v>
      </c>
      <c r="G273" s="4" t="s">
        <v>23</v>
      </c>
      <c r="H273" s="4" t="s">
        <v>24</v>
      </c>
      <c r="I273" s="4">
        <v>1</v>
      </c>
      <c r="J273" s="6">
        <v>72.83</v>
      </c>
      <c r="K273" s="7">
        <v>0.05</v>
      </c>
      <c r="L273" s="6">
        <f t="shared" si="16"/>
        <v>69.188499999999991</v>
      </c>
      <c r="M273" s="6">
        <v>38.54</v>
      </c>
      <c r="N273" s="8">
        <f t="shared" si="17"/>
        <v>30.648499999999991</v>
      </c>
      <c r="O273" s="4" t="s">
        <v>25</v>
      </c>
      <c r="P273" s="4" t="s">
        <v>72</v>
      </c>
      <c r="Q273" s="4">
        <v>2</v>
      </c>
      <c r="R273" s="21">
        <f t="shared" si="18"/>
        <v>0.44297101396908439</v>
      </c>
      <c r="S273" t="str">
        <f t="shared" si="19"/>
        <v>Small</v>
      </c>
    </row>
    <row r="274" spans="1:19" x14ac:dyDescent="0.35">
      <c r="A274" s="4" t="s">
        <v>551</v>
      </c>
      <c r="B274" s="5">
        <v>45763</v>
      </c>
      <c r="C274" s="4" t="s">
        <v>211</v>
      </c>
      <c r="D274" s="4" t="s">
        <v>20</v>
      </c>
      <c r="E274" s="4" t="s">
        <v>21</v>
      </c>
      <c r="F274" s="4" t="s">
        <v>22</v>
      </c>
      <c r="G274" s="4" t="s">
        <v>38</v>
      </c>
      <c r="H274" s="4" t="s">
        <v>55</v>
      </c>
      <c r="I274" s="4">
        <v>10</v>
      </c>
      <c r="J274" s="6">
        <v>134.79</v>
      </c>
      <c r="K274" s="7">
        <v>0</v>
      </c>
      <c r="L274" s="6">
        <f t="shared" si="16"/>
        <v>1347.8999999999999</v>
      </c>
      <c r="M274" s="6">
        <v>102.75</v>
      </c>
      <c r="N274" s="8">
        <f t="shared" si="17"/>
        <v>320.39999999999986</v>
      </c>
      <c r="O274" s="4" t="s">
        <v>25</v>
      </c>
      <c r="P274" s="4" t="s">
        <v>33</v>
      </c>
      <c r="Q274" s="4">
        <v>4</v>
      </c>
      <c r="R274" s="21">
        <f t="shared" si="18"/>
        <v>0.23770309370131307</v>
      </c>
      <c r="S274" t="str">
        <f t="shared" si="19"/>
        <v>Medium</v>
      </c>
    </row>
    <row r="275" spans="1:19" x14ac:dyDescent="0.35">
      <c r="A275" s="4" t="s">
        <v>552</v>
      </c>
      <c r="B275" s="5">
        <v>45764</v>
      </c>
      <c r="C275" s="4" t="s">
        <v>547</v>
      </c>
      <c r="D275" s="4" t="s">
        <v>20</v>
      </c>
      <c r="E275" s="4" t="s">
        <v>21</v>
      </c>
      <c r="F275" s="4" t="s">
        <v>59</v>
      </c>
      <c r="G275" s="4" t="s">
        <v>23</v>
      </c>
      <c r="H275" s="4" t="s">
        <v>44</v>
      </c>
      <c r="I275" s="4">
        <v>1</v>
      </c>
      <c r="J275" s="6">
        <v>118.44</v>
      </c>
      <c r="K275" s="7">
        <v>0.2</v>
      </c>
      <c r="L275" s="6">
        <f t="shared" si="16"/>
        <v>94.75200000000001</v>
      </c>
      <c r="M275" s="6">
        <v>66.17</v>
      </c>
      <c r="N275" s="8">
        <f t="shared" si="17"/>
        <v>28.582000000000008</v>
      </c>
      <c r="O275" s="4" t="s">
        <v>40</v>
      </c>
      <c r="P275" s="4" t="s">
        <v>118</v>
      </c>
      <c r="Q275" s="4">
        <v>5</v>
      </c>
      <c r="R275" s="21">
        <f t="shared" si="18"/>
        <v>0.30165062478892274</v>
      </c>
      <c r="S275" t="str">
        <f t="shared" si="19"/>
        <v>Small</v>
      </c>
    </row>
    <row r="276" spans="1:19" x14ac:dyDescent="0.35">
      <c r="A276" s="4" t="s">
        <v>553</v>
      </c>
      <c r="B276" s="5">
        <v>45765</v>
      </c>
      <c r="C276" s="4" t="s">
        <v>197</v>
      </c>
      <c r="D276" s="4" t="s">
        <v>43</v>
      </c>
      <c r="E276" s="4" t="s">
        <v>87</v>
      </c>
      <c r="F276" s="4" t="s">
        <v>92</v>
      </c>
      <c r="G276" s="4" t="s">
        <v>67</v>
      </c>
      <c r="H276" s="4" t="s">
        <v>68</v>
      </c>
      <c r="I276" s="4">
        <v>1</v>
      </c>
      <c r="J276" s="6">
        <v>1098.45</v>
      </c>
      <c r="K276" s="7">
        <v>0</v>
      </c>
      <c r="L276" s="6">
        <f t="shared" si="16"/>
        <v>1098.45</v>
      </c>
      <c r="M276" s="6">
        <v>877.31</v>
      </c>
      <c r="N276" s="8">
        <f t="shared" si="17"/>
        <v>221.1400000000001</v>
      </c>
      <c r="O276" s="4" t="s">
        <v>84</v>
      </c>
      <c r="P276" s="4" t="s">
        <v>61</v>
      </c>
      <c r="Q276" s="4">
        <v>3</v>
      </c>
      <c r="R276" s="21">
        <f t="shared" si="18"/>
        <v>0.20132004187719066</v>
      </c>
      <c r="S276" t="str">
        <f t="shared" si="19"/>
        <v>Medium</v>
      </c>
    </row>
    <row r="277" spans="1:19" x14ac:dyDescent="0.35">
      <c r="A277" s="4" t="s">
        <v>554</v>
      </c>
      <c r="B277" s="5">
        <v>45765</v>
      </c>
      <c r="C277" s="4" t="s">
        <v>431</v>
      </c>
      <c r="D277" s="4" t="s">
        <v>47</v>
      </c>
      <c r="E277" s="4" t="s">
        <v>36</v>
      </c>
      <c r="F277" s="4" t="s">
        <v>37</v>
      </c>
      <c r="G277" s="4" t="s">
        <v>67</v>
      </c>
      <c r="H277" s="4" t="s">
        <v>121</v>
      </c>
      <c r="I277" s="4">
        <v>1</v>
      </c>
      <c r="J277" s="6">
        <v>324.61</v>
      </c>
      <c r="K277" s="7">
        <v>0.1</v>
      </c>
      <c r="L277" s="6">
        <f t="shared" si="16"/>
        <v>292.149</v>
      </c>
      <c r="M277" s="6">
        <v>232.77</v>
      </c>
      <c r="N277" s="8">
        <f t="shared" si="17"/>
        <v>59.378999999999991</v>
      </c>
      <c r="O277" s="4" t="s">
        <v>51</v>
      </c>
      <c r="P277" s="4" t="s">
        <v>61</v>
      </c>
      <c r="Q277" s="4">
        <v>4</v>
      </c>
      <c r="R277" s="21">
        <f t="shared" si="18"/>
        <v>0.20324902703757325</v>
      </c>
      <c r="S277" t="str">
        <f t="shared" si="19"/>
        <v>Small</v>
      </c>
    </row>
    <row r="278" spans="1:19" x14ac:dyDescent="0.35">
      <c r="A278" s="4" t="s">
        <v>555</v>
      </c>
      <c r="B278" s="5">
        <v>45765</v>
      </c>
      <c r="C278" s="4" t="s">
        <v>556</v>
      </c>
      <c r="D278" s="4" t="s">
        <v>47</v>
      </c>
      <c r="E278" s="4" t="s">
        <v>87</v>
      </c>
      <c r="F278" s="4" t="s">
        <v>88</v>
      </c>
      <c r="G278" s="4" t="s">
        <v>23</v>
      </c>
      <c r="H278" s="4" t="s">
        <v>24</v>
      </c>
      <c r="I278" s="4">
        <v>3</v>
      </c>
      <c r="J278" s="6">
        <v>27.8</v>
      </c>
      <c r="K278" s="7">
        <v>0</v>
      </c>
      <c r="L278" s="6">
        <f t="shared" si="16"/>
        <v>83.4</v>
      </c>
      <c r="M278" s="6">
        <v>14.08</v>
      </c>
      <c r="N278" s="8">
        <f t="shared" si="17"/>
        <v>41.160000000000004</v>
      </c>
      <c r="O278" s="4" t="s">
        <v>60</v>
      </c>
      <c r="P278" s="4" t="s">
        <v>61</v>
      </c>
      <c r="Q278" s="4">
        <v>3</v>
      </c>
      <c r="R278" s="21">
        <f t="shared" si="18"/>
        <v>0.4935251798561151</v>
      </c>
      <c r="S278" t="str">
        <f t="shared" si="19"/>
        <v>Small</v>
      </c>
    </row>
    <row r="279" spans="1:19" x14ac:dyDescent="0.35">
      <c r="A279" s="4" t="s">
        <v>557</v>
      </c>
      <c r="B279" s="5">
        <v>45765</v>
      </c>
      <c r="C279" s="4" t="s">
        <v>139</v>
      </c>
      <c r="D279" s="4" t="s">
        <v>47</v>
      </c>
      <c r="E279" s="4" t="s">
        <v>21</v>
      </c>
      <c r="F279" s="4" t="s">
        <v>59</v>
      </c>
      <c r="G279" s="4" t="s">
        <v>38</v>
      </c>
      <c r="H279" s="4" t="s">
        <v>96</v>
      </c>
      <c r="I279" s="4">
        <v>4</v>
      </c>
      <c r="J279" s="6">
        <v>479.65</v>
      </c>
      <c r="K279" s="7">
        <v>0.15</v>
      </c>
      <c r="L279" s="6">
        <f t="shared" si="16"/>
        <v>1630.81</v>
      </c>
      <c r="M279" s="6">
        <v>391.14</v>
      </c>
      <c r="N279" s="8">
        <f t="shared" si="17"/>
        <v>66.25</v>
      </c>
      <c r="O279" s="4" t="s">
        <v>40</v>
      </c>
      <c r="P279" s="4" t="s">
        <v>26</v>
      </c>
      <c r="Q279" s="4">
        <v>5</v>
      </c>
      <c r="R279" s="21">
        <f t="shared" si="18"/>
        <v>4.0623984400389994E-2</v>
      </c>
      <c r="S279" t="str">
        <f t="shared" si="19"/>
        <v>Medium</v>
      </c>
    </row>
    <row r="280" spans="1:19" x14ac:dyDescent="0.35">
      <c r="A280" s="4" t="s">
        <v>558</v>
      </c>
      <c r="B280" s="5">
        <v>45766</v>
      </c>
      <c r="C280" s="4" t="s">
        <v>256</v>
      </c>
      <c r="D280" s="4" t="s">
        <v>20</v>
      </c>
      <c r="E280" s="4" t="s">
        <v>87</v>
      </c>
      <c r="F280" s="4" t="s">
        <v>124</v>
      </c>
      <c r="G280" s="4" t="s">
        <v>38</v>
      </c>
      <c r="H280" s="4" t="s">
        <v>96</v>
      </c>
      <c r="I280" s="4">
        <v>3</v>
      </c>
      <c r="J280" s="6">
        <v>480.46</v>
      </c>
      <c r="K280" s="7">
        <v>0</v>
      </c>
      <c r="L280" s="6">
        <f t="shared" si="16"/>
        <v>1441.3799999999999</v>
      </c>
      <c r="M280" s="6">
        <v>375.15</v>
      </c>
      <c r="N280" s="8">
        <f t="shared" si="17"/>
        <v>315.93000000000006</v>
      </c>
      <c r="O280" s="4" t="s">
        <v>25</v>
      </c>
      <c r="P280" s="4" t="s">
        <v>26</v>
      </c>
      <c r="Q280" s="4">
        <v>4</v>
      </c>
      <c r="R280" s="21">
        <f t="shared" si="18"/>
        <v>0.21918578029388508</v>
      </c>
      <c r="S280" t="str">
        <f t="shared" si="19"/>
        <v>Medium</v>
      </c>
    </row>
    <row r="281" spans="1:19" x14ac:dyDescent="0.35">
      <c r="A281" s="4" t="s">
        <v>559</v>
      </c>
      <c r="B281" s="5">
        <v>45766</v>
      </c>
      <c r="C281" s="4" t="s">
        <v>149</v>
      </c>
      <c r="D281" s="4" t="s">
        <v>47</v>
      </c>
      <c r="E281" s="4" t="s">
        <v>87</v>
      </c>
      <c r="F281" s="4" t="s">
        <v>124</v>
      </c>
      <c r="G281" s="4" t="s">
        <v>38</v>
      </c>
      <c r="H281" s="4" t="s">
        <v>96</v>
      </c>
      <c r="I281" s="4">
        <v>5</v>
      </c>
      <c r="J281" s="6">
        <v>362</v>
      </c>
      <c r="K281" s="7">
        <v>0.05</v>
      </c>
      <c r="L281" s="6">
        <f t="shared" si="16"/>
        <v>1719.5</v>
      </c>
      <c r="M281" s="6">
        <v>319.89999999999998</v>
      </c>
      <c r="N281" s="8">
        <f t="shared" si="17"/>
        <v>120</v>
      </c>
      <c r="O281" s="4" t="s">
        <v>51</v>
      </c>
      <c r="P281" s="4" t="s">
        <v>56</v>
      </c>
      <c r="Q281" s="4">
        <v>3</v>
      </c>
      <c r="R281" s="21">
        <f t="shared" si="18"/>
        <v>6.9787728990985745E-2</v>
      </c>
      <c r="S281" t="str">
        <f t="shared" si="19"/>
        <v>Medium</v>
      </c>
    </row>
    <row r="282" spans="1:19" x14ac:dyDescent="0.35">
      <c r="A282" s="4" t="s">
        <v>560</v>
      </c>
      <c r="B282" s="5">
        <v>45766</v>
      </c>
      <c r="C282" s="4" t="s">
        <v>509</v>
      </c>
      <c r="D282" s="4" t="s">
        <v>20</v>
      </c>
      <c r="E282" s="4" t="s">
        <v>21</v>
      </c>
      <c r="F282" s="4" t="s">
        <v>22</v>
      </c>
      <c r="G282" s="4" t="s">
        <v>49</v>
      </c>
      <c r="H282" s="4" t="s">
        <v>50</v>
      </c>
      <c r="I282" s="4">
        <v>2</v>
      </c>
      <c r="J282" s="6">
        <v>45.35</v>
      </c>
      <c r="K282" s="7">
        <v>0</v>
      </c>
      <c r="L282" s="6">
        <f t="shared" si="16"/>
        <v>90.7</v>
      </c>
      <c r="M282" s="6">
        <v>29.19</v>
      </c>
      <c r="N282" s="8">
        <f t="shared" si="17"/>
        <v>32.32</v>
      </c>
      <c r="O282" s="4" t="s">
        <v>60</v>
      </c>
      <c r="P282" s="4" t="s">
        <v>97</v>
      </c>
      <c r="Q282" s="4">
        <v>4</v>
      </c>
      <c r="R282" s="21">
        <f t="shared" si="18"/>
        <v>0.35633958103638369</v>
      </c>
      <c r="S282" t="str">
        <f t="shared" si="19"/>
        <v>Small</v>
      </c>
    </row>
    <row r="283" spans="1:19" x14ac:dyDescent="0.35">
      <c r="A283" s="4" t="s">
        <v>561</v>
      </c>
      <c r="B283" s="5">
        <v>45766</v>
      </c>
      <c r="C283" s="4" t="s">
        <v>296</v>
      </c>
      <c r="D283" s="4" t="s">
        <v>20</v>
      </c>
      <c r="E283" s="4" t="s">
        <v>29</v>
      </c>
      <c r="F283" s="4" t="s">
        <v>30</v>
      </c>
      <c r="G283" s="4" t="s">
        <v>67</v>
      </c>
      <c r="H283" s="4" t="s">
        <v>121</v>
      </c>
      <c r="I283" s="4">
        <v>2</v>
      </c>
      <c r="J283" s="6">
        <v>338.13</v>
      </c>
      <c r="K283" s="7">
        <v>0.15</v>
      </c>
      <c r="L283" s="6">
        <f t="shared" si="16"/>
        <v>574.82100000000003</v>
      </c>
      <c r="M283" s="6">
        <v>241.5</v>
      </c>
      <c r="N283" s="8">
        <f t="shared" si="17"/>
        <v>91.821000000000026</v>
      </c>
      <c r="O283" s="4" t="s">
        <v>51</v>
      </c>
      <c r="P283" s="4" t="s">
        <v>56</v>
      </c>
      <c r="Q283" s="4">
        <v>4</v>
      </c>
      <c r="R283" s="21">
        <f t="shared" si="18"/>
        <v>0.15973842291774312</v>
      </c>
      <c r="S283" t="str">
        <f t="shared" si="19"/>
        <v>Medium</v>
      </c>
    </row>
    <row r="284" spans="1:19" x14ac:dyDescent="0.35">
      <c r="A284" s="4" t="s">
        <v>562</v>
      </c>
      <c r="B284" s="5">
        <v>45766</v>
      </c>
      <c r="C284" s="4" t="s">
        <v>563</v>
      </c>
      <c r="D284" s="4" t="s">
        <v>20</v>
      </c>
      <c r="E284" s="4" t="s">
        <v>29</v>
      </c>
      <c r="F284" s="4" t="s">
        <v>30</v>
      </c>
      <c r="G284" s="4" t="s">
        <v>67</v>
      </c>
      <c r="H284" s="4" t="s">
        <v>93</v>
      </c>
      <c r="I284" s="4">
        <v>1</v>
      </c>
      <c r="J284" s="6">
        <v>556.84</v>
      </c>
      <c r="K284" s="7">
        <v>0.1</v>
      </c>
      <c r="L284" s="6">
        <f t="shared" si="16"/>
        <v>501.15600000000006</v>
      </c>
      <c r="M284" s="6">
        <v>436.14</v>
      </c>
      <c r="N284" s="8">
        <f t="shared" si="17"/>
        <v>65.016000000000076</v>
      </c>
      <c r="O284" s="4" t="s">
        <v>51</v>
      </c>
      <c r="P284" s="4" t="s">
        <v>56</v>
      </c>
      <c r="Q284" s="4">
        <v>4</v>
      </c>
      <c r="R284" s="21">
        <f t="shared" si="18"/>
        <v>0.12973205947848587</v>
      </c>
      <c r="S284" t="str">
        <f t="shared" si="19"/>
        <v>Medium</v>
      </c>
    </row>
    <row r="285" spans="1:19" x14ac:dyDescent="0.35">
      <c r="A285" s="4" t="s">
        <v>564</v>
      </c>
      <c r="B285" s="5">
        <v>45766</v>
      </c>
      <c r="C285" s="4" t="s">
        <v>565</v>
      </c>
      <c r="D285" s="4" t="s">
        <v>43</v>
      </c>
      <c r="E285" s="4" t="s">
        <v>36</v>
      </c>
      <c r="F285" s="4" t="s">
        <v>48</v>
      </c>
      <c r="G285" s="4" t="s">
        <v>67</v>
      </c>
      <c r="H285" s="4" t="s">
        <v>93</v>
      </c>
      <c r="I285" s="4">
        <v>1</v>
      </c>
      <c r="J285" s="6">
        <v>450.13</v>
      </c>
      <c r="K285" s="7">
        <v>0.1</v>
      </c>
      <c r="L285" s="6">
        <f t="shared" si="16"/>
        <v>405.11700000000002</v>
      </c>
      <c r="M285" s="6">
        <v>331.66</v>
      </c>
      <c r="N285" s="8">
        <f t="shared" si="17"/>
        <v>73.456999999999994</v>
      </c>
      <c r="O285" s="4" t="s">
        <v>51</v>
      </c>
      <c r="P285" s="4" t="s">
        <v>97</v>
      </c>
      <c r="Q285" s="4">
        <v>4</v>
      </c>
      <c r="R285" s="21">
        <f t="shared" si="18"/>
        <v>0.18132292646321924</v>
      </c>
      <c r="S285" t="str">
        <f t="shared" si="19"/>
        <v>Small</v>
      </c>
    </row>
    <row r="286" spans="1:19" x14ac:dyDescent="0.35">
      <c r="A286" s="4" t="s">
        <v>566</v>
      </c>
      <c r="B286" s="5">
        <v>45767</v>
      </c>
      <c r="C286" s="4" t="s">
        <v>565</v>
      </c>
      <c r="D286" s="4" t="s">
        <v>43</v>
      </c>
      <c r="E286" s="4" t="s">
        <v>29</v>
      </c>
      <c r="F286" s="4" t="s">
        <v>54</v>
      </c>
      <c r="G286" s="4" t="s">
        <v>23</v>
      </c>
      <c r="H286" s="4" t="s">
        <v>44</v>
      </c>
      <c r="I286" s="4">
        <v>2</v>
      </c>
      <c r="J286" s="6">
        <v>130.6</v>
      </c>
      <c r="K286" s="7">
        <v>0.05</v>
      </c>
      <c r="L286" s="6">
        <f t="shared" si="16"/>
        <v>248.14</v>
      </c>
      <c r="M286" s="6">
        <v>71.400000000000006</v>
      </c>
      <c r="N286" s="8">
        <f t="shared" si="17"/>
        <v>105.33999999999997</v>
      </c>
      <c r="O286" s="4" t="s">
        <v>51</v>
      </c>
      <c r="P286" s="4" t="s">
        <v>118</v>
      </c>
      <c r="Q286" s="4">
        <v>5</v>
      </c>
      <c r="R286" s="21">
        <f t="shared" si="18"/>
        <v>0.42451841702264842</v>
      </c>
      <c r="S286" t="str">
        <f t="shared" si="19"/>
        <v>Small</v>
      </c>
    </row>
    <row r="287" spans="1:19" x14ac:dyDescent="0.35">
      <c r="A287" s="4" t="s">
        <v>567</v>
      </c>
      <c r="B287" s="5">
        <v>45767</v>
      </c>
      <c r="C287" s="4" t="s">
        <v>83</v>
      </c>
      <c r="D287" s="4" t="s">
        <v>47</v>
      </c>
      <c r="E287" s="4" t="s">
        <v>87</v>
      </c>
      <c r="F287" s="4" t="s">
        <v>92</v>
      </c>
      <c r="G287" s="4" t="s">
        <v>67</v>
      </c>
      <c r="H287" s="4" t="s">
        <v>93</v>
      </c>
      <c r="I287" s="4">
        <v>4</v>
      </c>
      <c r="J287" s="6">
        <v>530.4</v>
      </c>
      <c r="K287" s="7">
        <v>0.2</v>
      </c>
      <c r="L287" s="6">
        <f t="shared" si="16"/>
        <v>1697.28</v>
      </c>
      <c r="M287" s="6">
        <v>354.38</v>
      </c>
      <c r="N287" s="8">
        <f t="shared" si="17"/>
        <v>279.76</v>
      </c>
      <c r="O287" s="4" t="s">
        <v>51</v>
      </c>
      <c r="P287" s="4" t="s">
        <v>97</v>
      </c>
      <c r="Q287" s="4">
        <v>5</v>
      </c>
      <c r="R287" s="21">
        <f t="shared" si="18"/>
        <v>0.16482843137254902</v>
      </c>
      <c r="S287" t="str">
        <f t="shared" si="19"/>
        <v>Medium</v>
      </c>
    </row>
    <row r="288" spans="1:19" x14ac:dyDescent="0.35">
      <c r="A288" s="4" t="s">
        <v>568</v>
      </c>
      <c r="B288" s="5">
        <v>45767</v>
      </c>
      <c r="C288" s="4" t="s">
        <v>501</v>
      </c>
      <c r="D288" s="4" t="s">
        <v>43</v>
      </c>
      <c r="E288" s="4" t="s">
        <v>21</v>
      </c>
      <c r="F288" s="4" t="s">
        <v>22</v>
      </c>
      <c r="G288" s="4" t="s">
        <v>31</v>
      </c>
      <c r="H288" s="4" t="s">
        <v>147</v>
      </c>
      <c r="I288" s="4">
        <v>5</v>
      </c>
      <c r="J288" s="6">
        <v>40.270000000000003</v>
      </c>
      <c r="K288" s="7">
        <v>0.05</v>
      </c>
      <c r="L288" s="6">
        <f t="shared" si="16"/>
        <v>191.2825</v>
      </c>
      <c r="M288" s="6">
        <v>22.43</v>
      </c>
      <c r="N288" s="8">
        <f t="shared" si="17"/>
        <v>79.132499999999993</v>
      </c>
      <c r="O288" s="4" t="s">
        <v>60</v>
      </c>
      <c r="P288" s="4" t="s">
        <v>56</v>
      </c>
      <c r="Q288" s="4">
        <v>3</v>
      </c>
      <c r="R288" s="21">
        <f t="shared" si="18"/>
        <v>0.41369440487237458</v>
      </c>
      <c r="S288" t="str">
        <f t="shared" si="19"/>
        <v>Small</v>
      </c>
    </row>
    <row r="289" spans="1:19" x14ac:dyDescent="0.35">
      <c r="A289" s="4" t="s">
        <v>569</v>
      </c>
      <c r="B289" s="5">
        <v>45767</v>
      </c>
      <c r="C289" s="4" t="s">
        <v>570</v>
      </c>
      <c r="D289" s="4" t="s">
        <v>47</v>
      </c>
      <c r="E289" s="4" t="s">
        <v>29</v>
      </c>
      <c r="F289" s="4" t="s">
        <v>108</v>
      </c>
      <c r="G289" s="4" t="s">
        <v>67</v>
      </c>
      <c r="H289" s="4" t="s">
        <v>121</v>
      </c>
      <c r="I289" s="4">
        <v>3</v>
      </c>
      <c r="J289" s="6">
        <v>348.06</v>
      </c>
      <c r="K289" s="7">
        <v>0</v>
      </c>
      <c r="L289" s="6">
        <f t="shared" si="16"/>
        <v>1044.18</v>
      </c>
      <c r="M289" s="6">
        <v>213.66</v>
      </c>
      <c r="N289" s="8">
        <f t="shared" si="17"/>
        <v>403.20000000000005</v>
      </c>
      <c r="O289" s="4" t="s">
        <v>84</v>
      </c>
      <c r="P289" s="4" t="s">
        <v>26</v>
      </c>
      <c r="Q289" s="4">
        <v>4</v>
      </c>
      <c r="R289" s="21">
        <f t="shared" si="18"/>
        <v>0.38614032063437342</v>
      </c>
      <c r="S289" t="str">
        <f t="shared" si="19"/>
        <v>Medium</v>
      </c>
    </row>
    <row r="290" spans="1:19" x14ac:dyDescent="0.35">
      <c r="A290" s="4" t="s">
        <v>571</v>
      </c>
      <c r="B290" s="5">
        <v>45767</v>
      </c>
      <c r="C290" s="4" t="s">
        <v>70</v>
      </c>
      <c r="D290" s="4" t="s">
        <v>20</v>
      </c>
      <c r="E290" s="4" t="s">
        <v>87</v>
      </c>
      <c r="F290" s="4" t="s">
        <v>124</v>
      </c>
      <c r="G290" s="4" t="s">
        <v>38</v>
      </c>
      <c r="H290" s="4" t="s">
        <v>39</v>
      </c>
      <c r="I290" s="4">
        <v>1</v>
      </c>
      <c r="J290" s="6">
        <v>185.82</v>
      </c>
      <c r="K290" s="7">
        <v>0</v>
      </c>
      <c r="L290" s="6">
        <f t="shared" si="16"/>
        <v>185.82</v>
      </c>
      <c r="M290" s="6">
        <v>166.3</v>
      </c>
      <c r="N290" s="8">
        <f t="shared" si="17"/>
        <v>19.519999999999982</v>
      </c>
      <c r="O290" s="4" t="s">
        <v>60</v>
      </c>
      <c r="P290" s="4" t="s">
        <v>61</v>
      </c>
      <c r="Q290" s="4">
        <v>2</v>
      </c>
      <c r="R290" s="21">
        <f t="shared" si="18"/>
        <v>0.10504789581315242</v>
      </c>
      <c r="S290" t="str">
        <f t="shared" si="19"/>
        <v>Small</v>
      </c>
    </row>
    <row r="291" spans="1:19" x14ac:dyDescent="0.35">
      <c r="A291" s="4" t="s">
        <v>572</v>
      </c>
      <c r="B291" s="5">
        <v>45768</v>
      </c>
      <c r="C291" s="4" t="s">
        <v>573</v>
      </c>
      <c r="D291" s="4" t="s">
        <v>20</v>
      </c>
      <c r="E291" s="4" t="s">
        <v>87</v>
      </c>
      <c r="F291" s="4" t="s">
        <v>124</v>
      </c>
      <c r="G291" s="4" t="s">
        <v>67</v>
      </c>
      <c r="H291" s="4" t="s">
        <v>68</v>
      </c>
      <c r="I291" s="4">
        <v>1</v>
      </c>
      <c r="J291" s="6">
        <v>617.80999999999995</v>
      </c>
      <c r="K291" s="7">
        <v>0.1</v>
      </c>
      <c r="L291" s="6">
        <f t="shared" si="16"/>
        <v>556.029</v>
      </c>
      <c r="M291" s="6">
        <v>445.42</v>
      </c>
      <c r="N291" s="8">
        <f t="shared" si="17"/>
        <v>110.60899999999998</v>
      </c>
      <c r="O291" s="4" t="s">
        <v>25</v>
      </c>
      <c r="P291" s="4" t="s">
        <v>118</v>
      </c>
      <c r="Q291" s="4">
        <v>4</v>
      </c>
      <c r="R291" s="21">
        <f t="shared" si="18"/>
        <v>0.19892667468783098</v>
      </c>
      <c r="S291" t="str">
        <f t="shared" si="19"/>
        <v>Medium</v>
      </c>
    </row>
    <row r="292" spans="1:19" x14ac:dyDescent="0.35">
      <c r="A292" s="4" t="s">
        <v>574</v>
      </c>
      <c r="B292" s="5">
        <v>45768</v>
      </c>
      <c r="C292" s="4" t="s">
        <v>545</v>
      </c>
      <c r="D292" s="4" t="s">
        <v>47</v>
      </c>
      <c r="E292" s="4" t="s">
        <v>29</v>
      </c>
      <c r="F292" s="4" t="s">
        <v>108</v>
      </c>
      <c r="G292" s="4" t="s">
        <v>31</v>
      </c>
      <c r="H292" s="4" t="s">
        <v>125</v>
      </c>
      <c r="I292" s="4">
        <v>1</v>
      </c>
      <c r="J292" s="6">
        <v>133.08000000000001</v>
      </c>
      <c r="K292" s="7">
        <v>0</v>
      </c>
      <c r="L292" s="6">
        <f t="shared" si="16"/>
        <v>133.08000000000001</v>
      </c>
      <c r="M292" s="6">
        <v>94.63</v>
      </c>
      <c r="N292" s="8">
        <f t="shared" si="17"/>
        <v>38.450000000000017</v>
      </c>
      <c r="O292" s="4" t="s">
        <v>51</v>
      </c>
      <c r="P292" s="4" t="s">
        <v>56</v>
      </c>
      <c r="Q292" s="4">
        <v>4</v>
      </c>
      <c r="R292" s="21">
        <f t="shared" si="18"/>
        <v>0.2889239555154795</v>
      </c>
      <c r="S292" t="str">
        <f t="shared" si="19"/>
        <v>Small</v>
      </c>
    </row>
    <row r="293" spans="1:19" x14ac:dyDescent="0.35">
      <c r="A293" s="4" t="s">
        <v>575</v>
      </c>
      <c r="B293" s="5">
        <v>45769</v>
      </c>
      <c r="C293" s="4" t="s">
        <v>576</v>
      </c>
      <c r="D293" s="4" t="s">
        <v>47</v>
      </c>
      <c r="E293" s="4" t="s">
        <v>36</v>
      </c>
      <c r="F293" s="4" t="s">
        <v>37</v>
      </c>
      <c r="G293" s="4" t="s">
        <v>67</v>
      </c>
      <c r="H293" s="4" t="s">
        <v>121</v>
      </c>
      <c r="I293" s="4">
        <v>2</v>
      </c>
      <c r="J293" s="6">
        <v>377.09</v>
      </c>
      <c r="K293" s="7">
        <v>0</v>
      </c>
      <c r="L293" s="6">
        <f t="shared" si="16"/>
        <v>754.18</v>
      </c>
      <c r="M293" s="6">
        <v>229.52</v>
      </c>
      <c r="N293" s="8">
        <f t="shared" si="17"/>
        <v>295.13999999999993</v>
      </c>
      <c r="O293" s="4" t="s">
        <v>25</v>
      </c>
      <c r="P293" s="4" t="s">
        <v>26</v>
      </c>
      <c r="Q293" s="4">
        <v>4</v>
      </c>
      <c r="R293" s="21">
        <f t="shared" si="18"/>
        <v>0.39133893765414085</v>
      </c>
      <c r="S293" t="str">
        <f t="shared" si="19"/>
        <v>Medium</v>
      </c>
    </row>
    <row r="294" spans="1:19" x14ac:dyDescent="0.35">
      <c r="A294" s="4" t="s">
        <v>577</v>
      </c>
      <c r="B294" s="5">
        <v>45769</v>
      </c>
      <c r="C294" s="4" t="s">
        <v>425</v>
      </c>
      <c r="D294" s="4" t="s">
        <v>47</v>
      </c>
      <c r="E294" s="4" t="s">
        <v>29</v>
      </c>
      <c r="F294" s="4" t="s">
        <v>108</v>
      </c>
      <c r="G294" s="4" t="s">
        <v>49</v>
      </c>
      <c r="H294" s="4" t="s">
        <v>50</v>
      </c>
      <c r="I294" s="4">
        <v>4</v>
      </c>
      <c r="J294" s="6">
        <v>30.31</v>
      </c>
      <c r="K294" s="7">
        <v>0</v>
      </c>
      <c r="L294" s="6">
        <f t="shared" si="16"/>
        <v>121.24</v>
      </c>
      <c r="M294" s="6">
        <v>21.17</v>
      </c>
      <c r="N294" s="8">
        <f t="shared" si="17"/>
        <v>36.559999999999988</v>
      </c>
      <c r="O294" s="4" t="s">
        <v>25</v>
      </c>
      <c r="P294" s="4" t="s">
        <v>97</v>
      </c>
      <c r="Q294" s="4">
        <v>5</v>
      </c>
      <c r="R294" s="21">
        <f t="shared" si="18"/>
        <v>0.30155064335202897</v>
      </c>
      <c r="S294" t="str">
        <f t="shared" si="19"/>
        <v>Small</v>
      </c>
    </row>
    <row r="295" spans="1:19" x14ac:dyDescent="0.35">
      <c r="A295" s="4" t="s">
        <v>578</v>
      </c>
      <c r="B295" s="5">
        <v>45769</v>
      </c>
      <c r="C295" s="4" t="s">
        <v>579</v>
      </c>
      <c r="D295" s="4" t="s">
        <v>47</v>
      </c>
      <c r="E295" s="4" t="s">
        <v>36</v>
      </c>
      <c r="F295" s="4" t="s">
        <v>48</v>
      </c>
      <c r="G295" s="4" t="s">
        <v>23</v>
      </c>
      <c r="H295" s="4" t="s">
        <v>135</v>
      </c>
      <c r="I295" s="4">
        <v>2</v>
      </c>
      <c r="J295" s="6">
        <v>26.92</v>
      </c>
      <c r="K295" s="7">
        <v>0.1</v>
      </c>
      <c r="L295" s="6">
        <f t="shared" si="16"/>
        <v>48.456000000000003</v>
      </c>
      <c r="M295" s="6">
        <v>15.73</v>
      </c>
      <c r="N295" s="8">
        <f t="shared" si="17"/>
        <v>16.996000000000002</v>
      </c>
      <c r="O295" s="4" t="s">
        <v>51</v>
      </c>
      <c r="P295" s="4" t="s">
        <v>61</v>
      </c>
      <c r="Q295" s="4">
        <v>4</v>
      </c>
      <c r="R295" s="21">
        <f t="shared" si="18"/>
        <v>0.35075119696219254</v>
      </c>
      <c r="S295" t="str">
        <f t="shared" si="19"/>
        <v>Small</v>
      </c>
    </row>
    <row r="296" spans="1:19" x14ac:dyDescent="0.35">
      <c r="A296" s="4" t="s">
        <v>580</v>
      </c>
      <c r="B296" s="5">
        <v>45770</v>
      </c>
      <c r="C296" s="4" t="s">
        <v>193</v>
      </c>
      <c r="D296" s="4" t="s">
        <v>43</v>
      </c>
      <c r="E296" s="4" t="s">
        <v>87</v>
      </c>
      <c r="F296" s="4" t="s">
        <v>92</v>
      </c>
      <c r="G296" s="4" t="s">
        <v>67</v>
      </c>
      <c r="H296" s="4" t="s">
        <v>140</v>
      </c>
      <c r="I296" s="4">
        <v>4</v>
      </c>
      <c r="J296" s="6">
        <v>94.73</v>
      </c>
      <c r="K296" s="7">
        <v>0</v>
      </c>
      <c r="L296" s="6">
        <f t="shared" si="16"/>
        <v>378.92</v>
      </c>
      <c r="M296" s="6">
        <v>61.65</v>
      </c>
      <c r="N296" s="8">
        <f t="shared" si="17"/>
        <v>132.32000000000002</v>
      </c>
      <c r="O296" s="4" t="s">
        <v>84</v>
      </c>
      <c r="P296" s="4" t="s">
        <v>72</v>
      </c>
      <c r="Q296" s="4">
        <v>3</v>
      </c>
      <c r="R296" s="21">
        <f t="shared" si="18"/>
        <v>0.34920299799429966</v>
      </c>
      <c r="S296" t="str">
        <f t="shared" si="19"/>
        <v>Small</v>
      </c>
    </row>
    <row r="297" spans="1:19" x14ac:dyDescent="0.35">
      <c r="A297" s="4" t="s">
        <v>581</v>
      </c>
      <c r="B297" s="5">
        <v>45770</v>
      </c>
      <c r="C297" s="4" t="s">
        <v>346</v>
      </c>
      <c r="D297" s="4" t="s">
        <v>47</v>
      </c>
      <c r="E297" s="4" t="s">
        <v>21</v>
      </c>
      <c r="F297" s="4" t="s">
        <v>22</v>
      </c>
      <c r="G297" s="4" t="s">
        <v>38</v>
      </c>
      <c r="H297" s="4" t="s">
        <v>39</v>
      </c>
      <c r="I297" s="4">
        <v>3</v>
      </c>
      <c r="J297" s="6">
        <v>211.73</v>
      </c>
      <c r="K297" s="7">
        <v>0.1</v>
      </c>
      <c r="L297" s="6">
        <f t="shared" si="16"/>
        <v>571.67099999999994</v>
      </c>
      <c r="M297" s="6">
        <v>165.82</v>
      </c>
      <c r="N297" s="8">
        <f t="shared" si="17"/>
        <v>74.210999999999956</v>
      </c>
      <c r="O297" s="4" t="s">
        <v>51</v>
      </c>
      <c r="P297" s="4" t="s">
        <v>75</v>
      </c>
      <c r="Q297" s="4">
        <v>5</v>
      </c>
      <c r="R297" s="21">
        <f t="shared" si="18"/>
        <v>0.12981417633568954</v>
      </c>
      <c r="S297" t="str">
        <f t="shared" si="19"/>
        <v>Medium</v>
      </c>
    </row>
    <row r="298" spans="1:19" x14ac:dyDescent="0.35">
      <c r="A298" s="4" t="s">
        <v>582</v>
      </c>
      <c r="B298" s="5">
        <v>45770</v>
      </c>
      <c r="C298" s="4" t="s">
        <v>335</v>
      </c>
      <c r="D298" s="4" t="s">
        <v>43</v>
      </c>
      <c r="E298" s="4" t="s">
        <v>36</v>
      </c>
      <c r="F298" s="4" t="s">
        <v>201</v>
      </c>
      <c r="G298" s="4" t="s">
        <v>67</v>
      </c>
      <c r="H298" s="4" t="s">
        <v>140</v>
      </c>
      <c r="I298" s="4">
        <v>1</v>
      </c>
      <c r="J298" s="6">
        <v>153.54</v>
      </c>
      <c r="K298" s="7">
        <v>0.1</v>
      </c>
      <c r="L298" s="6">
        <f t="shared" si="16"/>
        <v>138.18600000000001</v>
      </c>
      <c r="M298" s="6">
        <v>92.57</v>
      </c>
      <c r="N298" s="8">
        <f t="shared" si="17"/>
        <v>45.616000000000014</v>
      </c>
      <c r="O298" s="4" t="s">
        <v>40</v>
      </c>
      <c r="P298" s="4" t="s">
        <v>72</v>
      </c>
      <c r="Q298" s="4">
        <v>5</v>
      </c>
      <c r="R298" s="21">
        <f t="shared" si="18"/>
        <v>0.33010579942975421</v>
      </c>
      <c r="S298" t="str">
        <f t="shared" si="19"/>
        <v>Small</v>
      </c>
    </row>
    <row r="299" spans="1:19" x14ac:dyDescent="0.35">
      <c r="A299" s="4" t="s">
        <v>583</v>
      </c>
      <c r="B299" s="5">
        <v>45770</v>
      </c>
      <c r="C299" s="4" t="s">
        <v>294</v>
      </c>
      <c r="D299" s="4" t="s">
        <v>47</v>
      </c>
      <c r="E299" s="4" t="s">
        <v>21</v>
      </c>
      <c r="F299" s="4" t="s">
        <v>59</v>
      </c>
      <c r="G299" s="4" t="s">
        <v>38</v>
      </c>
      <c r="H299" s="4" t="s">
        <v>39</v>
      </c>
      <c r="I299" s="4">
        <v>2</v>
      </c>
      <c r="J299" s="6">
        <v>375.73</v>
      </c>
      <c r="K299" s="7">
        <v>0.15</v>
      </c>
      <c r="L299" s="6">
        <f t="shared" si="16"/>
        <v>638.74099999999999</v>
      </c>
      <c r="M299" s="6">
        <v>311.2</v>
      </c>
      <c r="N299" s="8">
        <f t="shared" si="17"/>
        <v>16.341000000000008</v>
      </c>
      <c r="O299" s="4" t="s">
        <v>40</v>
      </c>
      <c r="P299" s="4" t="s">
        <v>56</v>
      </c>
      <c r="Q299" s="4">
        <v>4</v>
      </c>
      <c r="R299" s="21">
        <f t="shared" si="18"/>
        <v>2.5583139331904495E-2</v>
      </c>
      <c r="S299" t="str">
        <f t="shared" si="19"/>
        <v>Medium</v>
      </c>
    </row>
    <row r="300" spans="1:19" x14ac:dyDescent="0.35">
      <c r="A300" s="4" t="s">
        <v>584</v>
      </c>
      <c r="B300" s="5">
        <v>45770</v>
      </c>
      <c r="C300" s="4" t="s">
        <v>317</v>
      </c>
      <c r="D300" s="4" t="s">
        <v>20</v>
      </c>
      <c r="E300" s="4" t="s">
        <v>21</v>
      </c>
      <c r="F300" s="4" t="s">
        <v>81</v>
      </c>
      <c r="G300" s="4" t="s">
        <v>23</v>
      </c>
      <c r="H300" s="4" t="s">
        <v>135</v>
      </c>
      <c r="I300" s="4">
        <v>2</v>
      </c>
      <c r="J300" s="6">
        <v>8.32</v>
      </c>
      <c r="K300" s="7">
        <v>0.15</v>
      </c>
      <c r="L300" s="6">
        <f t="shared" si="16"/>
        <v>14.144</v>
      </c>
      <c r="M300" s="6">
        <v>4.97</v>
      </c>
      <c r="N300" s="8">
        <f t="shared" si="17"/>
        <v>4.2040000000000006</v>
      </c>
      <c r="O300" s="4" t="s">
        <v>25</v>
      </c>
      <c r="P300" s="4" t="s">
        <v>72</v>
      </c>
      <c r="Q300" s="4">
        <v>3</v>
      </c>
      <c r="R300" s="21">
        <f t="shared" si="18"/>
        <v>0.29722850678733037</v>
      </c>
      <c r="S300" t="str">
        <f t="shared" si="19"/>
        <v>Small</v>
      </c>
    </row>
    <row r="301" spans="1:19" x14ac:dyDescent="0.35">
      <c r="A301" s="4" t="s">
        <v>585</v>
      </c>
      <c r="B301" s="5">
        <v>45770</v>
      </c>
      <c r="C301" s="4" t="s">
        <v>331</v>
      </c>
      <c r="D301" s="4" t="s">
        <v>43</v>
      </c>
      <c r="E301" s="4" t="s">
        <v>87</v>
      </c>
      <c r="F301" s="4" t="s">
        <v>92</v>
      </c>
      <c r="G301" s="4" t="s">
        <v>49</v>
      </c>
      <c r="H301" s="4" t="s">
        <v>78</v>
      </c>
      <c r="I301" s="4">
        <v>4</v>
      </c>
      <c r="J301" s="6">
        <v>387.85</v>
      </c>
      <c r="K301" s="7">
        <v>0</v>
      </c>
      <c r="L301" s="6">
        <f t="shared" si="16"/>
        <v>1551.4</v>
      </c>
      <c r="M301" s="6">
        <v>252.2</v>
      </c>
      <c r="N301" s="8">
        <f t="shared" si="17"/>
        <v>542.60000000000014</v>
      </c>
      <c r="O301" s="4" t="s">
        <v>40</v>
      </c>
      <c r="P301" s="4" t="s">
        <v>61</v>
      </c>
      <c r="Q301" s="4">
        <v>4</v>
      </c>
      <c r="R301" s="21">
        <f t="shared" si="18"/>
        <v>0.34974861415495689</v>
      </c>
      <c r="S301" t="str">
        <f t="shared" si="19"/>
        <v>Medium</v>
      </c>
    </row>
    <row r="302" spans="1:19" x14ac:dyDescent="0.35">
      <c r="A302" s="4" t="s">
        <v>586</v>
      </c>
      <c r="B302" s="5">
        <v>45770</v>
      </c>
      <c r="C302" s="4" t="s">
        <v>587</v>
      </c>
      <c r="D302" s="4" t="s">
        <v>20</v>
      </c>
      <c r="E302" s="4" t="s">
        <v>87</v>
      </c>
      <c r="F302" s="4" t="s">
        <v>124</v>
      </c>
      <c r="G302" s="4" t="s">
        <v>49</v>
      </c>
      <c r="H302" s="4" t="s">
        <v>128</v>
      </c>
      <c r="I302" s="4">
        <v>2</v>
      </c>
      <c r="J302" s="6">
        <v>126.77</v>
      </c>
      <c r="K302" s="7">
        <v>0</v>
      </c>
      <c r="L302" s="6">
        <f t="shared" si="16"/>
        <v>253.54</v>
      </c>
      <c r="M302" s="6">
        <v>76.8</v>
      </c>
      <c r="N302" s="8">
        <f t="shared" si="17"/>
        <v>99.94</v>
      </c>
      <c r="O302" s="4" t="s">
        <v>84</v>
      </c>
      <c r="P302" s="4" t="s">
        <v>26</v>
      </c>
      <c r="Q302" s="4">
        <v>5</v>
      </c>
      <c r="R302" s="21">
        <f t="shared" si="18"/>
        <v>0.39417843338329256</v>
      </c>
      <c r="S302" t="str">
        <f t="shared" si="19"/>
        <v>Small</v>
      </c>
    </row>
    <row r="303" spans="1:19" x14ac:dyDescent="0.35">
      <c r="A303" s="4" t="s">
        <v>588</v>
      </c>
      <c r="B303" s="5">
        <v>45771</v>
      </c>
      <c r="C303" s="4" t="s">
        <v>589</v>
      </c>
      <c r="D303" s="4" t="s">
        <v>47</v>
      </c>
      <c r="E303" s="4" t="s">
        <v>36</v>
      </c>
      <c r="F303" s="4" t="s">
        <v>201</v>
      </c>
      <c r="G303" s="4" t="s">
        <v>38</v>
      </c>
      <c r="H303" s="4" t="s">
        <v>96</v>
      </c>
      <c r="I303" s="4">
        <v>2</v>
      </c>
      <c r="J303" s="6">
        <v>223.96</v>
      </c>
      <c r="K303" s="7">
        <v>0.05</v>
      </c>
      <c r="L303" s="6">
        <f t="shared" si="16"/>
        <v>425.524</v>
      </c>
      <c r="M303" s="6">
        <v>171.56</v>
      </c>
      <c r="N303" s="8">
        <f t="shared" si="17"/>
        <v>82.403999999999996</v>
      </c>
      <c r="O303" s="4" t="s">
        <v>40</v>
      </c>
      <c r="P303" s="4" t="s">
        <v>56</v>
      </c>
      <c r="Q303" s="4">
        <v>4</v>
      </c>
      <c r="R303" s="21">
        <f t="shared" si="18"/>
        <v>0.19365300194583618</v>
      </c>
      <c r="S303" t="str">
        <f t="shared" si="19"/>
        <v>Small</v>
      </c>
    </row>
    <row r="304" spans="1:19" x14ac:dyDescent="0.35">
      <c r="A304" s="4" t="s">
        <v>590</v>
      </c>
      <c r="B304" s="5">
        <v>45771</v>
      </c>
      <c r="C304" s="4" t="s">
        <v>341</v>
      </c>
      <c r="D304" s="4" t="s">
        <v>20</v>
      </c>
      <c r="E304" s="4" t="s">
        <v>29</v>
      </c>
      <c r="F304" s="4" t="s">
        <v>108</v>
      </c>
      <c r="G304" s="4" t="s">
        <v>38</v>
      </c>
      <c r="H304" s="4" t="s">
        <v>55</v>
      </c>
      <c r="I304" s="4">
        <v>2</v>
      </c>
      <c r="J304" s="6">
        <v>158.66999999999999</v>
      </c>
      <c r="K304" s="7">
        <v>0</v>
      </c>
      <c r="L304" s="6">
        <f t="shared" si="16"/>
        <v>317.33999999999997</v>
      </c>
      <c r="M304" s="6">
        <v>127.81</v>
      </c>
      <c r="N304" s="8">
        <f t="shared" si="17"/>
        <v>61.71999999999997</v>
      </c>
      <c r="O304" s="4" t="s">
        <v>25</v>
      </c>
      <c r="P304" s="4" t="s">
        <v>118</v>
      </c>
      <c r="Q304" s="4">
        <v>1</v>
      </c>
      <c r="R304" s="21">
        <f t="shared" si="18"/>
        <v>0.19449171235898396</v>
      </c>
      <c r="S304" t="str">
        <f t="shared" si="19"/>
        <v>Small</v>
      </c>
    </row>
    <row r="305" spans="1:19" x14ac:dyDescent="0.35">
      <c r="A305" s="4" t="s">
        <v>591</v>
      </c>
      <c r="B305" s="5">
        <v>45772</v>
      </c>
      <c r="C305" s="4" t="s">
        <v>592</v>
      </c>
      <c r="D305" s="4" t="s">
        <v>20</v>
      </c>
      <c r="E305" s="4" t="s">
        <v>87</v>
      </c>
      <c r="F305" s="4" t="s">
        <v>92</v>
      </c>
      <c r="G305" s="4" t="s">
        <v>38</v>
      </c>
      <c r="H305" s="4" t="s">
        <v>39</v>
      </c>
      <c r="I305" s="4">
        <v>2</v>
      </c>
      <c r="J305" s="6">
        <v>153.61000000000001</v>
      </c>
      <c r="K305" s="7">
        <v>0.1</v>
      </c>
      <c r="L305" s="6">
        <f t="shared" si="16"/>
        <v>276.49800000000005</v>
      </c>
      <c r="M305" s="6">
        <v>124.98</v>
      </c>
      <c r="N305" s="8">
        <f t="shared" si="17"/>
        <v>26.538000000000039</v>
      </c>
      <c r="O305" s="4" t="s">
        <v>40</v>
      </c>
      <c r="P305" s="4" t="s">
        <v>56</v>
      </c>
      <c r="Q305" s="4">
        <v>4</v>
      </c>
      <c r="R305" s="21">
        <f t="shared" si="18"/>
        <v>9.5978994423106256E-2</v>
      </c>
      <c r="S305" t="str">
        <f t="shared" si="19"/>
        <v>Small</v>
      </c>
    </row>
    <row r="306" spans="1:19" x14ac:dyDescent="0.35">
      <c r="A306" s="4" t="s">
        <v>593</v>
      </c>
      <c r="B306" s="5">
        <v>45772</v>
      </c>
      <c r="C306" s="4" t="s">
        <v>594</v>
      </c>
      <c r="D306" s="4" t="s">
        <v>47</v>
      </c>
      <c r="E306" s="4" t="s">
        <v>36</v>
      </c>
      <c r="F306" s="4" t="s">
        <v>201</v>
      </c>
      <c r="G306" s="4" t="s">
        <v>67</v>
      </c>
      <c r="H306" s="4" t="s">
        <v>93</v>
      </c>
      <c r="I306" s="4">
        <v>3</v>
      </c>
      <c r="J306" s="6">
        <v>536.76</v>
      </c>
      <c r="K306" s="7">
        <v>0.05</v>
      </c>
      <c r="L306" s="6">
        <f t="shared" si="16"/>
        <v>1529.7659999999998</v>
      </c>
      <c r="M306" s="6">
        <v>360.64</v>
      </c>
      <c r="N306" s="8">
        <f t="shared" si="17"/>
        <v>447.84599999999978</v>
      </c>
      <c r="O306" s="4" t="s">
        <v>84</v>
      </c>
      <c r="P306" s="4" t="s">
        <v>118</v>
      </c>
      <c r="Q306" s="4">
        <v>3</v>
      </c>
      <c r="R306" s="21">
        <f t="shared" si="18"/>
        <v>0.29275457815116812</v>
      </c>
      <c r="S306" t="str">
        <f t="shared" si="19"/>
        <v>Medium</v>
      </c>
    </row>
    <row r="307" spans="1:19" x14ac:dyDescent="0.35">
      <c r="A307" s="4" t="s">
        <v>595</v>
      </c>
      <c r="B307" s="5">
        <v>45772</v>
      </c>
      <c r="C307" s="4" t="s">
        <v>596</v>
      </c>
      <c r="D307" s="4" t="s">
        <v>20</v>
      </c>
      <c r="E307" s="4" t="s">
        <v>29</v>
      </c>
      <c r="F307" s="4" t="s">
        <v>30</v>
      </c>
      <c r="G307" s="4" t="s">
        <v>67</v>
      </c>
      <c r="H307" s="4" t="s">
        <v>140</v>
      </c>
      <c r="I307" s="4">
        <v>6</v>
      </c>
      <c r="J307" s="6">
        <v>194.98</v>
      </c>
      <c r="K307" s="7">
        <v>0.1</v>
      </c>
      <c r="L307" s="6">
        <f t="shared" si="16"/>
        <v>1052.8919999999998</v>
      </c>
      <c r="M307" s="6">
        <v>132.38</v>
      </c>
      <c r="N307" s="8">
        <f t="shared" si="17"/>
        <v>258.61199999999985</v>
      </c>
      <c r="O307" s="4" t="s">
        <v>51</v>
      </c>
      <c r="P307" s="4" t="s">
        <v>26</v>
      </c>
      <c r="Q307" s="4">
        <v>4</v>
      </c>
      <c r="R307" s="21">
        <f t="shared" si="18"/>
        <v>0.24562063345528307</v>
      </c>
      <c r="S307" t="str">
        <f t="shared" si="19"/>
        <v>Medium</v>
      </c>
    </row>
    <row r="308" spans="1:19" x14ac:dyDescent="0.35">
      <c r="A308" s="4" t="s">
        <v>597</v>
      </c>
      <c r="B308" s="5">
        <v>45773</v>
      </c>
      <c r="C308" s="4" t="s">
        <v>598</v>
      </c>
      <c r="D308" s="4" t="s">
        <v>43</v>
      </c>
      <c r="E308" s="4" t="s">
        <v>36</v>
      </c>
      <c r="F308" s="4" t="s">
        <v>37</v>
      </c>
      <c r="G308" s="4" t="s">
        <v>38</v>
      </c>
      <c r="H308" s="4" t="s">
        <v>89</v>
      </c>
      <c r="I308" s="4">
        <v>4</v>
      </c>
      <c r="J308" s="6">
        <v>743.78</v>
      </c>
      <c r="K308" s="7">
        <v>0</v>
      </c>
      <c r="L308" s="6">
        <f t="shared" si="16"/>
        <v>2975.12</v>
      </c>
      <c r="M308" s="6">
        <v>643.23</v>
      </c>
      <c r="N308" s="8">
        <f t="shared" si="17"/>
        <v>402.19999999999982</v>
      </c>
      <c r="O308" s="4" t="s">
        <v>60</v>
      </c>
      <c r="P308" s="4" t="s">
        <v>56</v>
      </c>
      <c r="Q308" s="4">
        <v>2</v>
      </c>
      <c r="R308" s="21">
        <f t="shared" si="18"/>
        <v>0.13518782435666454</v>
      </c>
      <c r="S308" t="str">
        <f t="shared" si="19"/>
        <v>Large</v>
      </c>
    </row>
    <row r="309" spans="1:19" x14ac:dyDescent="0.35">
      <c r="A309" s="4" t="s">
        <v>599</v>
      </c>
      <c r="B309" s="5">
        <v>45773</v>
      </c>
      <c r="C309" s="4" t="s">
        <v>200</v>
      </c>
      <c r="D309" s="4" t="s">
        <v>43</v>
      </c>
      <c r="E309" s="4" t="s">
        <v>21</v>
      </c>
      <c r="F309" s="4" t="s">
        <v>22</v>
      </c>
      <c r="G309" s="4" t="s">
        <v>49</v>
      </c>
      <c r="H309" s="4" t="s">
        <v>50</v>
      </c>
      <c r="I309" s="4">
        <v>1</v>
      </c>
      <c r="J309" s="6">
        <v>13</v>
      </c>
      <c r="K309" s="7">
        <v>0</v>
      </c>
      <c r="L309" s="6">
        <f t="shared" si="16"/>
        <v>13</v>
      </c>
      <c r="M309" s="6">
        <v>8.7200000000000006</v>
      </c>
      <c r="N309" s="8">
        <f t="shared" si="17"/>
        <v>4.2799999999999994</v>
      </c>
      <c r="O309" s="4" t="s">
        <v>25</v>
      </c>
      <c r="P309" s="4" t="s">
        <v>72</v>
      </c>
      <c r="Q309" s="4">
        <v>3</v>
      </c>
      <c r="R309" s="21">
        <f t="shared" si="18"/>
        <v>0.32923076923076916</v>
      </c>
      <c r="S309" t="str">
        <f t="shared" si="19"/>
        <v>Small</v>
      </c>
    </row>
    <row r="310" spans="1:19" x14ac:dyDescent="0.35">
      <c r="A310" s="4" t="s">
        <v>600</v>
      </c>
      <c r="B310" s="5">
        <v>45773</v>
      </c>
      <c r="C310" s="4" t="s">
        <v>247</v>
      </c>
      <c r="D310" s="4" t="s">
        <v>43</v>
      </c>
      <c r="E310" s="4" t="s">
        <v>21</v>
      </c>
      <c r="F310" s="4" t="s">
        <v>22</v>
      </c>
      <c r="G310" s="4" t="s">
        <v>67</v>
      </c>
      <c r="H310" s="4" t="s">
        <v>93</v>
      </c>
      <c r="I310" s="4">
        <v>3</v>
      </c>
      <c r="J310" s="6">
        <v>183.01</v>
      </c>
      <c r="K310" s="7">
        <v>0.15</v>
      </c>
      <c r="L310" s="6">
        <f t="shared" si="16"/>
        <v>466.67549999999994</v>
      </c>
      <c r="M310" s="6">
        <v>115.72</v>
      </c>
      <c r="N310" s="8">
        <f t="shared" si="17"/>
        <v>119.51549999999997</v>
      </c>
      <c r="O310" s="4" t="s">
        <v>40</v>
      </c>
      <c r="P310" s="4" t="s">
        <v>33</v>
      </c>
      <c r="Q310" s="4">
        <v>4</v>
      </c>
      <c r="R310" s="21">
        <f t="shared" si="18"/>
        <v>0.25609979525387555</v>
      </c>
      <c r="S310" t="str">
        <f t="shared" si="19"/>
        <v>Small</v>
      </c>
    </row>
    <row r="311" spans="1:19" x14ac:dyDescent="0.35">
      <c r="A311" s="4" t="s">
        <v>601</v>
      </c>
      <c r="B311" s="5">
        <v>45774</v>
      </c>
      <c r="C311" s="4" t="s">
        <v>427</v>
      </c>
      <c r="D311" s="4" t="s">
        <v>43</v>
      </c>
      <c r="E311" s="4" t="s">
        <v>29</v>
      </c>
      <c r="F311" s="4" t="s">
        <v>108</v>
      </c>
      <c r="G311" s="4" t="s">
        <v>38</v>
      </c>
      <c r="H311" s="4" t="s">
        <v>39</v>
      </c>
      <c r="I311" s="4">
        <v>3</v>
      </c>
      <c r="J311" s="6">
        <v>145.5</v>
      </c>
      <c r="K311" s="7">
        <v>0.05</v>
      </c>
      <c r="L311" s="6">
        <f t="shared" si="16"/>
        <v>414.67499999999995</v>
      </c>
      <c r="M311" s="6">
        <v>117.91</v>
      </c>
      <c r="N311" s="8">
        <f t="shared" si="17"/>
        <v>60.944999999999936</v>
      </c>
      <c r="O311" s="4" t="s">
        <v>51</v>
      </c>
      <c r="P311" s="4" t="s">
        <v>72</v>
      </c>
      <c r="Q311" s="4">
        <v>5</v>
      </c>
      <c r="R311" s="21">
        <f t="shared" si="18"/>
        <v>0.14697051908120803</v>
      </c>
      <c r="S311" t="str">
        <f t="shared" si="19"/>
        <v>Small</v>
      </c>
    </row>
    <row r="312" spans="1:19" x14ac:dyDescent="0.35">
      <c r="A312" s="4" t="s">
        <v>602</v>
      </c>
      <c r="B312" s="5">
        <v>45774</v>
      </c>
      <c r="C312" s="4" t="s">
        <v>603</v>
      </c>
      <c r="D312" s="4" t="s">
        <v>43</v>
      </c>
      <c r="E312" s="4" t="s">
        <v>21</v>
      </c>
      <c r="F312" s="4" t="s">
        <v>22</v>
      </c>
      <c r="G312" s="4" t="s">
        <v>23</v>
      </c>
      <c r="H312" s="4" t="s">
        <v>71</v>
      </c>
      <c r="I312" s="4">
        <v>2</v>
      </c>
      <c r="J312" s="6">
        <v>117.14</v>
      </c>
      <c r="K312" s="7">
        <v>0.1</v>
      </c>
      <c r="L312" s="6">
        <f t="shared" si="16"/>
        <v>210.852</v>
      </c>
      <c r="M312" s="6">
        <v>71.58</v>
      </c>
      <c r="N312" s="8">
        <f t="shared" si="17"/>
        <v>67.692000000000007</v>
      </c>
      <c r="O312" s="4" t="s">
        <v>25</v>
      </c>
      <c r="P312" s="4" t="s">
        <v>26</v>
      </c>
      <c r="Q312" s="4">
        <v>4</v>
      </c>
      <c r="R312" s="21">
        <f t="shared" si="18"/>
        <v>0.3210403505776564</v>
      </c>
      <c r="S312" t="str">
        <f t="shared" si="19"/>
        <v>Small</v>
      </c>
    </row>
    <row r="313" spans="1:19" x14ac:dyDescent="0.35">
      <c r="A313" s="4" t="s">
        <v>604</v>
      </c>
      <c r="B313" s="5">
        <v>45774</v>
      </c>
      <c r="C313" s="4" t="s">
        <v>563</v>
      </c>
      <c r="D313" s="4" t="s">
        <v>20</v>
      </c>
      <c r="E313" s="4" t="s">
        <v>21</v>
      </c>
      <c r="F313" s="4" t="s">
        <v>81</v>
      </c>
      <c r="G313" s="4" t="s">
        <v>31</v>
      </c>
      <c r="H313" s="4" t="s">
        <v>32</v>
      </c>
      <c r="I313" s="4">
        <v>4</v>
      </c>
      <c r="J313" s="6">
        <v>382.5</v>
      </c>
      <c r="K313" s="7">
        <v>0.05</v>
      </c>
      <c r="L313" s="6">
        <f t="shared" si="16"/>
        <v>1453.5</v>
      </c>
      <c r="M313" s="6">
        <v>250.38</v>
      </c>
      <c r="N313" s="8">
        <f t="shared" si="17"/>
        <v>451.98</v>
      </c>
      <c r="O313" s="4" t="s">
        <v>25</v>
      </c>
      <c r="P313" s="4" t="s">
        <v>72</v>
      </c>
      <c r="Q313" s="4">
        <v>4</v>
      </c>
      <c r="R313" s="21">
        <f t="shared" si="18"/>
        <v>0.31095975232198142</v>
      </c>
      <c r="S313" t="str">
        <f t="shared" si="19"/>
        <v>Medium</v>
      </c>
    </row>
    <row r="314" spans="1:19" x14ac:dyDescent="0.35">
      <c r="A314" s="4" t="s">
        <v>605</v>
      </c>
      <c r="B314" s="5">
        <v>45775</v>
      </c>
      <c r="C314" s="4" t="s">
        <v>606</v>
      </c>
      <c r="D314" s="4" t="s">
        <v>47</v>
      </c>
      <c r="E314" s="4" t="s">
        <v>29</v>
      </c>
      <c r="F314" s="4" t="s">
        <v>30</v>
      </c>
      <c r="G314" s="4" t="s">
        <v>23</v>
      </c>
      <c r="H314" s="4" t="s">
        <v>44</v>
      </c>
      <c r="I314" s="4">
        <v>1</v>
      </c>
      <c r="J314" s="6">
        <v>69.989999999999995</v>
      </c>
      <c r="K314" s="7">
        <v>0</v>
      </c>
      <c r="L314" s="6">
        <f t="shared" si="16"/>
        <v>69.989999999999995</v>
      </c>
      <c r="M314" s="6">
        <v>32.979999999999997</v>
      </c>
      <c r="N314" s="8">
        <f t="shared" si="17"/>
        <v>37.01</v>
      </c>
      <c r="O314" s="4" t="s">
        <v>51</v>
      </c>
      <c r="P314" s="4" t="s">
        <v>33</v>
      </c>
      <c r="Q314" s="4">
        <v>3</v>
      </c>
      <c r="R314" s="21">
        <f t="shared" si="18"/>
        <v>0.52878982711815969</v>
      </c>
      <c r="S314" t="str">
        <f t="shared" si="19"/>
        <v>Small</v>
      </c>
    </row>
    <row r="315" spans="1:19" x14ac:dyDescent="0.35">
      <c r="A315" s="4" t="s">
        <v>607</v>
      </c>
      <c r="B315" s="5">
        <v>45775</v>
      </c>
      <c r="C315" s="4" t="s">
        <v>158</v>
      </c>
      <c r="D315" s="4" t="s">
        <v>43</v>
      </c>
      <c r="E315" s="4" t="s">
        <v>87</v>
      </c>
      <c r="F315" s="4" t="s">
        <v>88</v>
      </c>
      <c r="G315" s="4" t="s">
        <v>31</v>
      </c>
      <c r="H315" s="4" t="s">
        <v>64</v>
      </c>
      <c r="I315" s="4">
        <v>1</v>
      </c>
      <c r="J315" s="6">
        <v>126.71</v>
      </c>
      <c r="K315" s="7">
        <v>0.1</v>
      </c>
      <c r="L315" s="6">
        <f t="shared" si="16"/>
        <v>114.039</v>
      </c>
      <c r="M315" s="6">
        <v>73.400000000000006</v>
      </c>
      <c r="N315" s="8">
        <f t="shared" si="17"/>
        <v>40.638999999999996</v>
      </c>
      <c r="O315" s="4" t="s">
        <v>25</v>
      </c>
      <c r="P315" s="4" t="s">
        <v>26</v>
      </c>
      <c r="Q315" s="4">
        <v>3</v>
      </c>
      <c r="R315" s="21">
        <f t="shared" si="18"/>
        <v>0.35636054332289824</v>
      </c>
      <c r="S315" t="str">
        <f t="shared" si="19"/>
        <v>Small</v>
      </c>
    </row>
    <row r="316" spans="1:19" x14ac:dyDescent="0.35">
      <c r="A316" s="4" t="s">
        <v>608</v>
      </c>
      <c r="B316" s="5">
        <v>45775</v>
      </c>
      <c r="C316" s="4" t="s">
        <v>609</v>
      </c>
      <c r="D316" s="4" t="s">
        <v>47</v>
      </c>
      <c r="E316" s="4" t="s">
        <v>21</v>
      </c>
      <c r="F316" s="4" t="s">
        <v>81</v>
      </c>
      <c r="G316" s="4" t="s">
        <v>38</v>
      </c>
      <c r="H316" s="4" t="s">
        <v>89</v>
      </c>
      <c r="I316" s="4">
        <v>1</v>
      </c>
      <c r="J316" s="6">
        <v>1377.29</v>
      </c>
      <c r="K316" s="7">
        <v>0.1</v>
      </c>
      <c r="L316" s="6">
        <f t="shared" si="16"/>
        <v>1239.5609999999999</v>
      </c>
      <c r="M316" s="6">
        <v>1234.99</v>
      </c>
      <c r="N316" s="8">
        <f t="shared" si="17"/>
        <v>4.5709999999999127</v>
      </c>
      <c r="O316" s="4" t="s">
        <v>84</v>
      </c>
      <c r="P316" s="4" t="s">
        <v>56</v>
      </c>
      <c r="Q316" s="4">
        <v>3</v>
      </c>
      <c r="R316" s="21">
        <f t="shared" si="18"/>
        <v>3.687595850466345E-3</v>
      </c>
      <c r="S316" t="str">
        <f t="shared" si="19"/>
        <v>Medium</v>
      </c>
    </row>
    <row r="317" spans="1:19" x14ac:dyDescent="0.35">
      <c r="A317" s="4" t="s">
        <v>610</v>
      </c>
      <c r="B317" s="5">
        <v>45776</v>
      </c>
      <c r="C317" s="4" t="s">
        <v>309</v>
      </c>
      <c r="D317" s="4" t="s">
        <v>47</v>
      </c>
      <c r="E317" s="4" t="s">
        <v>29</v>
      </c>
      <c r="F317" s="4" t="s">
        <v>30</v>
      </c>
      <c r="G317" s="4" t="s">
        <v>23</v>
      </c>
      <c r="H317" s="4" t="s">
        <v>71</v>
      </c>
      <c r="I317" s="4">
        <v>2</v>
      </c>
      <c r="J317" s="6">
        <v>118.54</v>
      </c>
      <c r="K317" s="7">
        <v>0.1</v>
      </c>
      <c r="L317" s="6">
        <f t="shared" si="16"/>
        <v>213.37200000000001</v>
      </c>
      <c r="M317" s="6">
        <v>53.77</v>
      </c>
      <c r="N317" s="8">
        <f t="shared" si="17"/>
        <v>105.83200000000001</v>
      </c>
      <c r="O317" s="4" t="s">
        <v>84</v>
      </c>
      <c r="P317" s="4" t="s">
        <v>75</v>
      </c>
      <c r="Q317" s="4">
        <v>3</v>
      </c>
      <c r="R317" s="21">
        <f t="shared" si="18"/>
        <v>0.49599760043492119</v>
      </c>
      <c r="S317" t="str">
        <f t="shared" si="19"/>
        <v>Small</v>
      </c>
    </row>
    <row r="318" spans="1:19" x14ac:dyDescent="0.35">
      <c r="A318" s="4" t="s">
        <v>611</v>
      </c>
      <c r="B318" s="5">
        <v>45776</v>
      </c>
      <c r="C318" s="4" t="s">
        <v>612</v>
      </c>
      <c r="D318" s="4" t="s">
        <v>20</v>
      </c>
      <c r="E318" s="4" t="s">
        <v>36</v>
      </c>
      <c r="F318" s="4" t="s">
        <v>201</v>
      </c>
      <c r="G318" s="4" t="s">
        <v>67</v>
      </c>
      <c r="H318" s="4" t="s">
        <v>68</v>
      </c>
      <c r="I318" s="4">
        <v>5</v>
      </c>
      <c r="J318" s="6">
        <v>463.44</v>
      </c>
      <c r="K318" s="7">
        <v>0</v>
      </c>
      <c r="L318" s="6">
        <f t="shared" si="16"/>
        <v>2317.1999999999998</v>
      </c>
      <c r="M318" s="6">
        <v>287.73</v>
      </c>
      <c r="N318" s="8">
        <f t="shared" si="17"/>
        <v>878.54999999999973</v>
      </c>
      <c r="O318" s="4" t="s">
        <v>84</v>
      </c>
      <c r="P318" s="4" t="s">
        <v>97</v>
      </c>
      <c r="Q318" s="4">
        <v>5</v>
      </c>
      <c r="R318" s="21">
        <f t="shared" si="18"/>
        <v>0.37914293112376996</v>
      </c>
      <c r="S318" t="str">
        <f t="shared" si="19"/>
        <v>Large</v>
      </c>
    </row>
    <row r="319" spans="1:19" x14ac:dyDescent="0.35">
      <c r="A319" s="4" t="s">
        <v>613</v>
      </c>
      <c r="B319" s="5">
        <v>45776</v>
      </c>
      <c r="C319" s="4" t="s">
        <v>614</v>
      </c>
      <c r="D319" s="4" t="s">
        <v>20</v>
      </c>
      <c r="E319" s="4" t="s">
        <v>21</v>
      </c>
      <c r="F319" s="4" t="s">
        <v>59</v>
      </c>
      <c r="G319" s="4" t="s">
        <v>23</v>
      </c>
      <c r="H319" s="4" t="s">
        <v>135</v>
      </c>
      <c r="I319" s="4">
        <v>3</v>
      </c>
      <c r="J319" s="6">
        <v>13.38</v>
      </c>
      <c r="K319" s="7">
        <v>0</v>
      </c>
      <c r="L319" s="6">
        <f t="shared" si="16"/>
        <v>40.14</v>
      </c>
      <c r="M319" s="6">
        <v>6.24</v>
      </c>
      <c r="N319" s="8">
        <f t="shared" si="17"/>
        <v>21.42</v>
      </c>
      <c r="O319" s="4" t="s">
        <v>25</v>
      </c>
      <c r="P319" s="4" t="s">
        <v>118</v>
      </c>
      <c r="Q319" s="4">
        <v>3</v>
      </c>
      <c r="R319" s="21">
        <f t="shared" si="18"/>
        <v>0.53363228699551568</v>
      </c>
      <c r="S319" t="str">
        <f t="shared" si="19"/>
        <v>Small</v>
      </c>
    </row>
    <row r="320" spans="1:19" x14ac:dyDescent="0.35">
      <c r="A320" s="4" t="s">
        <v>615</v>
      </c>
      <c r="B320" s="5">
        <v>45777</v>
      </c>
      <c r="C320" s="4" t="s">
        <v>616</v>
      </c>
      <c r="D320" s="4" t="s">
        <v>47</v>
      </c>
      <c r="E320" s="4" t="s">
        <v>87</v>
      </c>
      <c r="F320" s="4" t="s">
        <v>92</v>
      </c>
      <c r="G320" s="4" t="s">
        <v>31</v>
      </c>
      <c r="H320" s="4" t="s">
        <v>147</v>
      </c>
      <c r="I320" s="4">
        <v>6</v>
      </c>
      <c r="J320" s="6">
        <v>49.06</v>
      </c>
      <c r="K320" s="7">
        <v>0.15</v>
      </c>
      <c r="L320" s="6">
        <f t="shared" si="16"/>
        <v>250.20600000000002</v>
      </c>
      <c r="M320" s="6">
        <v>30.53</v>
      </c>
      <c r="N320" s="8">
        <f t="shared" si="17"/>
        <v>67.02600000000001</v>
      </c>
      <c r="O320" s="4" t="s">
        <v>84</v>
      </c>
      <c r="P320" s="4" t="s">
        <v>97</v>
      </c>
      <c r="Q320" s="4">
        <v>4</v>
      </c>
      <c r="R320" s="21">
        <f t="shared" si="18"/>
        <v>0.26788326419030722</v>
      </c>
      <c r="S320" t="str">
        <f t="shared" si="19"/>
        <v>Small</v>
      </c>
    </row>
    <row r="321" spans="1:19" x14ac:dyDescent="0.35">
      <c r="A321" s="4" t="s">
        <v>617</v>
      </c>
      <c r="B321" s="5">
        <v>45777</v>
      </c>
      <c r="C321" s="4" t="s">
        <v>618</v>
      </c>
      <c r="D321" s="4" t="s">
        <v>43</v>
      </c>
      <c r="E321" s="4" t="s">
        <v>87</v>
      </c>
      <c r="F321" s="4" t="s">
        <v>88</v>
      </c>
      <c r="G321" s="4" t="s">
        <v>38</v>
      </c>
      <c r="H321" s="4" t="s">
        <v>55</v>
      </c>
      <c r="I321" s="4">
        <v>8</v>
      </c>
      <c r="J321" s="6">
        <v>187.87</v>
      </c>
      <c r="K321" s="7">
        <v>0.05</v>
      </c>
      <c r="L321" s="6">
        <f t="shared" si="16"/>
        <v>1427.8119999999999</v>
      </c>
      <c r="M321" s="6">
        <v>157.93</v>
      </c>
      <c r="N321" s="8">
        <f t="shared" si="17"/>
        <v>164.37199999999984</v>
      </c>
      <c r="O321" s="4" t="s">
        <v>51</v>
      </c>
      <c r="P321" s="4" t="s">
        <v>61</v>
      </c>
      <c r="Q321" s="4">
        <v>4</v>
      </c>
      <c r="R321" s="21">
        <f t="shared" si="18"/>
        <v>0.11512159864183789</v>
      </c>
      <c r="S321" t="str">
        <f t="shared" si="19"/>
        <v>Medium</v>
      </c>
    </row>
    <row r="322" spans="1:19" x14ac:dyDescent="0.35">
      <c r="A322" s="4" t="s">
        <v>619</v>
      </c>
      <c r="B322" s="5">
        <v>45777</v>
      </c>
      <c r="C322" s="4" t="s">
        <v>620</v>
      </c>
      <c r="D322" s="4" t="s">
        <v>20</v>
      </c>
      <c r="E322" s="4" t="s">
        <v>36</v>
      </c>
      <c r="F322" s="4" t="s">
        <v>37</v>
      </c>
      <c r="G322" s="4" t="s">
        <v>38</v>
      </c>
      <c r="H322" s="4" t="s">
        <v>109</v>
      </c>
      <c r="I322" s="4">
        <v>1</v>
      </c>
      <c r="J322" s="6">
        <v>699.94</v>
      </c>
      <c r="K322" s="7">
        <v>0</v>
      </c>
      <c r="L322" s="6">
        <f t="shared" ref="L322:L385" si="20">I322*J322*(1-K322)</f>
        <v>699.94</v>
      </c>
      <c r="M322" s="6">
        <v>557.92999999999995</v>
      </c>
      <c r="N322" s="8">
        <f t="shared" ref="N322:N385" si="21">L322-I322*M322</f>
        <v>142.0100000000001</v>
      </c>
      <c r="O322" s="4" t="s">
        <v>51</v>
      </c>
      <c r="P322" s="4" t="s">
        <v>56</v>
      </c>
      <c r="Q322" s="4">
        <v>3</v>
      </c>
      <c r="R322" s="21">
        <f t="shared" si="18"/>
        <v>0.20288881904163228</v>
      </c>
      <c r="S322" t="str">
        <f t="shared" si="19"/>
        <v>Medium</v>
      </c>
    </row>
    <row r="323" spans="1:19" x14ac:dyDescent="0.35">
      <c r="A323" s="4" t="s">
        <v>621</v>
      </c>
      <c r="B323" s="5">
        <v>45778</v>
      </c>
      <c r="C323" s="4" t="s">
        <v>127</v>
      </c>
      <c r="D323" s="4" t="s">
        <v>20</v>
      </c>
      <c r="E323" s="4" t="s">
        <v>29</v>
      </c>
      <c r="F323" s="4" t="s">
        <v>108</v>
      </c>
      <c r="G323" s="4" t="s">
        <v>38</v>
      </c>
      <c r="H323" s="4" t="s">
        <v>39</v>
      </c>
      <c r="I323" s="4">
        <v>1</v>
      </c>
      <c r="J323" s="6">
        <v>371.77</v>
      </c>
      <c r="K323" s="7">
        <v>0.1</v>
      </c>
      <c r="L323" s="6">
        <f t="shared" si="20"/>
        <v>334.59300000000002</v>
      </c>
      <c r="M323" s="6">
        <v>292.39999999999998</v>
      </c>
      <c r="N323" s="8">
        <f t="shared" si="21"/>
        <v>42.19300000000004</v>
      </c>
      <c r="O323" s="4" t="s">
        <v>84</v>
      </c>
      <c r="P323" s="4" t="s">
        <v>33</v>
      </c>
      <c r="Q323" s="4">
        <v>5</v>
      </c>
      <c r="R323" s="21">
        <f t="shared" ref="R323:R386" si="22">IF(L323=0,0,N323/L323)</f>
        <v>0.12610245880816406</v>
      </c>
      <c r="S323" t="str">
        <f t="shared" ref="S323:S386" si="23">IF(L323&gt;=2000,"Large",IF(L323&gt;=500,"Medium","Small"))</f>
        <v>Small</v>
      </c>
    </row>
    <row r="324" spans="1:19" x14ac:dyDescent="0.35">
      <c r="A324" s="4" t="s">
        <v>622</v>
      </c>
      <c r="B324" s="5">
        <v>45778</v>
      </c>
      <c r="C324" s="4" t="s">
        <v>221</v>
      </c>
      <c r="D324" s="4" t="s">
        <v>20</v>
      </c>
      <c r="E324" s="4" t="s">
        <v>29</v>
      </c>
      <c r="F324" s="4" t="s">
        <v>54</v>
      </c>
      <c r="G324" s="4" t="s">
        <v>23</v>
      </c>
      <c r="H324" s="4" t="s">
        <v>44</v>
      </c>
      <c r="I324" s="4">
        <v>3</v>
      </c>
      <c r="J324" s="6">
        <v>107.08</v>
      </c>
      <c r="K324" s="7">
        <v>0.05</v>
      </c>
      <c r="L324" s="6">
        <f t="shared" si="20"/>
        <v>305.178</v>
      </c>
      <c r="M324" s="6">
        <v>55.07</v>
      </c>
      <c r="N324" s="8">
        <f t="shared" si="21"/>
        <v>139.96799999999999</v>
      </c>
      <c r="O324" s="4" t="s">
        <v>40</v>
      </c>
      <c r="P324" s="4" t="s">
        <v>33</v>
      </c>
      <c r="Q324" s="4">
        <v>5</v>
      </c>
      <c r="R324" s="21">
        <f t="shared" si="22"/>
        <v>0.45864380787605918</v>
      </c>
      <c r="S324" t="str">
        <f t="shared" si="23"/>
        <v>Small</v>
      </c>
    </row>
    <row r="325" spans="1:19" x14ac:dyDescent="0.35">
      <c r="A325" s="4" t="s">
        <v>623</v>
      </c>
      <c r="B325" s="5">
        <v>45778</v>
      </c>
      <c r="C325" s="4" t="s">
        <v>294</v>
      </c>
      <c r="D325" s="4" t="s">
        <v>20</v>
      </c>
      <c r="E325" s="4" t="s">
        <v>36</v>
      </c>
      <c r="F325" s="4" t="s">
        <v>201</v>
      </c>
      <c r="G325" s="4" t="s">
        <v>23</v>
      </c>
      <c r="H325" s="4" t="s">
        <v>24</v>
      </c>
      <c r="I325" s="4">
        <v>2</v>
      </c>
      <c r="J325" s="6">
        <v>29.48</v>
      </c>
      <c r="K325" s="7">
        <v>0.05</v>
      </c>
      <c r="L325" s="6">
        <f t="shared" si="20"/>
        <v>56.012</v>
      </c>
      <c r="M325" s="6">
        <v>18.02</v>
      </c>
      <c r="N325" s="8">
        <f t="shared" si="21"/>
        <v>19.972000000000001</v>
      </c>
      <c r="O325" s="4" t="s">
        <v>51</v>
      </c>
      <c r="P325" s="4" t="s">
        <v>97</v>
      </c>
      <c r="Q325" s="4">
        <v>5</v>
      </c>
      <c r="R325" s="21">
        <f t="shared" si="22"/>
        <v>0.35656645004641863</v>
      </c>
      <c r="S325" t="str">
        <f t="shared" si="23"/>
        <v>Small</v>
      </c>
    </row>
    <row r="326" spans="1:19" x14ac:dyDescent="0.35">
      <c r="A326" s="4" t="s">
        <v>624</v>
      </c>
      <c r="B326" s="5">
        <v>45779</v>
      </c>
      <c r="C326" s="4" t="s">
        <v>63</v>
      </c>
      <c r="D326" s="4" t="s">
        <v>20</v>
      </c>
      <c r="E326" s="4" t="s">
        <v>21</v>
      </c>
      <c r="F326" s="4" t="s">
        <v>59</v>
      </c>
      <c r="G326" s="4" t="s">
        <v>49</v>
      </c>
      <c r="H326" s="4" t="s">
        <v>78</v>
      </c>
      <c r="I326" s="4">
        <v>8</v>
      </c>
      <c r="J326" s="6">
        <v>654.41</v>
      </c>
      <c r="K326" s="7">
        <v>0.15</v>
      </c>
      <c r="L326" s="6">
        <f t="shared" si="20"/>
        <v>4449.9879999999994</v>
      </c>
      <c r="M326" s="6">
        <v>459.55</v>
      </c>
      <c r="N326" s="8">
        <f t="shared" si="21"/>
        <v>773.58799999999928</v>
      </c>
      <c r="O326" s="4" t="s">
        <v>40</v>
      </c>
      <c r="P326" s="4" t="s">
        <v>61</v>
      </c>
      <c r="Q326" s="4">
        <v>4</v>
      </c>
      <c r="R326" s="21">
        <f t="shared" si="22"/>
        <v>0.17384046878328646</v>
      </c>
      <c r="S326" t="str">
        <f t="shared" si="23"/>
        <v>Large</v>
      </c>
    </row>
    <row r="327" spans="1:19" x14ac:dyDescent="0.35">
      <c r="A327" s="4" t="s">
        <v>625</v>
      </c>
      <c r="B327" s="5">
        <v>45779</v>
      </c>
      <c r="C327" s="4" t="s">
        <v>626</v>
      </c>
      <c r="D327" s="4" t="s">
        <v>47</v>
      </c>
      <c r="E327" s="4" t="s">
        <v>21</v>
      </c>
      <c r="F327" s="4" t="s">
        <v>22</v>
      </c>
      <c r="G327" s="4" t="s">
        <v>67</v>
      </c>
      <c r="H327" s="4" t="s">
        <v>140</v>
      </c>
      <c r="I327" s="4">
        <v>5</v>
      </c>
      <c r="J327" s="6">
        <v>80.989999999999995</v>
      </c>
      <c r="K327" s="7">
        <v>0</v>
      </c>
      <c r="L327" s="6">
        <f t="shared" si="20"/>
        <v>404.95</v>
      </c>
      <c r="M327" s="6">
        <v>56.32</v>
      </c>
      <c r="N327" s="8">
        <f t="shared" si="21"/>
        <v>123.34999999999997</v>
      </c>
      <c r="O327" s="4" t="s">
        <v>60</v>
      </c>
      <c r="P327" s="4" t="s">
        <v>26</v>
      </c>
      <c r="Q327" s="4">
        <v>3</v>
      </c>
      <c r="R327" s="21">
        <f t="shared" si="22"/>
        <v>0.30460550685269777</v>
      </c>
      <c r="S327" t="str">
        <f t="shared" si="23"/>
        <v>Small</v>
      </c>
    </row>
    <row r="328" spans="1:19" x14ac:dyDescent="0.35">
      <c r="A328" s="4" t="s">
        <v>627</v>
      </c>
      <c r="B328" s="5">
        <v>45779</v>
      </c>
      <c r="C328" s="4" t="s">
        <v>594</v>
      </c>
      <c r="D328" s="4" t="s">
        <v>47</v>
      </c>
      <c r="E328" s="4" t="s">
        <v>36</v>
      </c>
      <c r="F328" s="4" t="s">
        <v>48</v>
      </c>
      <c r="G328" s="4" t="s">
        <v>38</v>
      </c>
      <c r="H328" s="4" t="s">
        <v>96</v>
      </c>
      <c r="I328" s="4">
        <v>2</v>
      </c>
      <c r="J328" s="6">
        <v>511.86</v>
      </c>
      <c r="K328" s="7">
        <v>0.1</v>
      </c>
      <c r="L328" s="6">
        <f t="shared" si="20"/>
        <v>921.34800000000007</v>
      </c>
      <c r="M328" s="6">
        <v>420.3</v>
      </c>
      <c r="N328" s="8">
        <f t="shared" si="21"/>
        <v>80.748000000000047</v>
      </c>
      <c r="O328" s="4" t="s">
        <v>84</v>
      </c>
      <c r="P328" s="4" t="s">
        <v>26</v>
      </c>
      <c r="Q328" s="4">
        <v>5</v>
      </c>
      <c r="R328" s="21">
        <f t="shared" si="22"/>
        <v>8.7641151877466544E-2</v>
      </c>
      <c r="S328" t="str">
        <f t="shared" si="23"/>
        <v>Medium</v>
      </c>
    </row>
    <row r="329" spans="1:19" x14ac:dyDescent="0.35">
      <c r="A329" s="4" t="s">
        <v>628</v>
      </c>
      <c r="B329" s="5">
        <v>45780</v>
      </c>
      <c r="C329" s="4" t="s">
        <v>357</v>
      </c>
      <c r="D329" s="4" t="s">
        <v>43</v>
      </c>
      <c r="E329" s="4" t="s">
        <v>29</v>
      </c>
      <c r="F329" s="4" t="s">
        <v>30</v>
      </c>
      <c r="G329" s="4" t="s">
        <v>31</v>
      </c>
      <c r="H329" s="4" t="s">
        <v>32</v>
      </c>
      <c r="I329" s="4">
        <v>4</v>
      </c>
      <c r="J329" s="6">
        <v>334.34</v>
      </c>
      <c r="K329" s="7">
        <v>0</v>
      </c>
      <c r="L329" s="6">
        <f t="shared" si="20"/>
        <v>1337.36</v>
      </c>
      <c r="M329" s="6">
        <v>246.7</v>
      </c>
      <c r="N329" s="8">
        <f t="shared" si="21"/>
        <v>350.55999999999995</v>
      </c>
      <c r="O329" s="4" t="s">
        <v>51</v>
      </c>
      <c r="P329" s="4" t="s">
        <v>75</v>
      </c>
      <c r="Q329" s="4">
        <v>5</v>
      </c>
      <c r="R329" s="21">
        <f t="shared" si="22"/>
        <v>0.26212837231560687</v>
      </c>
      <c r="S329" t="str">
        <f t="shared" si="23"/>
        <v>Medium</v>
      </c>
    </row>
    <row r="330" spans="1:19" x14ac:dyDescent="0.35">
      <c r="A330" s="4" t="s">
        <v>629</v>
      </c>
      <c r="B330" s="5">
        <v>45780</v>
      </c>
      <c r="C330" s="4" t="s">
        <v>63</v>
      </c>
      <c r="D330" s="4" t="s">
        <v>47</v>
      </c>
      <c r="E330" s="4" t="s">
        <v>21</v>
      </c>
      <c r="F330" s="4" t="s">
        <v>22</v>
      </c>
      <c r="G330" s="4" t="s">
        <v>31</v>
      </c>
      <c r="H330" s="4" t="s">
        <v>147</v>
      </c>
      <c r="I330" s="4">
        <v>4</v>
      </c>
      <c r="J330" s="6">
        <v>114.74</v>
      </c>
      <c r="K330" s="7">
        <v>0.05</v>
      </c>
      <c r="L330" s="6">
        <f t="shared" si="20"/>
        <v>436.01199999999994</v>
      </c>
      <c r="M330" s="6">
        <v>64.010000000000005</v>
      </c>
      <c r="N330" s="8">
        <f t="shared" si="21"/>
        <v>179.97199999999992</v>
      </c>
      <c r="O330" s="4" t="s">
        <v>51</v>
      </c>
      <c r="P330" s="4" t="s">
        <v>72</v>
      </c>
      <c r="Q330" s="4">
        <v>4</v>
      </c>
      <c r="R330" s="21">
        <f t="shared" si="22"/>
        <v>0.41276845591405731</v>
      </c>
      <c r="S330" t="str">
        <f t="shared" si="23"/>
        <v>Small</v>
      </c>
    </row>
    <row r="331" spans="1:19" x14ac:dyDescent="0.35">
      <c r="A331" s="4" t="s">
        <v>630</v>
      </c>
      <c r="B331" s="5">
        <v>45780</v>
      </c>
      <c r="C331" s="4" t="s">
        <v>631</v>
      </c>
      <c r="D331" s="4" t="s">
        <v>47</v>
      </c>
      <c r="E331" s="4" t="s">
        <v>36</v>
      </c>
      <c r="F331" s="4" t="s">
        <v>37</v>
      </c>
      <c r="G331" s="4" t="s">
        <v>49</v>
      </c>
      <c r="H331" s="4" t="s">
        <v>187</v>
      </c>
      <c r="I331" s="4">
        <v>2</v>
      </c>
      <c r="J331" s="6">
        <v>141.91999999999999</v>
      </c>
      <c r="K331" s="7">
        <v>0.1</v>
      </c>
      <c r="L331" s="6">
        <f t="shared" si="20"/>
        <v>255.45599999999999</v>
      </c>
      <c r="M331" s="6">
        <v>84.69</v>
      </c>
      <c r="N331" s="8">
        <f t="shared" si="21"/>
        <v>86.075999999999993</v>
      </c>
      <c r="O331" s="4" t="s">
        <v>84</v>
      </c>
      <c r="P331" s="4" t="s">
        <v>97</v>
      </c>
      <c r="Q331" s="4">
        <v>4</v>
      </c>
      <c r="R331" s="21">
        <f t="shared" si="22"/>
        <v>0.33695039458850057</v>
      </c>
      <c r="S331" t="str">
        <f t="shared" si="23"/>
        <v>Small</v>
      </c>
    </row>
    <row r="332" spans="1:19" x14ac:dyDescent="0.35">
      <c r="A332" s="4" t="s">
        <v>632</v>
      </c>
      <c r="B332" s="5">
        <v>45780</v>
      </c>
      <c r="C332" s="4" t="s">
        <v>633</v>
      </c>
      <c r="D332" s="4" t="s">
        <v>43</v>
      </c>
      <c r="E332" s="4" t="s">
        <v>36</v>
      </c>
      <c r="F332" s="4" t="s">
        <v>201</v>
      </c>
      <c r="G332" s="4" t="s">
        <v>31</v>
      </c>
      <c r="H332" s="4" t="s">
        <v>32</v>
      </c>
      <c r="I332" s="4">
        <v>2</v>
      </c>
      <c r="J332" s="6">
        <v>378.06</v>
      </c>
      <c r="K332" s="7">
        <v>0.1</v>
      </c>
      <c r="L332" s="6">
        <f t="shared" si="20"/>
        <v>680.50800000000004</v>
      </c>
      <c r="M332" s="6">
        <v>215.31</v>
      </c>
      <c r="N332" s="8">
        <f t="shared" si="21"/>
        <v>249.88800000000003</v>
      </c>
      <c r="O332" s="4" t="s">
        <v>51</v>
      </c>
      <c r="P332" s="4" t="s">
        <v>72</v>
      </c>
      <c r="Q332" s="4">
        <v>4</v>
      </c>
      <c r="R332" s="21">
        <f t="shared" si="22"/>
        <v>0.36720802694457672</v>
      </c>
      <c r="S332" t="str">
        <f t="shared" si="23"/>
        <v>Medium</v>
      </c>
    </row>
    <row r="333" spans="1:19" x14ac:dyDescent="0.35">
      <c r="A333" s="4" t="s">
        <v>634</v>
      </c>
      <c r="B333" s="5">
        <v>45780</v>
      </c>
      <c r="C333" s="4" t="s">
        <v>411</v>
      </c>
      <c r="D333" s="4" t="s">
        <v>43</v>
      </c>
      <c r="E333" s="4" t="s">
        <v>29</v>
      </c>
      <c r="F333" s="4" t="s">
        <v>30</v>
      </c>
      <c r="G333" s="4" t="s">
        <v>38</v>
      </c>
      <c r="H333" s="4" t="s">
        <v>39</v>
      </c>
      <c r="I333" s="4">
        <v>8</v>
      </c>
      <c r="J333" s="6">
        <v>422.67</v>
      </c>
      <c r="K333" s="7">
        <v>0</v>
      </c>
      <c r="L333" s="6">
        <f t="shared" si="20"/>
        <v>3381.36</v>
      </c>
      <c r="M333" s="6">
        <v>364.29</v>
      </c>
      <c r="N333" s="8">
        <f t="shared" si="21"/>
        <v>467.03999999999996</v>
      </c>
      <c r="O333" s="4" t="s">
        <v>51</v>
      </c>
      <c r="P333" s="4" t="s">
        <v>75</v>
      </c>
      <c r="Q333" s="4">
        <v>4</v>
      </c>
      <c r="R333" s="21">
        <f t="shared" si="22"/>
        <v>0.13812193910142662</v>
      </c>
      <c r="S333" t="str">
        <f t="shared" si="23"/>
        <v>Large</v>
      </c>
    </row>
    <row r="334" spans="1:19" x14ac:dyDescent="0.35">
      <c r="A334" s="4" t="s">
        <v>635</v>
      </c>
      <c r="B334" s="5">
        <v>45781</v>
      </c>
      <c r="C334" s="4" t="s">
        <v>618</v>
      </c>
      <c r="D334" s="4" t="s">
        <v>43</v>
      </c>
      <c r="E334" s="4" t="s">
        <v>87</v>
      </c>
      <c r="F334" s="4" t="s">
        <v>92</v>
      </c>
      <c r="G334" s="4" t="s">
        <v>49</v>
      </c>
      <c r="H334" s="4" t="s">
        <v>78</v>
      </c>
      <c r="I334" s="4">
        <v>1</v>
      </c>
      <c r="J334" s="6">
        <v>154.27000000000001</v>
      </c>
      <c r="K334" s="7">
        <v>0.15</v>
      </c>
      <c r="L334" s="6">
        <f t="shared" si="20"/>
        <v>131.12950000000001</v>
      </c>
      <c r="M334" s="6">
        <v>85.33</v>
      </c>
      <c r="N334" s="8">
        <f t="shared" si="21"/>
        <v>45.799500000000009</v>
      </c>
      <c r="O334" s="4" t="s">
        <v>51</v>
      </c>
      <c r="P334" s="4" t="s">
        <v>61</v>
      </c>
      <c r="Q334" s="4">
        <v>2</v>
      </c>
      <c r="R334" s="21">
        <f t="shared" si="22"/>
        <v>0.3492692338489814</v>
      </c>
      <c r="S334" t="str">
        <f t="shared" si="23"/>
        <v>Small</v>
      </c>
    </row>
    <row r="335" spans="1:19" x14ac:dyDescent="0.35">
      <c r="A335" s="4" t="s">
        <v>636</v>
      </c>
      <c r="B335" s="5">
        <v>45781</v>
      </c>
      <c r="C335" s="4" t="s">
        <v>637</v>
      </c>
      <c r="D335" s="4" t="s">
        <v>43</v>
      </c>
      <c r="E335" s="4" t="s">
        <v>87</v>
      </c>
      <c r="F335" s="4" t="s">
        <v>88</v>
      </c>
      <c r="G335" s="4" t="s">
        <v>23</v>
      </c>
      <c r="H335" s="4" t="s">
        <v>24</v>
      </c>
      <c r="I335" s="4">
        <v>1</v>
      </c>
      <c r="J335" s="6">
        <v>34</v>
      </c>
      <c r="K335" s="7">
        <v>0</v>
      </c>
      <c r="L335" s="6">
        <f t="shared" si="20"/>
        <v>34</v>
      </c>
      <c r="M335" s="6">
        <v>18.98</v>
      </c>
      <c r="N335" s="8">
        <f t="shared" si="21"/>
        <v>15.02</v>
      </c>
      <c r="O335" s="4" t="s">
        <v>51</v>
      </c>
      <c r="P335" s="4" t="s">
        <v>72</v>
      </c>
      <c r="Q335" s="4">
        <v>5</v>
      </c>
      <c r="R335" s="21">
        <f t="shared" si="22"/>
        <v>0.44176470588235295</v>
      </c>
      <c r="S335" t="str">
        <f t="shared" si="23"/>
        <v>Small</v>
      </c>
    </row>
    <row r="336" spans="1:19" x14ac:dyDescent="0.35">
      <c r="A336" s="4" t="s">
        <v>638</v>
      </c>
      <c r="B336" s="5">
        <v>45781</v>
      </c>
      <c r="C336" s="4" t="s">
        <v>225</v>
      </c>
      <c r="D336" s="4" t="s">
        <v>43</v>
      </c>
      <c r="E336" s="4" t="s">
        <v>21</v>
      </c>
      <c r="F336" s="4" t="s">
        <v>59</v>
      </c>
      <c r="G336" s="4" t="s">
        <v>31</v>
      </c>
      <c r="H336" s="4" t="s">
        <v>32</v>
      </c>
      <c r="I336" s="4">
        <v>3</v>
      </c>
      <c r="J336" s="6">
        <v>127.06</v>
      </c>
      <c r="K336" s="7">
        <v>0</v>
      </c>
      <c r="L336" s="6">
        <f t="shared" si="20"/>
        <v>381.18</v>
      </c>
      <c r="M336" s="6">
        <v>74.31</v>
      </c>
      <c r="N336" s="8">
        <f t="shared" si="21"/>
        <v>158.25</v>
      </c>
      <c r="O336" s="4" t="s">
        <v>60</v>
      </c>
      <c r="P336" s="4" t="s">
        <v>75</v>
      </c>
      <c r="Q336" s="4">
        <v>5</v>
      </c>
      <c r="R336" s="21">
        <f t="shared" si="22"/>
        <v>0.41515819297969464</v>
      </c>
      <c r="S336" t="str">
        <f t="shared" si="23"/>
        <v>Small</v>
      </c>
    </row>
    <row r="337" spans="1:19" x14ac:dyDescent="0.35">
      <c r="A337" s="4" t="s">
        <v>639</v>
      </c>
      <c r="B337" s="5">
        <v>45782</v>
      </c>
      <c r="C337" s="4" t="s">
        <v>640</v>
      </c>
      <c r="D337" s="4" t="s">
        <v>20</v>
      </c>
      <c r="E337" s="4" t="s">
        <v>87</v>
      </c>
      <c r="F337" s="4" t="s">
        <v>124</v>
      </c>
      <c r="G337" s="4" t="s">
        <v>67</v>
      </c>
      <c r="H337" s="4" t="s">
        <v>68</v>
      </c>
      <c r="I337" s="4">
        <v>3</v>
      </c>
      <c r="J337" s="6">
        <v>674.87</v>
      </c>
      <c r="K337" s="7">
        <v>0.1</v>
      </c>
      <c r="L337" s="6">
        <f t="shared" si="20"/>
        <v>1822.1490000000001</v>
      </c>
      <c r="M337" s="6">
        <v>422.76</v>
      </c>
      <c r="N337" s="8">
        <f t="shared" si="21"/>
        <v>553.86900000000014</v>
      </c>
      <c r="O337" s="4" t="s">
        <v>40</v>
      </c>
      <c r="P337" s="4" t="s">
        <v>75</v>
      </c>
      <c r="Q337" s="4">
        <v>3</v>
      </c>
      <c r="R337" s="21">
        <f t="shared" si="22"/>
        <v>0.3039647141918691</v>
      </c>
      <c r="S337" t="str">
        <f t="shared" si="23"/>
        <v>Medium</v>
      </c>
    </row>
    <row r="338" spans="1:19" x14ac:dyDescent="0.35">
      <c r="A338" s="4" t="s">
        <v>641</v>
      </c>
      <c r="B338" s="5">
        <v>45782</v>
      </c>
      <c r="C338" s="4" t="s">
        <v>328</v>
      </c>
      <c r="D338" s="4" t="s">
        <v>43</v>
      </c>
      <c r="E338" s="4" t="s">
        <v>87</v>
      </c>
      <c r="F338" s="4" t="s">
        <v>88</v>
      </c>
      <c r="G338" s="4" t="s">
        <v>38</v>
      </c>
      <c r="H338" s="4" t="s">
        <v>39</v>
      </c>
      <c r="I338" s="4">
        <v>1</v>
      </c>
      <c r="J338" s="6">
        <v>289.02</v>
      </c>
      <c r="K338" s="7">
        <v>0.1</v>
      </c>
      <c r="L338" s="6">
        <f t="shared" si="20"/>
        <v>260.11799999999999</v>
      </c>
      <c r="M338" s="6">
        <v>245.95</v>
      </c>
      <c r="N338" s="8">
        <f t="shared" si="21"/>
        <v>14.168000000000006</v>
      </c>
      <c r="O338" s="4" t="s">
        <v>51</v>
      </c>
      <c r="P338" s="4" t="s">
        <v>56</v>
      </c>
      <c r="Q338" s="4">
        <v>3</v>
      </c>
      <c r="R338" s="21">
        <f t="shared" si="22"/>
        <v>5.4467587787081273E-2</v>
      </c>
      <c r="S338" t="str">
        <f t="shared" si="23"/>
        <v>Small</v>
      </c>
    </row>
    <row r="339" spans="1:19" x14ac:dyDescent="0.35">
      <c r="A339" s="4" t="s">
        <v>642</v>
      </c>
      <c r="B339" s="5">
        <v>45782</v>
      </c>
      <c r="C339" s="4" t="s">
        <v>344</v>
      </c>
      <c r="D339" s="4" t="s">
        <v>47</v>
      </c>
      <c r="E339" s="4" t="s">
        <v>29</v>
      </c>
      <c r="F339" s="4" t="s">
        <v>108</v>
      </c>
      <c r="G339" s="4" t="s">
        <v>67</v>
      </c>
      <c r="H339" s="4" t="s">
        <v>68</v>
      </c>
      <c r="I339" s="4">
        <v>4</v>
      </c>
      <c r="J339" s="6">
        <v>433.21</v>
      </c>
      <c r="K339" s="7">
        <v>0.05</v>
      </c>
      <c r="L339" s="6">
        <f t="shared" si="20"/>
        <v>1646.1979999999999</v>
      </c>
      <c r="M339" s="6">
        <v>317.44</v>
      </c>
      <c r="N339" s="8">
        <f t="shared" si="21"/>
        <v>376.43799999999987</v>
      </c>
      <c r="O339" s="4" t="s">
        <v>40</v>
      </c>
      <c r="P339" s="4" t="s">
        <v>97</v>
      </c>
      <c r="Q339" s="4">
        <v>5</v>
      </c>
      <c r="R339" s="21">
        <f t="shared" si="22"/>
        <v>0.22867115620356721</v>
      </c>
      <c r="S339" t="str">
        <f t="shared" si="23"/>
        <v>Medium</v>
      </c>
    </row>
    <row r="340" spans="1:19" x14ac:dyDescent="0.35">
      <c r="A340" s="4" t="s">
        <v>643</v>
      </c>
      <c r="B340" s="5">
        <v>45782</v>
      </c>
      <c r="C340" s="4" t="s">
        <v>644</v>
      </c>
      <c r="D340" s="4" t="s">
        <v>20</v>
      </c>
      <c r="E340" s="4" t="s">
        <v>29</v>
      </c>
      <c r="F340" s="4" t="s">
        <v>108</v>
      </c>
      <c r="G340" s="4" t="s">
        <v>38</v>
      </c>
      <c r="H340" s="4" t="s">
        <v>109</v>
      </c>
      <c r="I340" s="4">
        <v>3</v>
      </c>
      <c r="J340" s="6">
        <v>684.74</v>
      </c>
      <c r="K340" s="7">
        <v>0.05</v>
      </c>
      <c r="L340" s="6">
        <f t="shared" si="20"/>
        <v>1951.5090000000002</v>
      </c>
      <c r="M340" s="6">
        <v>595.91999999999996</v>
      </c>
      <c r="N340" s="8">
        <f t="shared" si="21"/>
        <v>163.74900000000048</v>
      </c>
      <c r="O340" s="4" t="s">
        <v>84</v>
      </c>
      <c r="P340" s="4" t="s">
        <v>72</v>
      </c>
      <c r="Q340" s="4">
        <v>2</v>
      </c>
      <c r="R340" s="21">
        <f t="shared" si="22"/>
        <v>8.3908913563811624E-2</v>
      </c>
      <c r="S340" t="str">
        <f t="shared" si="23"/>
        <v>Medium</v>
      </c>
    </row>
    <row r="341" spans="1:19" x14ac:dyDescent="0.35">
      <c r="A341" s="4" t="s">
        <v>645</v>
      </c>
      <c r="B341" s="5">
        <v>45782</v>
      </c>
      <c r="C341" s="4" t="s">
        <v>63</v>
      </c>
      <c r="D341" s="4" t="s">
        <v>43</v>
      </c>
      <c r="E341" s="4" t="s">
        <v>21</v>
      </c>
      <c r="F341" s="4" t="s">
        <v>59</v>
      </c>
      <c r="G341" s="4" t="s">
        <v>31</v>
      </c>
      <c r="H341" s="4" t="s">
        <v>64</v>
      </c>
      <c r="I341" s="4">
        <v>2</v>
      </c>
      <c r="J341" s="6">
        <v>183.79</v>
      </c>
      <c r="K341" s="7">
        <v>0</v>
      </c>
      <c r="L341" s="6">
        <f t="shared" si="20"/>
        <v>367.58</v>
      </c>
      <c r="M341" s="6">
        <v>116.67</v>
      </c>
      <c r="N341" s="8">
        <f t="shared" si="21"/>
        <v>134.23999999999998</v>
      </c>
      <c r="O341" s="4" t="s">
        <v>25</v>
      </c>
      <c r="P341" s="4" t="s">
        <v>75</v>
      </c>
      <c r="Q341" s="4">
        <v>5</v>
      </c>
      <c r="R341" s="21">
        <f t="shared" si="22"/>
        <v>0.36519941237281678</v>
      </c>
      <c r="S341" t="str">
        <f t="shared" si="23"/>
        <v>Small</v>
      </c>
    </row>
    <row r="342" spans="1:19" x14ac:dyDescent="0.35">
      <c r="A342" s="4" t="s">
        <v>646</v>
      </c>
      <c r="B342" s="5">
        <v>45783</v>
      </c>
      <c r="C342" s="4" t="s">
        <v>283</v>
      </c>
      <c r="D342" s="4" t="s">
        <v>47</v>
      </c>
      <c r="E342" s="4" t="s">
        <v>29</v>
      </c>
      <c r="F342" s="4" t="s">
        <v>108</v>
      </c>
      <c r="G342" s="4" t="s">
        <v>38</v>
      </c>
      <c r="H342" s="4" t="s">
        <v>55</v>
      </c>
      <c r="I342" s="4">
        <v>1</v>
      </c>
      <c r="J342" s="6">
        <v>196.38</v>
      </c>
      <c r="K342" s="7">
        <v>0</v>
      </c>
      <c r="L342" s="6">
        <f t="shared" si="20"/>
        <v>196.38</v>
      </c>
      <c r="M342" s="6">
        <v>147.57</v>
      </c>
      <c r="N342" s="8">
        <f t="shared" si="21"/>
        <v>48.81</v>
      </c>
      <c r="O342" s="4" t="s">
        <v>25</v>
      </c>
      <c r="P342" s="4" t="s">
        <v>61</v>
      </c>
      <c r="Q342" s="4">
        <v>5</v>
      </c>
      <c r="R342" s="21">
        <f t="shared" si="22"/>
        <v>0.24854873205010694</v>
      </c>
      <c r="S342" t="str">
        <f t="shared" si="23"/>
        <v>Small</v>
      </c>
    </row>
    <row r="343" spans="1:19" x14ac:dyDescent="0.35">
      <c r="A343" s="4" t="s">
        <v>647</v>
      </c>
      <c r="B343" s="5">
        <v>45783</v>
      </c>
      <c r="C343" s="4" t="s">
        <v>648</v>
      </c>
      <c r="D343" s="4" t="s">
        <v>43</v>
      </c>
      <c r="E343" s="4" t="s">
        <v>87</v>
      </c>
      <c r="F343" s="4" t="s">
        <v>92</v>
      </c>
      <c r="G343" s="4" t="s">
        <v>49</v>
      </c>
      <c r="H343" s="4" t="s">
        <v>50</v>
      </c>
      <c r="I343" s="4">
        <v>1</v>
      </c>
      <c r="J343" s="6">
        <v>40.1</v>
      </c>
      <c r="K343" s="7">
        <v>0.1</v>
      </c>
      <c r="L343" s="6">
        <f t="shared" si="20"/>
        <v>36.090000000000003</v>
      </c>
      <c r="M343" s="6">
        <v>28.13</v>
      </c>
      <c r="N343" s="8">
        <f t="shared" si="21"/>
        <v>7.9600000000000044</v>
      </c>
      <c r="O343" s="4" t="s">
        <v>40</v>
      </c>
      <c r="P343" s="4" t="s">
        <v>26</v>
      </c>
      <c r="Q343" s="4">
        <v>1</v>
      </c>
      <c r="R343" s="21">
        <f t="shared" si="22"/>
        <v>0.22055971183153239</v>
      </c>
      <c r="S343" t="str">
        <f t="shared" si="23"/>
        <v>Small</v>
      </c>
    </row>
    <row r="344" spans="1:19" x14ac:dyDescent="0.35">
      <c r="A344" s="4" t="s">
        <v>649</v>
      </c>
      <c r="B344" s="5">
        <v>45783</v>
      </c>
      <c r="C344" s="4" t="s">
        <v>650</v>
      </c>
      <c r="D344" s="4" t="s">
        <v>20</v>
      </c>
      <c r="E344" s="4" t="s">
        <v>36</v>
      </c>
      <c r="F344" s="4" t="s">
        <v>37</v>
      </c>
      <c r="G344" s="4" t="s">
        <v>38</v>
      </c>
      <c r="H344" s="4" t="s">
        <v>39</v>
      </c>
      <c r="I344" s="4">
        <v>2</v>
      </c>
      <c r="J344" s="6">
        <v>158.38999999999999</v>
      </c>
      <c r="K344" s="7">
        <v>0.1</v>
      </c>
      <c r="L344" s="6">
        <f t="shared" si="20"/>
        <v>285.10199999999998</v>
      </c>
      <c r="M344" s="6">
        <v>129.57</v>
      </c>
      <c r="N344" s="8">
        <f t="shared" si="21"/>
        <v>25.961999999999989</v>
      </c>
      <c r="O344" s="4" t="s">
        <v>60</v>
      </c>
      <c r="P344" s="4" t="s">
        <v>97</v>
      </c>
      <c r="Q344" s="4">
        <v>4</v>
      </c>
      <c r="R344" s="21">
        <f t="shared" si="22"/>
        <v>9.106214617926213E-2</v>
      </c>
      <c r="S344" t="str">
        <f t="shared" si="23"/>
        <v>Small</v>
      </c>
    </row>
    <row r="345" spans="1:19" x14ac:dyDescent="0.35">
      <c r="A345" s="4" t="s">
        <v>651</v>
      </c>
      <c r="B345" s="5">
        <v>45783</v>
      </c>
      <c r="C345" s="4" t="s">
        <v>200</v>
      </c>
      <c r="D345" s="4" t="s">
        <v>47</v>
      </c>
      <c r="E345" s="4" t="s">
        <v>87</v>
      </c>
      <c r="F345" s="4" t="s">
        <v>124</v>
      </c>
      <c r="G345" s="4" t="s">
        <v>31</v>
      </c>
      <c r="H345" s="4" t="s">
        <v>147</v>
      </c>
      <c r="I345" s="4">
        <v>3</v>
      </c>
      <c r="J345" s="6">
        <v>49.27</v>
      </c>
      <c r="K345" s="7">
        <v>0</v>
      </c>
      <c r="L345" s="6">
        <f t="shared" si="20"/>
        <v>147.81</v>
      </c>
      <c r="M345" s="6">
        <v>36.36</v>
      </c>
      <c r="N345" s="8">
        <f t="shared" si="21"/>
        <v>38.730000000000004</v>
      </c>
      <c r="O345" s="4" t="s">
        <v>60</v>
      </c>
      <c r="P345" s="4" t="s">
        <v>97</v>
      </c>
      <c r="Q345" s="4">
        <v>4</v>
      </c>
      <c r="R345" s="21">
        <f t="shared" si="22"/>
        <v>0.26202557337121984</v>
      </c>
      <c r="S345" t="str">
        <f t="shared" si="23"/>
        <v>Small</v>
      </c>
    </row>
    <row r="346" spans="1:19" x14ac:dyDescent="0.35">
      <c r="A346" s="4" t="s">
        <v>652</v>
      </c>
      <c r="B346" s="5">
        <v>45783</v>
      </c>
      <c r="C346" s="4" t="s">
        <v>653</v>
      </c>
      <c r="D346" s="4" t="s">
        <v>47</v>
      </c>
      <c r="E346" s="4" t="s">
        <v>29</v>
      </c>
      <c r="F346" s="4" t="s">
        <v>54</v>
      </c>
      <c r="G346" s="4" t="s">
        <v>31</v>
      </c>
      <c r="H346" s="4" t="s">
        <v>64</v>
      </c>
      <c r="I346" s="4">
        <v>10</v>
      </c>
      <c r="J346" s="6">
        <v>221.5</v>
      </c>
      <c r="K346" s="7">
        <v>0.05</v>
      </c>
      <c r="L346" s="6">
        <f t="shared" si="20"/>
        <v>2104.25</v>
      </c>
      <c r="M346" s="6">
        <v>165.28</v>
      </c>
      <c r="N346" s="8">
        <f t="shared" si="21"/>
        <v>451.45000000000005</v>
      </c>
      <c r="O346" s="4" t="s">
        <v>25</v>
      </c>
      <c r="P346" s="4" t="s">
        <v>26</v>
      </c>
      <c r="Q346" s="4">
        <v>5</v>
      </c>
      <c r="R346" s="21">
        <f t="shared" si="22"/>
        <v>0.21454199833669957</v>
      </c>
      <c r="S346" t="str">
        <f t="shared" si="23"/>
        <v>Large</v>
      </c>
    </row>
    <row r="347" spans="1:19" x14ac:dyDescent="0.35">
      <c r="A347" s="4" t="s">
        <v>654</v>
      </c>
      <c r="B347" s="5">
        <v>45784</v>
      </c>
      <c r="C347" s="4" t="s">
        <v>655</v>
      </c>
      <c r="D347" s="4" t="s">
        <v>43</v>
      </c>
      <c r="E347" s="4" t="s">
        <v>21</v>
      </c>
      <c r="F347" s="4" t="s">
        <v>22</v>
      </c>
      <c r="G347" s="4" t="s">
        <v>23</v>
      </c>
      <c r="H347" s="4" t="s">
        <v>24</v>
      </c>
      <c r="I347" s="4">
        <v>1</v>
      </c>
      <c r="J347" s="6">
        <v>37.93</v>
      </c>
      <c r="K347" s="7">
        <v>0.05</v>
      </c>
      <c r="L347" s="6">
        <f t="shared" si="20"/>
        <v>36.033499999999997</v>
      </c>
      <c r="M347" s="6">
        <v>15.49</v>
      </c>
      <c r="N347" s="8">
        <f t="shared" si="21"/>
        <v>20.543499999999995</v>
      </c>
      <c r="O347" s="4" t="s">
        <v>40</v>
      </c>
      <c r="P347" s="4" t="s">
        <v>61</v>
      </c>
      <c r="Q347" s="4">
        <v>1</v>
      </c>
      <c r="R347" s="21">
        <f t="shared" si="22"/>
        <v>0.57012224735315742</v>
      </c>
      <c r="S347" t="str">
        <f t="shared" si="23"/>
        <v>Small</v>
      </c>
    </row>
    <row r="348" spans="1:19" x14ac:dyDescent="0.35">
      <c r="A348" s="4" t="s">
        <v>656</v>
      </c>
      <c r="B348" s="5">
        <v>45784</v>
      </c>
      <c r="C348" s="4" t="s">
        <v>657</v>
      </c>
      <c r="D348" s="4" t="s">
        <v>20</v>
      </c>
      <c r="E348" s="4" t="s">
        <v>36</v>
      </c>
      <c r="F348" s="4" t="s">
        <v>48</v>
      </c>
      <c r="G348" s="4" t="s">
        <v>31</v>
      </c>
      <c r="H348" s="4" t="s">
        <v>64</v>
      </c>
      <c r="I348" s="4">
        <v>3</v>
      </c>
      <c r="J348" s="6">
        <v>171.3</v>
      </c>
      <c r="K348" s="7">
        <v>0.15</v>
      </c>
      <c r="L348" s="6">
        <f t="shared" si="20"/>
        <v>436.81500000000005</v>
      </c>
      <c r="M348" s="6">
        <v>120.38</v>
      </c>
      <c r="N348" s="8">
        <f t="shared" si="21"/>
        <v>75.675000000000068</v>
      </c>
      <c r="O348" s="4" t="s">
        <v>25</v>
      </c>
      <c r="P348" s="4" t="s">
        <v>72</v>
      </c>
      <c r="Q348" s="4">
        <v>3</v>
      </c>
      <c r="R348" s="21">
        <f t="shared" si="22"/>
        <v>0.17324267710586874</v>
      </c>
      <c r="S348" t="str">
        <f t="shared" si="23"/>
        <v>Small</v>
      </c>
    </row>
    <row r="349" spans="1:19" x14ac:dyDescent="0.35">
      <c r="A349" s="4" t="s">
        <v>658</v>
      </c>
      <c r="B349" s="5">
        <v>45784</v>
      </c>
      <c r="C349" s="4" t="s">
        <v>659</v>
      </c>
      <c r="D349" s="4" t="s">
        <v>20</v>
      </c>
      <c r="E349" s="4" t="s">
        <v>87</v>
      </c>
      <c r="F349" s="4" t="s">
        <v>92</v>
      </c>
      <c r="G349" s="4" t="s">
        <v>49</v>
      </c>
      <c r="H349" s="4" t="s">
        <v>128</v>
      </c>
      <c r="I349" s="4">
        <v>1</v>
      </c>
      <c r="J349" s="6">
        <v>35.97</v>
      </c>
      <c r="K349" s="7">
        <v>0</v>
      </c>
      <c r="L349" s="6">
        <f t="shared" si="20"/>
        <v>35.97</v>
      </c>
      <c r="M349" s="6">
        <v>24.23</v>
      </c>
      <c r="N349" s="8">
        <f t="shared" si="21"/>
        <v>11.739999999999998</v>
      </c>
      <c r="O349" s="4" t="s">
        <v>25</v>
      </c>
      <c r="P349" s="4" t="s">
        <v>26</v>
      </c>
      <c r="Q349" s="4">
        <v>4</v>
      </c>
      <c r="R349" s="21">
        <f t="shared" si="22"/>
        <v>0.32638309702529883</v>
      </c>
      <c r="S349" t="str">
        <f t="shared" si="23"/>
        <v>Small</v>
      </c>
    </row>
    <row r="350" spans="1:19" x14ac:dyDescent="0.35">
      <c r="A350" s="4" t="s">
        <v>660</v>
      </c>
      <c r="B350" s="5">
        <v>45784</v>
      </c>
      <c r="C350" s="4" t="s">
        <v>243</v>
      </c>
      <c r="D350" s="4" t="s">
        <v>47</v>
      </c>
      <c r="E350" s="4" t="s">
        <v>87</v>
      </c>
      <c r="F350" s="4" t="s">
        <v>88</v>
      </c>
      <c r="G350" s="4" t="s">
        <v>38</v>
      </c>
      <c r="H350" s="4" t="s">
        <v>109</v>
      </c>
      <c r="I350" s="4">
        <v>2</v>
      </c>
      <c r="J350" s="6">
        <v>764.82</v>
      </c>
      <c r="K350" s="7">
        <v>0.1</v>
      </c>
      <c r="L350" s="6">
        <f t="shared" si="20"/>
        <v>1376.6760000000002</v>
      </c>
      <c r="M350" s="6">
        <v>609.86</v>
      </c>
      <c r="N350" s="8">
        <f t="shared" si="21"/>
        <v>156.95600000000013</v>
      </c>
      <c r="O350" s="4" t="s">
        <v>40</v>
      </c>
      <c r="P350" s="4" t="s">
        <v>61</v>
      </c>
      <c r="Q350" s="4">
        <v>4</v>
      </c>
      <c r="R350" s="21">
        <f t="shared" si="22"/>
        <v>0.11401084932111849</v>
      </c>
      <c r="S350" t="str">
        <f t="shared" si="23"/>
        <v>Medium</v>
      </c>
    </row>
    <row r="351" spans="1:19" x14ac:dyDescent="0.35">
      <c r="A351" s="4" t="s">
        <v>661</v>
      </c>
      <c r="B351" s="5">
        <v>45784</v>
      </c>
      <c r="C351" s="4" t="s">
        <v>609</v>
      </c>
      <c r="D351" s="4" t="s">
        <v>47</v>
      </c>
      <c r="E351" s="4" t="s">
        <v>21</v>
      </c>
      <c r="F351" s="4" t="s">
        <v>22</v>
      </c>
      <c r="G351" s="4" t="s">
        <v>23</v>
      </c>
      <c r="H351" s="4" t="s">
        <v>24</v>
      </c>
      <c r="I351" s="4">
        <v>2</v>
      </c>
      <c r="J351" s="6">
        <v>45.64</v>
      </c>
      <c r="K351" s="7">
        <v>0.15</v>
      </c>
      <c r="L351" s="6">
        <f t="shared" si="20"/>
        <v>77.587999999999994</v>
      </c>
      <c r="M351" s="6">
        <v>23.31</v>
      </c>
      <c r="N351" s="8">
        <f t="shared" si="21"/>
        <v>30.967999999999996</v>
      </c>
      <c r="O351" s="4" t="s">
        <v>25</v>
      </c>
      <c r="P351" s="4" t="s">
        <v>97</v>
      </c>
      <c r="Q351" s="4">
        <v>5</v>
      </c>
      <c r="R351" s="21">
        <f t="shared" si="22"/>
        <v>0.39913388668350774</v>
      </c>
      <c r="S351" t="str">
        <f t="shared" si="23"/>
        <v>Small</v>
      </c>
    </row>
    <row r="352" spans="1:19" x14ac:dyDescent="0.35">
      <c r="A352" s="4" t="s">
        <v>662</v>
      </c>
      <c r="B352" s="5">
        <v>45785</v>
      </c>
      <c r="C352" s="4" t="s">
        <v>357</v>
      </c>
      <c r="D352" s="4" t="s">
        <v>43</v>
      </c>
      <c r="E352" s="4" t="s">
        <v>87</v>
      </c>
      <c r="F352" s="4" t="s">
        <v>88</v>
      </c>
      <c r="G352" s="4" t="s">
        <v>67</v>
      </c>
      <c r="H352" s="4" t="s">
        <v>140</v>
      </c>
      <c r="I352" s="4">
        <v>1</v>
      </c>
      <c r="J352" s="6">
        <v>88.87</v>
      </c>
      <c r="K352" s="7">
        <v>0.2</v>
      </c>
      <c r="L352" s="6">
        <f t="shared" si="20"/>
        <v>71.096000000000004</v>
      </c>
      <c r="M352" s="6">
        <v>67.760000000000005</v>
      </c>
      <c r="N352" s="8">
        <f t="shared" si="21"/>
        <v>3.3359999999999985</v>
      </c>
      <c r="O352" s="4" t="s">
        <v>51</v>
      </c>
      <c r="P352" s="4" t="s">
        <v>72</v>
      </c>
      <c r="Q352" s="4">
        <v>4</v>
      </c>
      <c r="R352" s="21">
        <f t="shared" si="22"/>
        <v>4.692247102509281E-2</v>
      </c>
      <c r="S352" t="str">
        <f t="shared" si="23"/>
        <v>Small</v>
      </c>
    </row>
    <row r="353" spans="1:19" x14ac:dyDescent="0.35">
      <c r="A353" s="4" t="s">
        <v>663</v>
      </c>
      <c r="B353" s="5">
        <v>45785</v>
      </c>
      <c r="C353" s="4" t="s">
        <v>134</v>
      </c>
      <c r="D353" s="4" t="s">
        <v>20</v>
      </c>
      <c r="E353" s="4" t="s">
        <v>29</v>
      </c>
      <c r="F353" s="4" t="s">
        <v>54</v>
      </c>
      <c r="G353" s="4" t="s">
        <v>38</v>
      </c>
      <c r="H353" s="4" t="s">
        <v>89</v>
      </c>
      <c r="I353" s="4">
        <v>2</v>
      </c>
      <c r="J353" s="6">
        <v>919.45</v>
      </c>
      <c r="K353" s="7">
        <v>0.1</v>
      </c>
      <c r="L353" s="6">
        <f t="shared" si="20"/>
        <v>1655.0100000000002</v>
      </c>
      <c r="M353" s="6">
        <v>732.6</v>
      </c>
      <c r="N353" s="8">
        <f t="shared" si="21"/>
        <v>189.81000000000017</v>
      </c>
      <c r="O353" s="4" t="s">
        <v>25</v>
      </c>
      <c r="P353" s="4" t="s">
        <v>61</v>
      </c>
      <c r="Q353" s="4">
        <v>5</v>
      </c>
      <c r="R353" s="21">
        <f t="shared" si="22"/>
        <v>0.1146881287726359</v>
      </c>
      <c r="S353" t="str">
        <f t="shared" si="23"/>
        <v>Medium</v>
      </c>
    </row>
    <row r="354" spans="1:19" x14ac:dyDescent="0.35">
      <c r="A354" s="4" t="s">
        <v>664</v>
      </c>
      <c r="B354" s="5">
        <v>45785</v>
      </c>
      <c r="C354" s="4" t="s">
        <v>542</v>
      </c>
      <c r="D354" s="4" t="s">
        <v>20</v>
      </c>
      <c r="E354" s="4" t="s">
        <v>29</v>
      </c>
      <c r="F354" s="4" t="s">
        <v>54</v>
      </c>
      <c r="G354" s="4" t="s">
        <v>23</v>
      </c>
      <c r="H354" s="4" t="s">
        <v>24</v>
      </c>
      <c r="I354" s="4">
        <v>6</v>
      </c>
      <c r="J354" s="6">
        <v>35.65</v>
      </c>
      <c r="K354" s="7">
        <v>0.2</v>
      </c>
      <c r="L354" s="6">
        <f t="shared" si="20"/>
        <v>171.12</v>
      </c>
      <c r="M354" s="6">
        <v>21.16</v>
      </c>
      <c r="N354" s="8">
        <f t="shared" si="21"/>
        <v>44.16</v>
      </c>
      <c r="O354" s="4" t="s">
        <v>84</v>
      </c>
      <c r="P354" s="4" t="s">
        <v>72</v>
      </c>
      <c r="Q354" s="4">
        <v>2</v>
      </c>
      <c r="R354" s="21">
        <f t="shared" si="22"/>
        <v>0.25806451612903225</v>
      </c>
      <c r="S354" t="str">
        <f t="shared" si="23"/>
        <v>Small</v>
      </c>
    </row>
    <row r="355" spans="1:19" x14ac:dyDescent="0.35">
      <c r="A355" s="4" t="s">
        <v>665</v>
      </c>
      <c r="B355" s="5">
        <v>45785</v>
      </c>
      <c r="C355" s="4" t="s">
        <v>294</v>
      </c>
      <c r="D355" s="4" t="s">
        <v>47</v>
      </c>
      <c r="E355" s="4" t="s">
        <v>36</v>
      </c>
      <c r="F355" s="4" t="s">
        <v>201</v>
      </c>
      <c r="G355" s="4" t="s">
        <v>49</v>
      </c>
      <c r="H355" s="4" t="s">
        <v>187</v>
      </c>
      <c r="I355" s="4">
        <v>6</v>
      </c>
      <c r="J355" s="6">
        <v>160.07</v>
      </c>
      <c r="K355" s="7">
        <v>0.05</v>
      </c>
      <c r="L355" s="6">
        <f t="shared" si="20"/>
        <v>912.39899999999989</v>
      </c>
      <c r="M355" s="6">
        <v>104.37</v>
      </c>
      <c r="N355" s="8">
        <f t="shared" si="21"/>
        <v>286.17899999999986</v>
      </c>
      <c r="O355" s="4" t="s">
        <v>51</v>
      </c>
      <c r="P355" s="4" t="s">
        <v>97</v>
      </c>
      <c r="Q355" s="4">
        <v>5</v>
      </c>
      <c r="R355" s="21">
        <f t="shared" si="22"/>
        <v>0.31365553885964353</v>
      </c>
      <c r="S355" t="str">
        <f t="shared" si="23"/>
        <v>Medium</v>
      </c>
    </row>
    <row r="356" spans="1:19" x14ac:dyDescent="0.35">
      <c r="A356" s="4" t="s">
        <v>666</v>
      </c>
      <c r="B356" s="5">
        <v>45785</v>
      </c>
      <c r="C356" s="4" t="s">
        <v>644</v>
      </c>
      <c r="D356" s="4" t="s">
        <v>47</v>
      </c>
      <c r="E356" s="4" t="s">
        <v>21</v>
      </c>
      <c r="F356" s="4" t="s">
        <v>22</v>
      </c>
      <c r="G356" s="4" t="s">
        <v>67</v>
      </c>
      <c r="H356" s="4" t="s">
        <v>121</v>
      </c>
      <c r="I356" s="4">
        <v>2</v>
      </c>
      <c r="J356" s="6">
        <v>272.64</v>
      </c>
      <c r="K356" s="7">
        <v>0</v>
      </c>
      <c r="L356" s="6">
        <f t="shared" si="20"/>
        <v>545.28</v>
      </c>
      <c r="M356" s="6">
        <v>193.49</v>
      </c>
      <c r="N356" s="8">
        <f t="shared" si="21"/>
        <v>158.29999999999995</v>
      </c>
      <c r="O356" s="4" t="s">
        <v>51</v>
      </c>
      <c r="P356" s="4" t="s">
        <v>97</v>
      </c>
      <c r="Q356" s="4">
        <v>4</v>
      </c>
      <c r="R356" s="21">
        <f t="shared" si="22"/>
        <v>0.29030956572769945</v>
      </c>
      <c r="S356" t="str">
        <f t="shared" si="23"/>
        <v>Medium</v>
      </c>
    </row>
    <row r="357" spans="1:19" x14ac:dyDescent="0.35">
      <c r="A357" s="4" t="s">
        <v>667</v>
      </c>
      <c r="B357" s="5">
        <v>45785</v>
      </c>
      <c r="C357" s="4" t="s">
        <v>668</v>
      </c>
      <c r="D357" s="4" t="s">
        <v>47</v>
      </c>
      <c r="E357" s="4" t="s">
        <v>36</v>
      </c>
      <c r="F357" s="4" t="s">
        <v>201</v>
      </c>
      <c r="G357" s="4" t="s">
        <v>23</v>
      </c>
      <c r="H357" s="4" t="s">
        <v>135</v>
      </c>
      <c r="I357" s="4">
        <v>2</v>
      </c>
      <c r="J357" s="6">
        <v>13.13</v>
      </c>
      <c r="K357" s="7">
        <v>0.05</v>
      </c>
      <c r="L357" s="6">
        <f t="shared" si="20"/>
        <v>24.946999999999999</v>
      </c>
      <c r="M357" s="6">
        <v>7.09</v>
      </c>
      <c r="N357" s="8">
        <f t="shared" si="21"/>
        <v>10.766999999999999</v>
      </c>
      <c r="O357" s="4" t="s">
        <v>51</v>
      </c>
      <c r="P357" s="4" t="s">
        <v>61</v>
      </c>
      <c r="Q357" s="4">
        <v>4</v>
      </c>
      <c r="R357" s="21">
        <f t="shared" si="22"/>
        <v>0.43159498136048424</v>
      </c>
      <c r="S357" t="str">
        <f t="shared" si="23"/>
        <v>Small</v>
      </c>
    </row>
    <row r="358" spans="1:19" x14ac:dyDescent="0.35">
      <c r="A358" s="4" t="s">
        <v>669</v>
      </c>
      <c r="B358" s="5">
        <v>45786</v>
      </c>
      <c r="C358" s="4" t="s">
        <v>670</v>
      </c>
      <c r="D358" s="4" t="s">
        <v>43</v>
      </c>
      <c r="E358" s="4" t="s">
        <v>87</v>
      </c>
      <c r="F358" s="4" t="s">
        <v>92</v>
      </c>
      <c r="G358" s="4" t="s">
        <v>23</v>
      </c>
      <c r="H358" s="4" t="s">
        <v>135</v>
      </c>
      <c r="I358" s="4">
        <v>2</v>
      </c>
      <c r="J358" s="6">
        <v>27.51</v>
      </c>
      <c r="K358" s="7">
        <v>0.05</v>
      </c>
      <c r="L358" s="6">
        <f t="shared" si="20"/>
        <v>52.268999999999998</v>
      </c>
      <c r="M358" s="6">
        <v>17.100000000000001</v>
      </c>
      <c r="N358" s="8">
        <f t="shared" si="21"/>
        <v>18.068999999999996</v>
      </c>
      <c r="O358" s="4" t="s">
        <v>51</v>
      </c>
      <c r="P358" s="4" t="s">
        <v>72</v>
      </c>
      <c r="Q358" s="4">
        <v>5</v>
      </c>
      <c r="R358" s="21">
        <f t="shared" si="22"/>
        <v>0.34569247546346776</v>
      </c>
      <c r="S358" t="str">
        <f t="shared" si="23"/>
        <v>Small</v>
      </c>
    </row>
    <row r="359" spans="1:19" x14ac:dyDescent="0.35">
      <c r="A359" s="4" t="s">
        <v>671</v>
      </c>
      <c r="B359" s="5">
        <v>45786</v>
      </c>
      <c r="C359" s="4" t="s">
        <v>672</v>
      </c>
      <c r="D359" s="4" t="s">
        <v>43</v>
      </c>
      <c r="E359" s="4" t="s">
        <v>87</v>
      </c>
      <c r="F359" s="4" t="s">
        <v>124</v>
      </c>
      <c r="G359" s="4" t="s">
        <v>38</v>
      </c>
      <c r="H359" s="4" t="s">
        <v>55</v>
      </c>
      <c r="I359" s="4">
        <v>4</v>
      </c>
      <c r="J359" s="6">
        <v>216.76</v>
      </c>
      <c r="K359" s="7">
        <v>0</v>
      </c>
      <c r="L359" s="6">
        <f t="shared" si="20"/>
        <v>867.04</v>
      </c>
      <c r="M359" s="6">
        <v>165.59</v>
      </c>
      <c r="N359" s="8">
        <f t="shared" si="21"/>
        <v>204.67999999999995</v>
      </c>
      <c r="O359" s="4" t="s">
        <v>25</v>
      </c>
      <c r="P359" s="4" t="s">
        <v>56</v>
      </c>
      <c r="Q359" s="4">
        <v>4</v>
      </c>
      <c r="R359" s="21">
        <f t="shared" si="22"/>
        <v>0.23606754013655651</v>
      </c>
      <c r="S359" t="str">
        <f t="shared" si="23"/>
        <v>Medium</v>
      </c>
    </row>
    <row r="360" spans="1:19" x14ac:dyDescent="0.35">
      <c r="A360" s="4" t="s">
        <v>673</v>
      </c>
      <c r="B360" s="5">
        <v>45786</v>
      </c>
      <c r="C360" s="4" t="s">
        <v>305</v>
      </c>
      <c r="D360" s="4" t="s">
        <v>47</v>
      </c>
      <c r="E360" s="4" t="s">
        <v>87</v>
      </c>
      <c r="F360" s="4" t="s">
        <v>92</v>
      </c>
      <c r="G360" s="4" t="s">
        <v>67</v>
      </c>
      <c r="H360" s="4" t="s">
        <v>93</v>
      </c>
      <c r="I360" s="4">
        <v>3</v>
      </c>
      <c r="J360" s="6">
        <v>301.77</v>
      </c>
      <c r="K360" s="7">
        <v>0.1</v>
      </c>
      <c r="L360" s="6">
        <f t="shared" si="20"/>
        <v>814.779</v>
      </c>
      <c r="M360" s="6">
        <v>218.44</v>
      </c>
      <c r="N360" s="8">
        <f t="shared" si="21"/>
        <v>159.45900000000006</v>
      </c>
      <c r="O360" s="4" t="s">
        <v>84</v>
      </c>
      <c r="P360" s="4" t="s">
        <v>61</v>
      </c>
      <c r="Q360" s="4">
        <v>5</v>
      </c>
      <c r="R360" s="21">
        <f t="shared" si="22"/>
        <v>0.19570828408685062</v>
      </c>
      <c r="S360" t="str">
        <f t="shared" si="23"/>
        <v>Medium</v>
      </c>
    </row>
    <row r="361" spans="1:19" x14ac:dyDescent="0.35">
      <c r="A361" s="4" t="s">
        <v>674</v>
      </c>
      <c r="B361" s="5">
        <v>45787</v>
      </c>
      <c r="C361" s="4" t="s">
        <v>478</v>
      </c>
      <c r="D361" s="4" t="s">
        <v>47</v>
      </c>
      <c r="E361" s="4" t="s">
        <v>29</v>
      </c>
      <c r="F361" s="4" t="s">
        <v>30</v>
      </c>
      <c r="G361" s="4" t="s">
        <v>38</v>
      </c>
      <c r="H361" s="4" t="s">
        <v>55</v>
      </c>
      <c r="I361" s="4">
        <v>3</v>
      </c>
      <c r="J361" s="6">
        <v>113.57</v>
      </c>
      <c r="K361" s="7">
        <v>0</v>
      </c>
      <c r="L361" s="6">
        <f t="shared" si="20"/>
        <v>340.71</v>
      </c>
      <c r="M361" s="6">
        <v>89.12</v>
      </c>
      <c r="N361" s="8">
        <f t="shared" si="21"/>
        <v>73.349999999999966</v>
      </c>
      <c r="O361" s="4" t="s">
        <v>60</v>
      </c>
      <c r="P361" s="4" t="s">
        <v>33</v>
      </c>
      <c r="Q361" s="4">
        <v>1</v>
      </c>
      <c r="R361" s="21">
        <f t="shared" si="22"/>
        <v>0.21528572686448877</v>
      </c>
      <c r="S361" t="str">
        <f t="shared" si="23"/>
        <v>Small</v>
      </c>
    </row>
    <row r="362" spans="1:19" x14ac:dyDescent="0.35">
      <c r="A362" s="4" t="s">
        <v>675</v>
      </c>
      <c r="B362" s="5">
        <v>45787</v>
      </c>
      <c r="C362" s="4" t="s">
        <v>676</v>
      </c>
      <c r="D362" s="4" t="s">
        <v>43</v>
      </c>
      <c r="E362" s="4" t="s">
        <v>29</v>
      </c>
      <c r="F362" s="4" t="s">
        <v>54</v>
      </c>
      <c r="G362" s="4" t="s">
        <v>23</v>
      </c>
      <c r="H362" s="4" t="s">
        <v>44</v>
      </c>
      <c r="I362" s="4">
        <v>1</v>
      </c>
      <c r="J362" s="6">
        <v>105.22</v>
      </c>
      <c r="K362" s="7">
        <v>0.1</v>
      </c>
      <c r="L362" s="6">
        <f t="shared" si="20"/>
        <v>94.698000000000008</v>
      </c>
      <c r="M362" s="6">
        <v>68.239999999999995</v>
      </c>
      <c r="N362" s="8">
        <f t="shared" si="21"/>
        <v>26.458000000000013</v>
      </c>
      <c r="O362" s="4" t="s">
        <v>40</v>
      </c>
      <c r="P362" s="4" t="s">
        <v>56</v>
      </c>
      <c r="Q362" s="4">
        <v>4</v>
      </c>
      <c r="R362" s="21">
        <f t="shared" si="22"/>
        <v>0.27939344019937074</v>
      </c>
      <c r="S362" t="str">
        <f t="shared" si="23"/>
        <v>Small</v>
      </c>
    </row>
    <row r="363" spans="1:19" x14ac:dyDescent="0.35">
      <c r="A363" s="4" t="s">
        <v>677</v>
      </c>
      <c r="B363" s="5">
        <v>45788</v>
      </c>
      <c r="C363" s="4" t="s">
        <v>524</v>
      </c>
      <c r="D363" s="4" t="s">
        <v>47</v>
      </c>
      <c r="E363" s="4" t="s">
        <v>87</v>
      </c>
      <c r="F363" s="4" t="s">
        <v>88</v>
      </c>
      <c r="G363" s="4" t="s">
        <v>38</v>
      </c>
      <c r="H363" s="4" t="s">
        <v>39</v>
      </c>
      <c r="I363" s="4">
        <v>1</v>
      </c>
      <c r="J363" s="6">
        <v>182.9</v>
      </c>
      <c r="K363" s="7">
        <v>0</v>
      </c>
      <c r="L363" s="6">
        <f t="shared" si="20"/>
        <v>182.9</v>
      </c>
      <c r="M363" s="6">
        <v>147.36000000000001</v>
      </c>
      <c r="N363" s="8">
        <f t="shared" si="21"/>
        <v>35.539999999999992</v>
      </c>
      <c r="O363" s="4" t="s">
        <v>84</v>
      </c>
      <c r="P363" s="4" t="s">
        <v>75</v>
      </c>
      <c r="Q363" s="4">
        <v>4</v>
      </c>
      <c r="R363" s="21">
        <f t="shared" si="22"/>
        <v>0.19431383269546196</v>
      </c>
      <c r="S363" t="str">
        <f t="shared" si="23"/>
        <v>Small</v>
      </c>
    </row>
    <row r="364" spans="1:19" x14ac:dyDescent="0.35">
      <c r="A364" s="4" t="s">
        <v>678</v>
      </c>
      <c r="B364" s="5">
        <v>45789</v>
      </c>
      <c r="C364" s="4" t="s">
        <v>379</v>
      </c>
      <c r="D364" s="4" t="s">
        <v>20</v>
      </c>
      <c r="E364" s="4" t="s">
        <v>21</v>
      </c>
      <c r="F364" s="4" t="s">
        <v>81</v>
      </c>
      <c r="G364" s="4" t="s">
        <v>31</v>
      </c>
      <c r="H364" s="4" t="s">
        <v>64</v>
      </c>
      <c r="I364" s="4">
        <v>10</v>
      </c>
      <c r="J364" s="6">
        <v>109.53</v>
      </c>
      <c r="K364" s="7">
        <v>0</v>
      </c>
      <c r="L364" s="6">
        <f t="shared" si="20"/>
        <v>1095.3</v>
      </c>
      <c r="M364" s="6">
        <v>80.23</v>
      </c>
      <c r="N364" s="8">
        <f t="shared" si="21"/>
        <v>292.99999999999989</v>
      </c>
      <c r="O364" s="4" t="s">
        <v>51</v>
      </c>
      <c r="P364" s="4" t="s">
        <v>61</v>
      </c>
      <c r="Q364" s="4">
        <v>5</v>
      </c>
      <c r="R364" s="21">
        <f t="shared" si="22"/>
        <v>0.26750661919108909</v>
      </c>
      <c r="S364" t="str">
        <f t="shared" si="23"/>
        <v>Medium</v>
      </c>
    </row>
    <row r="365" spans="1:19" x14ac:dyDescent="0.35">
      <c r="A365" s="4" t="s">
        <v>679</v>
      </c>
      <c r="B365" s="5">
        <v>45790</v>
      </c>
      <c r="C365" s="4" t="s">
        <v>339</v>
      </c>
      <c r="D365" s="4" t="s">
        <v>43</v>
      </c>
      <c r="E365" s="4" t="s">
        <v>36</v>
      </c>
      <c r="F365" s="4" t="s">
        <v>201</v>
      </c>
      <c r="G365" s="4" t="s">
        <v>31</v>
      </c>
      <c r="H365" s="4" t="s">
        <v>64</v>
      </c>
      <c r="I365" s="4">
        <v>2</v>
      </c>
      <c r="J365" s="6">
        <v>235.61</v>
      </c>
      <c r="K365" s="7">
        <v>0</v>
      </c>
      <c r="L365" s="6">
        <f t="shared" si="20"/>
        <v>471.22</v>
      </c>
      <c r="M365" s="6">
        <v>172.32</v>
      </c>
      <c r="N365" s="8">
        <f t="shared" si="21"/>
        <v>126.58000000000004</v>
      </c>
      <c r="O365" s="4" t="s">
        <v>51</v>
      </c>
      <c r="P365" s="4" t="s">
        <v>56</v>
      </c>
      <c r="Q365" s="4">
        <v>3</v>
      </c>
      <c r="R365" s="21">
        <f t="shared" si="22"/>
        <v>0.26862187513263452</v>
      </c>
      <c r="S365" t="str">
        <f t="shared" si="23"/>
        <v>Small</v>
      </c>
    </row>
    <row r="366" spans="1:19" x14ac:dyDescent="0.35">
      <c r="A366" s="4" t="s">
        <v>680</v>
      </c>
      <c r="B366" s="5">
        <v>45790</v>
      </c>
      <c r="C366" s="4" t="s">
        <v>637</v>
      </c>
      <c r="D366" s="4" t="s">
        <v>20</v>
      </c>
      <c r="E366" s="4" t="s">
        <v>87</v>
      </c>
      <c r="F366" s="4" t="s">
        <v>124</v>
      </c>
      <c r="G366" s="4" t="s">
        <v>38</v>
      </c>
      <c r="H366" s="4" t="s">
        <v>55</v>
      </c>
      <c r="I366" s="4">
        <v>1</v>
      </c>
      <c r="J366" s="6">
        <v>118.89</v>
      </c>
      <c r="K366" s="7">
        <v>0</v>
      </c>
      <c r="L366" s="6">
        <f t="shared" si="20"/>
        <v>118.89</v>
      </c>
      <c r="M366" s="6">
        <v>99.62</v>
      </c>
      <c r="N366" s="8">
        <f t="shared" si="21"/>
        <v>19.269999999999996</v>
      </c>
      <c r="O366" s="4" t="s">
        <v>51</v>
      </c>
      <c r="P366" s="4" t="s">
        <v>56</v>
      </c>
      <c r="Q366" s="4">
        <v>4</v>
      </c>
      <c r="R366" s="21">
        <f t="shared" si="22"/>
        <v>0.16208259735890315</v>
      </c>
      <c r="S366" t="str">
        <f t="shared" si="23"/>
        <v>Small</v>
      </c>
    </row>
    <row r="367" spans="1:19" x14ac:dyDescent="0.35">
      <c r="A367" s="4" t="s">
        <v>681</v>
      </c>
      <c r="B367" s="5">
        <v>45791</v>
      </c>
      <c r="C367" s="4" t="s">
        <v>420</v>
      </c>
      <c r="D367" s="4" t="s">
        <v>20</v>
      </c>
      <c r="E367" s="4" t="s">
        <v>36</v>
      </c>
      <c r="F367" s="4" t="s">
        <v>37</v>
      </c>
      <c r="G367" s="4" t="s">
        <v>31</v>
      </c>
      <c r="H367" s="4" t="s">
        <v>64</v>
      </c>
      <c r="I367" s="4">
        <v>3</v>
      </c>
      <c r="J367" s="6">
        <v>129.68</v>
      </c>
      <c r="K367" s="7">
        <v>0.1</v>
      </c>
      <c r="L367" s="6">
        <f t="shared" si="20"/>
        <v>350.13600000000002</v>
      </c>
      <c r="M367" s="6">
        <v>75.27</v>
      </c>
      <c r="N367" s="8">
        <f t="shared" si="21"/>
        <v>124.32600000000002</v>
      </c>
      <c r="O367" s="4" t="s">
        <v>51</v>
      </c>
      <c r="P367" s="4" t="s">
        <v>26</v>
      </c>
      <c r="Q367" s="4">
        <v>4</v>
      </c>
      <c r="R367" s="21">
        <f t="shared" si="22"/>
        <v>0.35507916923709648</v>
      </c>
      <c r="S367" t="str">
        <f t="shared" si="23"/>
        <v>Small</v>
      </c>
    </row>
    <row r="368" spans="1:19" x14ac:dyDescent="0.35">
      <c r="A368" s="4" t="s">
        <v>682</v>
      </c>
      <c r="B368" s="5">
        <v>45791</v>
      </c>
      <c r="C368" s="4" t="s">
        <v>469</v>
      </c>
      <c r="D368" s="4" t="s">
        <v>47</v>
      </c>
      <c r="E368" s="4" t="s">
        <v>87</v>
      </c>
      <c r="F368" s="4" t="s">
        <v>124</v>
      </c>
      <c r="G368" s="4" t="s">
        <v>23</v>
      </c>
      <c r="H368" s="4" t="s">
        <v>44</v>
      </c>
      <c r="I368" s="4">
        <v>1</v>
      </c>
      <c r="J368" s="6">
        <v>136.96</v>
      </c>
      <c r="K368" s="7">
        <v>0</v>
      </c>
      <c r="L368" s="6">
        <f t="shared" si="20"/>
        <v>136.96</v>
      </c>
      <c r="M368" s="6">
        <v>58.77</v>
      </c>
      <c r="N368" s="8">
        <f t="shared" si="21"/>
        <v>78.19</v>
      </c>
      <c r="O368" s="4" t="s">
        <v>40</v>
      </c>
      <c r="P368" s="4" t="s">
        <v>56</v>
      </c>
      <c r="Q368" s="4">
        <v>5</v>
      </c>
      <c r="R368" s="21">
        <f t="shared" si="22"/>
        <v>0.57089661214953269</v>
      </c>
      <c r="S368" t="str">
        <f t="shared" si="23"/>
        <v>Small</v>
      </c>
    </row>
    <row r="369" spans="1:19" x14ac:dyDescent="0.35">
      <c r="A369" s="4" t="s">
        <v>683</v>
      </c>
      <c r="B369" s="5">
        <v>45791</v>
      </c>
      <c r="C369" s="4" t="s">
        <v>640</v>
      </c>
      <c r="D369" s="4" t="s">
        <v>20</v>
      </c>
      <c r="E369" s="4" t="s">
        <v>36</v>
      </c>
      <c r="F369" s="4" t="s">
        <v>201</v>
      </c>
      <c r="G369" s="4" t="s">
        <v>38</v>
      </c>
      <c r="H369" s="4" t="s">
        <v>39</v>
      </c>
      <c r="I369" s="4">
        <v>3</v>
      </c>
      <c r="J369" s="6">
        <v>449.63</v>
      </c>
      <c r="K369" s="7">
        <v>0.1</v>
      </c>
      <c r="L369" s="6">
        <f t="shared" si="20"/>
        <v>1214.001</v>
      </c>
      <c r="M369" s="6">
        <v>376.74</v>
      </c>
      <c r="N369" s="8">
        <f t="shared" si="21"/>
        <v>83.780999999999949</v>
      </c>
      <c r="O369" s="4" t="s">
        <v>84</v>
      </c>
      <c r="P369" s="4" t="s">
        <v>33</v>
      </c>
      <c r="Q369" s="4">
        <v>3</v>
      </c>
      <c r="R369" s="21">
        <f t="shared" si="22"/>
        <v>6.9012299001401115E-2</v>
      </c>
      <c r="S369" t="str">
        <f t="shared" si="23"/>
        <v>Medium</v>
      </c>
    </row>
    <row r="370" spans="1:19" x14ac:dyDescent="0.35">
      <c r="A370" s="4" t="s">
        <v>684</v>
      </c>
      <c r="B370" s="5">
        <v>45792</v>
      </c>
      <c r="C370" s="4" t="s">
        <v>256</v>
      </c>
      <c r="D370" s="4" t="s">
        <v>20</v>
      </c>
      <c r="E370" s="4" t="s">
        <v>21</v>
      </c>
      <c r="F370" s="4" t="s">
        <v>22</v>
      </c>
      <c r="G370" s="4" t="s">
        <v>38</v>
      </c>
      <c r="H370" s="4" t="s">
        <v>55</v>
      </c>
      <c r="I370" s="4">
        <v>3</v>
      </c>
      <c r="J370" s="6">
        <v>166.81</v>
      </c>
      <c r="K370" s="7">
        <v>0</v>
      </c>
      <c r="L370" s="6">
        <f t="shared" si="20"/>
        <v>500.43</v>
      </c>
      <c r="M370" s="6">
        <v>142.02000000000001</v>
      </c>
      <c r="N370" s="8">
        <f t="shared" si="21"/>
        <v>74.369999999999948</v>
      </c>
      <c r="O370" s="4" t="s">
        <v>51</v>
      </c>
      <c r="P370" s="4" t="s">
        <v>75</v>
      </c>
      <c r="Q370" s="4">
        <v>5</v>
      </c>
      <c r="R370" s="21">
        <f t="shared" si="22"/>
        <v>0.14861219351357821</v>
      </c>
      <c r="S370" t="str">
        <f t="shared" si="23"/>
        <v>Medium</v>
      </c>
    </row>
    <row r="371" spans="1:19" x14ac:dyDescent="0.35">
      <c r="A371" s="4" t="s">
        <v>685</v>
      </c>
      <c r="B371" s="5">
        <v>45792</v>
      </c>
      <c r="C371" s="4" t="s">
        <v>686</v>
      </c>
      <c r="D371" s="4" t="s">
        <v>43</v>
      </c>
      <c r="E371" s="4" t="s">
        <v>29</v>
      </c>
      <c r="F371" s="4" t="s">
        <v>54</v>
      </c>
      <c r="G371" s="4" t="s">
        <v>38</v>
      </c>
      <c r="H371" s="4" t="s">
        <v>55</v>
      </c>
      <c r="I371" s="4">
        <v>3</v>
      </c>
      <c r="J371" s="6">
        <v>279.02</v>
      </c>
      <c r="K371" s="7">
        <v>0.05</v>
      </c>
      <c r="L371" s="6">
        <f t="shared" si="20"/>
        <v>795.20699999999988</v>
      </c>
      <c r="M371" s="6">
        <v>231.07</v>
      </c>
      <c r="N371" s="8">
        <f t="shared" si="21"/>
        <v>101.99699999999984</v>
      </c>
      <c r="O371" s="4" t="s">
        <v>51</v>
      </c>
      <c r="P371" s="4" t="s">
        <v>118</v>
      </c>
      <c r="Q371" s="4">
        <v>4</v>
      </c>
      <c r="R371" s="21">
        <f t="shared" si="22"/>
        <v>0.12826471597961267</v>
      </c>
      <c r="S371" t="str">
        <f t="shared" si="23"/>
        <v>Medium</v>
      </c>
    </row>
    <row r="372" spans="1:19" x14ac:dyDescent="0.35">
      <c r="A372" s="4" t="s">
        <v>687</v>
      </c>
      <c r="B372" s="5">
        <v>45792</v>
      </c>
      <c r="C372" s="4" t="s">
        <v>518</v>
      </c>
      <c r="D372" s="4" t="s">
        <v>43</v>
      </c>
      <c r="E372" s="4" t="s">
        <v>36</v>
      </c>
      <c r="F372" s="4" t="s">
        <v>37</v>
      </c>
      <c r="G372" s="4" t="s">
        <v>31</v>
      </c>
      <c r="H372" s="4" t="s">
        <v>147</v>
      </c>
      <c r="I372" s="4">
        <v>2</v>
      </c>
      <c r="J372" s="6">
        <v>104.34</v>
      </c>
      <c r="K372" s="7">
        <v>0</v>
      </c>
      <c r="L372" s="6">
        <f t="shared" si="20"/>
        <v>208.68</v>
      </c>
      <c r="M372" s="6">
        <v>72.010000000000005</v>
      </c>
      <c r="N372" s="8">
        <f t="shared" si="21"/>
        <v>64.66</v>
      </c>
      <c r="O372" s="4" t="s">
        <v>25</v>
      </c>
      <c r="P372" s="4" t="s">
        <v>56</v>
      </c>
      <c r="Q372" s="4">
        <v>5</v>
      </c>
      <c r="R372" s="21">
        <f t="shared" si="22"/>
        <v>0.30985240559708643</v>
      </c>
      <c r="S372" t="str">
        <f t="shared" si="23"/>
        <v>Small</v>
      </c>
    </row>
    <row r="373" spans="1:19" x14ac:dyDescent="0.35">
      <c r="A373" s="4" t="s">
        <v>688</v>
      </c>
      <c r="B373" s="5">
        <v>45793</v>
      </c>
      <c r="C373" s="4" t="s">
        <v>337</v>
      </c>
      <c r="D373" s="4" t="s">
        <v>43</v>
      </c>
      <c r="E373" s="4" t="s">
        <v>87</v>
      </c>
      <c r="F373" s="4" t="s">
        <v>124</v>
      </c>
      <c r="G373" s="4" t="s">
        <v>67</v>
      </c>
      <c r="H373" s="4" t="s">
        <v>121</v>
      </c>
      <c r="I373" s="4">
        <v>3</v>
      </c>
      <c r="J373" s="6">
        <v>205.49</v>
      </c>
      <c r="K373" s="7">
        <v>0</v>
      </c>
      <c r="L373" s="6">
        <f t="shared" si="20"/>
        <v>616.47</v>
      </c>
      <c r="M373" s="6">
        <v>148.97</v>
      </c>
      <c r="N373" s="8">
        <f t="shared" si="21"/>
        <v>169.56000000000006</v>
      </c>
      <c r="O373" s="4" t="s">
        <v>25</v>
      </c>
      <c r="P373" s="4" t="s">
        <v>75</v>
      </c>
      <c r="Q373" s="4">
        <v>3</v>
      </c>
      <c r="R373" s="21">
        <f t="shared" si="22"/>
        <v>0.27504988077278708</v>
      </c>
      <c r="S373" t="str">
        <f t="shared" si="23"/>
        <v>Medium</v>
      </c>
    </row>
    <row r="374" spans="1:19" x14ac:dyDescent="0.35">
      <c r="A374" s="4" t="s">
        <v>689</v>
      </c>
      <c r="B374" s="5">
        <v>45793</v>
      </c>
      <c r="C374" s="4" t="s">
        <v>690</v>
      </c>
      <c r="D374" s="4" t="s">
        <v>47</v>
      </c>
      <c r="E374" s="4" t="s">
        <v>36</v>
      </c>
      <c r="F374" s="4" t="s">
        <v>48</v>
      </c>
      <c r="G374" s="4" t="s">
        <v>38</v>
      </c>
      <c r="H374" s="4" t="s">
        <v>109</v>
      </c>
      <c r="I374" s="4">
        <v>2</v>
      </c>
      <c r="J374" s="6">
        <v>597.27</v>
      </c>
      <c r="K374" s="7">
        <v>0</v>
      </c>
      <c r="L374" s="6">
        <f t="shared" si="20"/>
        <v>1194.54</v>
      </c>
      <c r="M374" s="6">
        <v>463.23</v>
      </c>
      <c r="N374" s="8">
        <f t="shared" si="21"/>
        <v>268.07999999999993</v>
      </c>
      <c r="O374" s="4" t="s">
        <v>84</v>
      </c>
      <c r="P374" s="4" t="s">
        <v>56</v>
      </c>
      <c r="Q374" s="4">
        <v>4</v>
      </c>
      <c r="R374" s="21">
        <f t="shared" si="22"/>
        <v>0.22442111607815554</v>
      </c>
      <c r="S374" t="str">
        <f t="shared" si="23"/>
        <v>Medium</v>
      </c>
    </row>
    <row r="375" spans="1:19" x14ac:dyDescent="0.35">
      <c r="A375" s="4" t="s">
        <v>691</v>
      </c>
      <c r="B375" s="5">
        <v>45793</v>
      </c>
      <c r="C375" s="4" t="s">
        <v>294</v>
      </c>
      <c r="D375" s="4" t="s">
        <v>43</v>
      </c>
      <c r="E375" s="4" t="s">
        <v>36</v>
      </c>
      <c r="F375" s="4" t="s">
        <v>201</v>
      </c>
      <c r="G375" s="4" t="s">
        <v>38</v>
      </c>
      <c r="H375" s="4" t="s">
        <v>96</v>
      </c>
      <c r="I375" s="4">
        <v>4</v>
      </c>
      <c r="J375" s="6">
        <v>647.73</v>
      </c>
      <c r="K375" s="7">
        <v>0.05</v>
      </c>
      <c r="L375" s="6">
        <f t="shared" si="20"/>
        <v>2461.3739999999998</v>
      </c>
      <c r="M375" s="6">
        <v>567.99</v>
      </c>
      <c r="N375" s="8">
        <f t="shared" si="21"/>
        <v>189.41399999999976</v>
      </c>
      <c r="O375" s="4" t="s">
        <v>84</v>
      </c>
      <c r="P375" s="4" t="s">
        <v>56</v>
      </c>
      <c r="Q375" s="4">
        <v>5</v>
      </c>
      <c r="R375" s="21">
        <f t="shared" si="22"/>
        <v>7.6954579027811207E-2</v>
      </c>
      <c r="S375" t="str">
        <f t="shared" si="23"/>
        <v>Large</v>
      </c>
    </row>
    <row r="376" spans="1:19" x14ac:dyDescent="0.35">
      <c r="A376" s="4" t="s">
        <v>692</v>
      </c>
      <c r="B376" s="5">
        <v>45793</v>
      </c>
      <c r="C376" s="4" t="s">
        <v>659</v>
      </c>
      <c r="D376" s="4" t="s">
        <v>47</v>
      </c>
      <c r="E376" s="4" t="s">
        <v>29</v>
      </c>
      <c r="F376" s="4" t="s">
        <v>108</v>
      </c>
      <c r="G376" s="4" t="s">
        <v>49</v>
      </c>
      <c r="H376" s="4" t="s">
        <v>128</v>
      </c>
      <c r="I376" s="4">
        <v>5</v>
      </c>
      <c r="J376" s="6">
        <v>50.65</v>
      </c>
      <c r="K376" s="7">
        <v>0</v>
      </c>
      <c r="L376" s="6">
        <f t="shared" si="20"/>
        <v>253.25</v>
      </c>
      <c r="M376" s="6">
        <v>37.619999999999997</v>
      </c>
      <c r="N376" s="8">
        <f t="shared" si="21"/>
        <v>65.150000000000006</v>
      </c>
      <c r="O376" s="4" t="s">
        <v>51</v>
      </c>
      <c r="P376" s="4" t="s">
        <v>56</v>
      </c>
      <c r="Q376" s="4">
        <v>4</v>
      </c>
      <c r="R376" s="21">
        <f t="shared" si="22"/>
        <v>0.25725567620927942</v>
      </c>
      <c r="S376" t="str">
        <f t="shared" si="23"/>
        <v>Small</v>
      </c>
    </row>
    <row r="377" spans="1:19" x14ac:dyDescent="0.35">
      <c r="A377" s="4" t="s">
        <v>693</v>
      </c>
      <c r="B377" s="5">
        <v>45793</v>
      </c>
      <c r="C377" s="4" t="s">
        <v>694</v>
      </c>
      <c r="D377" s="4" t="s">
        <v>43</v>
      </c>
      <c r="E377" s="4" t="s">
        <v>36</v>
      </c>
      <c r="F377" s="4" t="s">
        <v>48</v>
      </c>
      <c r="G377" s="4" t="s">
        <v>49</v>
      </c>
      <c r="H377" s="4" t="s">
        <v>50</v>
      </c>
      <c r="I377" s="4">
        <v>3</v>
      </c>
      <c r="J377" s="6">
        <v>31.78</v>
      </c>
      <c r="K377" s="7">
        <v>0</v>
      </c>
      <c r="L377" s="6">
        <f t="shared" si="20"/>
        <v>95.34</v>
      </c>
      <c r="M377" s="6">
        <v>19.649999999999999</v>
      </c>
      <c r="N377" s="8">
        <f t="shared" si="21"/>
        <v>36.390000000000008</v>
      </c>
      <c r="O377" s="4" t="s">
        <v>84</v>
      </c>
      <c r="P377" s="4" t="s">
        <v>72</v>
      </c>
      <c r="Q377" s="4">
        <v>3</v>
      </c>
      <c r="R377" s="21">
        <f t="shared" si="22"/>
        <v>0.38168659534298305</v>
      </c>
      <c r="S377" t="str">
        <f t="shared" si="23"/>
        <v>Small</v>
      </c>
    </row>
    <row r="378" spans="1:19" x14ac:dyDescent="0.35">
      <c r="A378" s="4" t="s">
        <v>695</v>
      </c>
      <c r="B378" s="5">
        <v>45793</v>
      </c>
      <c r="C378" s="4" t="s">
        <v>341</v>
      </c>
      <c r="D378" s="4" t="s">
        <v>20</v>
      </c>
      <c r="E378" s="4" t="s">
        <v>87</v>
      </c>
      <c r="F378" s="4" t="s">
        <v>92</v>
      </c>
      <c r="G378" s="4" t="s">
        <v>23</v>
      </c>
      <c r="H378" s="4" t="s">
        <v>44</v>
      </c>
      <c r="I378" s="4">
        <v>1</v>
      </c>
      <c r="J378" s="6">
        <v>120.53</v>
      </c>
      <c r="K378" s="7">
        <v>0.2</v>
      </c>
      <c r="L378" s="6">
        <f t="shared" si="20"/>
        <v>96.424000000000007</v>
      </c>
      <c r="M378" s="6">
        <v>70.13</v>
      </c>
      <c r="N378" s="8">
        <f t="shared" si="21"/>
        <v>26.294000000000011</v>
      </c>
      <c r="O378" s="4" t="s">
        <v>60</v>
      </c>
      <c r="P378" s="4" t="s">
        <v>72</v>
      </c>
      <c r="Q378" s="4">
        <v>4</v>
      </c>
      <c r="R378" s="21">
        <f t="shared" si="22"/>
        <v>0.272691446113001</v>
      </c>
      <c r="S378" t="str">
        <f t="shared" si="23"/>
        <v>Small</v>
      </c>
    </row>
    <row r="379" spans="1:19" x14ac:dyDescent="0.35">
      <c r="A379" s="4" t="s">
        <v>696</v>
      </c>
      <c r="B379" s="5">
        <v>45793</v>
      </c>
      <c r="C379" s="4" t="s">
        <v>668</v>
      </c>
      <c r="D379" s="4" t="s">
        <v>43</v>
      </c>
      <c r="E379" s="4" t="s">
        <v>36</v>
      </c>
      <c r="F379" s="4" t="s">
        <v>37</v>
      </c>
      <c r="G379" s="4" t="s">
        <v>23</v>
      </c>
      <c r="H379" s="4" t="s">
        <v>71</v>
      </c>
      <c r="I379" s="4">
        <v>1</v>
      </c>
      <c r="J379" s="6">
        <v>69.77</v>
      </c>
      <c r="K379" s="7">
        <v>0</v>
      </c>
      <c r="L379" s="6">
        <f t="shared" si="20"/>
        <v>69.77</v>
      </c>
      <c r="M379" s="6">
        <v>33.06</v>
      </c>
      <c r="N379" s="8">
        <f t="shared" si="21"/>
        <v>36.709999999999994</v>
      </c>
      <c r="O379" s="4" t="s">
        <v>51</v>
      </c>
      <c r="P379" s="4" t="s">
        <v>26</v>
      </c>
      <c r="Q379" s="4">
        <v>2</v>
      </c>
      <c r="R379" s="21">
        <f t="shared" si="22"/>
        <v>0.52615737422961151</v>
      </c>
      <c r="S379" t="str">
        <f t="shared" si="23"/>
        <v>Small</v>
      </c>
    </row>
    <row r="380" spans="1:19" x14ac:dyDescent="0.35">
      <c r="A380" s="4" t="s">
        <v>697</v>
      </c>
      <c r="B380" s="5">
        <v>45793</v>
      </c>
      <c r="C380" s="4" t="s">
        <v>130</v>
      </c>
      <c r="D380" s="4" t="s">
        <v>20</v>
      </c>
      <c r="E380" s="4" t="s">
        <v>29</v>
      </c>
      <c r="F380" s="4" t="s">
        <v>30</v>
      </c>
      <c r="G380" s="4" t="s">
        <v>38</v>
      </c>
      <c r="H380" s="4" t="s">
        <v>89</v>
      </c>
      <c r="I380" s="4">
        <v>1</v>
      </c>
      <c r="J380" s="6">
        <v>729.45</v>
      </c>
      <c r="K380" s="7">
        <v>0.05</v>
      </c>
      <c r="L380" s="6">
        <f t="shared" si="20"/>
        <v>692.97749999999996</v>
      </c>
      <c r="M380" s="6">
        <v>650.62</v>
      </c>
      <c r="N380" s="8">
        <f t="shared" si="21"/>
        <v>42.357499999999959</v>
      </c>
      <c r="O380" s="4" t="s">
        <v>40</v>
      </c>
      <c r="P380" s="4" t="s">
        <v>118</v>
      </c>
      <c r="Q380" s="4">
        <v>3</v>
      </c>
      <c r="R380" s="21">
        <f t="shared" si="22"/>
        <v>6.1123918164731124E-2</v>
      </c>
      <c r="S380" t="str">
        <f t="shared" si="23"/>
        <v>Medium</v>
      </c>
    </row>
    <row r="381" spans="1:19" x14ac:dyDescent="0.35">
      <c r="A381" s="4" t="s">
        <v>698</v>
      </c>
      <c r="B381" s="5">
        <v>45793</v>
      </c>
      <c r="C381" s="4" t="s">
        <v>363</v>
      </c>
      <c r="D381" s="4" t="s">
        <v>43</v>
      </c>
      <c r="E381" s="4" t="s">
        <v>29</v>
      </c>
      <c r="F381" s="4" t="s">
        <v>108</v>
      </c>
      <c r="G381" s="4" t="s">
        <v>31</v>
      </c>
      <c r="H381" s="4" t="s">
        <v>147</v>
      </c>
      <c r="I381" s="4">
        <v>1</v>
      </c>
      <c r="J381" s="6">
        <v>117.5</v>
      </c>
      <c r="K381" s="7">
        <v>0.15</v>
      </c>
      <c r="L381" s="6">
        <f t="shared" si="20"/>
        <v>99.875</v>
      </c>
      <c r="M381" s="6">
        <v>70.37</v>
      </c>
      <c r="N381" s="8">
        <f t="shared" si="21"/>
        <v>29.504999999999995</v>
      </c>
      <c r="O381" s="4" t="s">
        <v>60</v>
      </c>
      <c r="P381" s="4" t="s">
        <v>26</v>
      </c>
      <c r="Q381" s="4">
        <v>3</v>
      </c>
      <c r="R381" s="21">
        <f t="shared" si="22"/>
        <v>0.2954192740926157</v>
      </c>
      <c r="S381" t="str">
        <f t="shared" si="23"/>
        <v>Small</v>
      </c>
    </row>
    <row r="382" spans="1:19" x14ac:dyDescent="0.35">
      <c r="A382" s="4" t="s">
        <v>699</v>
      </c>
      <c r="B382" s="5">
        <v>45793</v>
      </c>
      <c r="C382" s="4" t="s">
        <v>467</v>
      </c>
      <c r="D382" s="4" t="s">
        <v>20</v>
      </c>
      <c r="E382" s="4" t="s">
        <v>87</v>
      </c>
      <c r="F382" s="4" t="s">
        <v>124</v>
      </c>
      <c r="G382" s="4" t="s">
        <v>23</v>
      </c>
      <c r="H382" s="4" t="s">
        <v>44</v>
      </c>
      <c r="I382" s="4">
        <v>1</v>
      </c>
      <c r="J382" s="6">
        <v>96.47</v>
      </c>
      <c r="K382" s="7">
        <v>0</v>
      </c>
      <c r="L382" s="6">
        <f t="shared" si="20"/>
        <v>96.47</v>
      </c>
      <c r="M382" s="6">
        <v>39.86</v>
      </c>
      <c r="N382" s="8">
        <f t="shared" si="21"/>
        <v>56.61</v>
      </c>
      <c r="O382" s="4" t="s">
        <v>25</v>
      </c>
      <c r="P382" s="4" t="s">
        <v>118</v>
      </c>
      <c r="Q382" s="4">
        <v>4</v>
      </c>
      <c r="R382" s="21">
        <f t="shared" si="22"/>
        <v>0.58681455374727898</v>
      </c>
      <c r="S382" t="str">
        <f t="shared" si="23"/>
        <v>Small</v>
      </c>
    </row>
    <row r="383" spans="1:19" x14ac:dyDescent="0.35">
      <c r="A383" s="4" t="s">
        <v>700</v>
      </c>
      <c r="B383" s="5">
        <v>45793</v>
      </c>
      <c r="C383" s="4" t="s">
        <v>219</v>
      </c>
      <c r="D383" s="4" t="s">
        <v>20</v>
      </c>
      <c r="E383" s="4" t="s">
        <v>87</v>
      </c>
      <c r="F383" s="4" t="s">
        <v>92</v>
      </c>
      <c r="G383" s="4" t="s">
        <v>38</v>
      </c>
      <c r="H383" s="4" t="s">
        <v>96</v>
      </c>
      <c r="I383" s="4">
        <v>4</v>
      </c>
      <c r="J383" s="6">
        <v>212.09</v>
      </c>
      <c r="K383" s="7">
        <v>0.1</v>
      </c>
      <c r="L383" s="6">
        <f t="shared" si="20"/>
        <v>763.524</v>
      </c>
      <c r="M383" s="6">
        <v>175.65</v>
      </c>
      <c r="N383" s="8">
        <f t="shared" si="21"/>
        <v>60.923999999999978</v>
      </c>
      <c r="O383" s="4" t="s">
        <v>60</v>
      </c>
      <c r="P383" s="4" t="s">
        <v>97</v>
      </c>
      <c r="Q383" s="4">
        <v>5</v>
      </c>
      <c r="R383" s="21">
        <f t="shared" si="22"/>
        <v>7.9793169566379024E-2</v>
      </c>
      <c r="S383" t="str">
        <f t="shared" si="23"/>
        <v>Medium</v>
      </c>
    </row>
    <row r="384" spans="1:19" x14ac:dyDescent="0.35">
      <c r="A384" s="4" t="s">
        <v>701</v>
      </c>
      <c r="B384" s="5">
        <v>45794</v>
      </c>
      <c r="C384" s="4" t="s">
        <v>70</v>
      </c>
      <c r="D384" s="4" t="s">
        <v>20</v>
      </c>
      <c r="E384" s="4" t="s">
        <v>36</v>
      </c>
      <c r="F384" s="4" t="s">
        <v>37</v>
      </c>
      <c r="G384" s="4" t="s">
        <v>31</v>
      </c>
      <c r="H384" s="4" t="s">
        <v>64</v>
      </c>
      <c r="I384" s="4">
        <v>2</v>
      </c>
      <c r="J384" s="6">
        <v>156.79</v>
      </c>
      <c r="K384" s="7">
        <v>0.05</v>
      </c>
      <c r="L384" s="6">
        <f t="shared" si="20"/>
        <v>297.90099999999995</v>
      </c>
      <c r="M384" s="6">
        <v>115.37</v>
      </c>
      <c r="N384" s="8">
        <f t="shared" si="21"/>
        <v>67.160999999999945</v>
      </c>
      <c r="O384" s="4" t="s">
        <v>84</v>
      </c>
      <c r="P384" s="4" t="s">
        <v>61</v>
      </c>
      <c r="Q384" s="4">
        <v>5</v>
      </c>
      <c r="R384" s="21">
        <f t="shared" si="22"/>
        <v>0.22544738016992208</v>
      </c>
      <c r="S384" t="str">
        <f t="shared" si="23"/>
        <v>Small</v>
      </c>
    </row>
    <row r="385" spans="1:19" x14ac:dyDescent="0.35">
      <c r="A385" s="4" t="s">
        <v>702</v>
      </c>
      <c r="B385" s="5">
        <v>45794</v>
      </c>
      <c r="C385" s="4" t="s">
        <v>703</v>
      </c>
      <c r="D385" s="4" t="s">
        <v>47</v>
      </c>
      <c r="E385" s="4" t="s">
        <v>29</v>
      </c>
      <c r="F385" s="4" t="s">
        <v>30</v>
      </c>
      <c r="G385" s="4" t="s">
        <v>67</v>
      </c>
      <c r="H385" s="4" t="s">
        <v>140</v>
      </c>
      <c r="I385" s="4">
        <v>3</v>
      </c>
      <c r="J385" s="6">
        <v>99.57</v>
      </c>
      <c r="K385" s="7">
        <v>0</v>
      </c>
      <c r="L385" s="6">
        <f t="shared" si="20"/>
        <v>298.70999999999998</v>
      </c>
      <c r="M385" s="6">
        <v>65.83</v>
      </c>
      <c r="N385" s="8">
        <f t="shared" si="21"/>
        <v>101.21999999999997</v>
      </c>
      <c r="O385" s="4" t="s">
        <v>84</v>
      </c>
      <c r="P385" s="4" t="s">
        <v>56</v>
      </c>
      <c r="Q385" s="4">
        <v>5</v>
      </c>
      <c r="R385" s="21">
        <f t="shared" si="22"/>
        <v>0.3388570854675102</v>
      </c>
      <c r="S385" t="str">
        <f t="shared" si="23"/>
        <v>Small</v>
      </c>
    </row>
    <row r="386" spans="1:19" x14ac:dyDescent="0.35">
      <c r="A386" s="4" t="s">
        <v>704</v>
      </c>
      <c r="B386" s="5">
        <v>45794</v>
      </c>
      <c r="C386" s="4" t="s">
        <v>274</v>
      </c>
      <c r="D386" s="4" t="s">
        <v>43</v>
      </c>
      <c r="E386" s="4" t="s">
        <v>36</v>
      </c>
      <c r="F386" s="4" t="s">
        <v>37</v>
      </c>
      <c r="G386" s="4" t="s">
        <v>31</v>
      </c>
      <c r="H386" s="4" t="s">
        <v>32</v>
      </c>
      <c r="I386" s="4">
        <v>1</v>
      </c>
      <c r="J386" s="6">
        <v>107.73</v>
      </c>
      <c r="K386" s="7">
        <v>0.05</v>
      </c>
      <c r="L386" s="6">
        <f t="shared" ref="L386:L449" si="24">I386*J386*(1-K386)</f>
        <v>102.34350000000001</v>
      </c>
      <c r="M386" s="6">
        <v>67.95</v>
      </c>
      <c r="N386" s="8">
        <f t="shared" ref="N386:N449" si="25">L386-I386*M386</f>
        <v>34.393500000000003</v>
      </c>
      <c r="O386" s="4" t="s">
        <v>60</v>
      </c>
      <c r="P386" s="4" t="s">
        <v>56</v>
      </c>
      <c r="Q386" s="4">
        <v>4</v>
      </c>
      <c r="R386" s="21">
        <f t="shared" si="22"/>
        <v>0.33605944686277095</v>
      </c>
      <c r="S386" t="str">
        <f t="shared" si="23"/>
        <v>Small</v>
      </c>
    </row>
    <row r="387" spans="1:19" x14ac:dyDescent="0.35">
      <c r="A387" s="4" t="s">
        <v>705</v>
      </c>
      <c r="B387" s="5">
        <v>45795</v>
      </c>
      <c r="C387" s="4" t="s">
        <v>706</v>
      </c>
      <c r="D387" s="4" t="s">
        <v>20</v>
      </c>
      <c r="E387" s="4" t="s">
        <v>21</v>
      </c>
      <c r="F387" s="4" t="s">
        <v>22</v>
      </c>
      <c r="G387" s="4" t="s">
        <v>23</v>
      </c>
      <c r="H387" s="4" t="s">
        <v>44</v>
      </c>
      <c r="I387" s="4">
        <v>1</v>
      </c>
      <c r="J387" s="6">
        <v>79.290000000000006</v>
      </c>
      <c r="K387" s="7">
        <v>0</v>
      </c>
      <c r="L387" s="6">
        <f t="shared" si="24"/>
        <v>79.290000000000006</v>
      </c>
      <c r="M387" s="6">
        <v>38.75</v>
      </c>
      <c r="N387" s="8">
        <f t="shared" si="25"/>
        <v>40.540000000000006</v>
      </c>
      <c r="O387" s="4" t="s">
        <v>60</v>
      </c>
      <c r="P387" s="4" t="s">
        <v>61</v>
      </c>
      <c r="Q387" s="4">
        <v>4</v>
      </c>
      <c r="R387" s="21">
        <f t="shared" ref="R387:R450" si="26">IF(L387=0,0,N387/L387)</f>
        <v>0.51128767814352383</v>
      </c>
      <c r="S387" t="str">
        <f t="shared" ref="S387:S450" si="27">IF(L387&gt;=2000,"Large",IF(L387&gt;=500,"Medium","Small"))</f>
        <v>Small</v>
      </c>
    </row>
    <row r="388" spans="1:19" x14ac:dyDescent="0.35">
      <c r="A388" s="4" t="s">
        <v>707</v>
      </c>
      <c r="B388" s="5">
        <v>45795</v>
      </c>
      <c r="C388" s="4" t="s">
        <v>237</v>
      </c>
      <c r="D388" s="4" t="s">
        <v>20</v>
      </c>
      <c r="E388" s="4" t="s">
        <v>87</v>
      </c>
      <c r="F388" s="4" t="s">
        <v>88</v>
      </c>
      <c r="G388" s="4" t="s">
        <v>23</v>
      </c>
      <c r="H388" s="4" t="s">
        <v>71</v>
      </c>
      <c r="I388" s="4">
        <v>3</v>
      </c>
      <c r="J388" s="6">
        <v>113.25</v>
      </c>
      <c r="K388" s="7">
        <v>0</v>
      </c>
      <c r="L388" s="6">
        <f t="shared" si="24"/>
        <v>339.75</v>
      </c>
      <c r="M388" s="6">
        <v>57.25</v>
      </c>
      <c r="N388" s="8">
        <f t="shared" si="25"/>
        <v>168</v>
      </c>
      <c r="O388" s="4" t="s">
        <v>25</v>
      </c>
      <c r="P388" s="4" t="s">
        <v>97</v>
      </c>
      <c r="Q388" s="4">
        <v>5</v>
      </c>
      <c r="R388" s="21">
        <f t="shared" si="26"/>
        <v>0.49448123620309054</v>
      </c>
      <c r="S388" t="str">
        <f t="shared" si="27"/>
        <v>Small</v>
      </c>
    </row>
    <row r="389" spans="1:19" x14ac:dyDescent="0.35">
      <c r="A389" s="4" t="s">
        <v>708</v>
      </c>
      <c r="B389" s="5">
        <v>45796</v>
      </c>
      <c r="C389" s="4" t="s">
        <v>709</v>
      </c>
      <c r="D389" s="4" t="s">
        <v>47</v>
      </c>
      <c r="E389" s="4" t="s">
        <v>29</v>
      </c>
      <c r="F389" s="4" t="s">
        <v>54</v>
      </c>
      <c r="G389" s="4" t="s">
        <v>49</v>
      </c>
      <c r="H389" s="4" t="s">
        <v>50</v>
      </c>
      <c r="I389" s="4">
        <v>5</v>
      </c>
      <c r="J389" s="6">
        <v>34.14</v>
      </c>
      <c r="K389" s="7">
        <v>0</v>
      </c>
      <c r="L389" s="6">
        <f t="shared" si="24"/>
        <v>170.7</v>
      </c>
      <c r="M389" s="6">
        <v>21.43</v>
      </c>
      <c r="N389" s="8">
        <f t="shared" si="25"/>
        <v>63.549999999999983</v>
      </c>
      <c r="O389" s="4" t="s">
        <v>60</v>
      </c>
      <c r="P389" s="4" t="s">
        <v>118</v>
      </c>
      <c r="Q389" s="4">
        <v>2</v>
      </c>
      <c r="R389" s="21">
        <f t="shared" si="26"/>
        <v>0.37229056824838891</v>
      </c>
      <c r="S389" t="str">
        <f t="shared" si="27"/>
        <v>Small</v>
      </c>
    </row>
    <row r="390" spans="1:19" x14ac:dyDescent="0.35">
      <c r="A390" s="4" t="s">
        <v>710</v>
      </c>
      <c r="B390" s="5">
        <v>45796</v>
      </c>
      <c r="C390" s="4" t="s">
        <v>711</v>
      </c>
      <c r="D390" s="4" t="s">
        <v>43</v>
      </c>
      <c r="E390" s="4" t="s">
        <v>29</v>
      </c>
      <c r="F390" s="4" t="s">
        <v>108</v>
      </c>
      <c r="G390" s="4" t="s">
        <v>67</v>
      </c>
      <c r="H390" s="4" t="s">
        <v>121</v>
      </c>
      <c r="I390" s="4">
        <v>2</v>
      </c>
      <c r="J390" s="6">
        <v>167.04</v>
      </c>
      <c r="K390" s="7">
        <v>0</v>
      </c>
      <c r="L390" s="6">
        <f t="shared" si="24"/>
        <v>334.08</v>
      </c>
      <c r="M390" s="6">
        <v>110.17</v>
      </c>
      <c r="N390" s="8">
        <f t="shared" si="25"/>
        <v>113.73999999999998</v>
      </c>
      <c r="O390" s="4" t="s">
        <v>51</v>
      </c>
      <c r="P390" s="4" t="s">
        <v>72</v>
      </c>
      <c r="Q390" s="4">
        <v>4</v>
      </c>
      <c r="R390" s="21">
        <f t="shared" si="26"/>
        <v>0.34045737547892718</v>
      </c>
      <c r="S390" t="str">
        <f t="shared" si="27"/>
        <v>Small</v>
      </c>
    </row>
    <row r="391" spans="1:19" x14ac:dyDescent="0.35">
      <c r="A391" s="4" t="s">
        <v>712</v>
      </c>
      <c r="B391" s="5">
        <v>45796</v>
      </c>
      <c r="C391" s="4" t="s">
        <v>713</v>
      </c>
      <c r="D391" s="4" t="s">
        <v>47</v>
      </c>
      <c r="E391" s="4" t="s">
        <v>36</v>
      </c>
      <c r="F391" s="4" t="s">
        <v>201</v>
      </c>
      <c r="G391" s="4" t="s">
        <v>23</v>
      </c>
      <c r="H391" s="4" t="s">
        <v>24</v>
      </c>
      <c r="I391" s="4">
        <v>1</v>
      </c>
      <c r="J391" s="6">
        <v>61.1</v>
      </c>
      <c r="K391" s="7">
        <v>0.2</v>
      </c>
      <c r="L391" s="6">
        <f t="shared" si="24"/>
        <v>48.88</v>
      </c>
      <c r="M391" s="6">
        <v>26.83</v>
      </c>
      <c r="N391" s="8">
        <f t="shared" si="25"/>
        <v>22.050000000000004</v>
      </c>
      <c r="O391" s="4" t="s">
        <v>84</v>
      </c>
      <c r="P391" s="4" t="s">
        <v>75</v>
      </c>
      <c r="Q391" s="4">
        <v>2</v>
      </c>
      <c r="R391" s="21">
        <f t="shared" si="26"/>
        <v>0.45110474631751235</v>
      </c>
      <c r="S391" t="str">
        <f t="shared" si="27"/>
        <v>Small</v>
      </c>
    </row>
    <row r="392" spans="1:19" x14ac:dyDescent="0.35">
      <c r="A392" s="4" t="s">
        <v>714</v>
      </c>
      <c r="B392" s="5">
        <v>45797</v>
      </c>
      <c r="C392" s="4" t="s">
        <v>95</v>
      </c>
      <c r="D392" s="4" t="s">
        <v>20</v>
      </c>
      <c r="E392" s="4" t="s">
        <v>87</v>
      </c>
      <c r="F392" s="4" t="s">
        <v>88</v>
      </c>
      <c r="G392" s="4" t="s">
        <v>38</v>
      </c>
      <c r="H392" s="4" t="s">
        <v>96</v>
      </c>
      <c r="I392" s="4">
        <v>1</v>
      </c>
      <c r="J392" s="6">
        <v>511.86</v>
      </c>
      <c r="K392" s="7">
        <v>0.15</v>
      </c>
      <c r="L392" s="6">
        <f t="shared" si="24"/>
        <v>435.08100000000002</v>
      </c>
      <c r="M392" s="6">
        <v>385.82</v>
      </c>
      <c r="N392" s="8">
        <f t="shared" si="25"/>
        <v>49.261000000000024</v>
      </c>
      <c r="O392" s="4" t="s">
        <v>51</v>
      </c>
      <c r="P392" s="4" t="s">
        <v>97</v>
      </c>
      <c r="Q392" s="4">
        <v>4</v>
      </c>
      <c r="R392" s="21">
        <f t="shared" si="26"/>
        <v>0.11322259533282314</v>
      </c>
      <c r="S392" t="str">
        <f t="shared" si="27"/>
        <v>Small</v>
      </c>
    </row>
    <row r="393" spans="1:19" x14ac:dyDescent="0.35">
      <c r="A393" s="4" t="s">
        <v>715</v>
      </c>
      <c r="B393" s="5">
        <v>45797</v>
      </c>
      <c r="C393" s="4" t="s">
        <v>225</v>
      </c>
      <c r="D393" s="4" t="s">
        <v>43</v>
      </c>
      <c r="E393" s="4" t="s">
        <v>36</v>
      </c>
      <c r="F393" s="4" t="s">
        <v>48</v>
      </c>
      <c r="G393" s="4" t="s">
        <v>23</v>
      </c>
      <c r="H393" s="4" t="s">
        <v>44</v>
      </c>
      <c r="I393" s="4">
        <v>1</v>
      </c>
      <c r="J393" s="6">
        <v>106.25</v>
      </c>
      <c r="K393" s="7">
        <v>0.1</v>
      </c>
      <c r="L393" s="6">
        <f t="shared" si="24"/>
        <v>95.625</v>
      </c>
      <c r="M393" s="6">
        <v>57.11</v>
      </c>
      <c r="N393" s="8">
        <f t="shared" si="25"/>
        <v>38.515000000000001</v>
      </c>
      <c r="O393" s="4" t="s">
        <v>84</v>
      </c>
      <c r="P393" s="4" t="s">
        <v>33</v>
      </c>
      <c r="Q393" s="4">
        <v>4</v>
      </c>
      <c r="R393" s="21">
        <f t="shared" si="26"/>
        <v>0.40277124183006535</v>
      </c>
      <c r="S393" t="str">
        <f t="shared" si="27"/>
        <v>Small</v>
      </c>
    </row>
    <row r="394" spans="1:19" x14ac:dyDescent="0.35">
      <c r="A394" s="4" t="s">
        <v>716</v>
      </c>
      <c r="B394" s="5">
        <v>45797</v>
      </c>
      <c r="C394" s="4" t="s">
        <v>618</v>
      </c>
      <c r="D394" s="4" t="s">
        <v>47</v>
      </c>
      <c r="E394" s="4" t="s">
        <v>29</v>
      </c>
      <c r="F394" s="4" t="s">
        <v>108</v>
      </c>
      <c r="G394" s="4" t="s">
        <v>23</v>
      </c>
      <c r="H394" s="4" t="s">
        <v>71</v>
      </c>
      <c r="I394" s="4">
        <v>2</v>
      </c>
      <c r="J394" s="6">
        <v>50.86</v>
      </c>
      <c r="K394" s="7">
        <v>0.05</v>
      </c>
      <c r="L394" s="6">
        <f t="shared" si="24"/>
        <v>96.634</v>
      </c>
      <c r="M394" s="6">
        <v>32.58</v>
      </c>
      <c r="N394" s="8">
        <f t="shared" si="25"/>
        <v>31.474000000000004</v>
      </c>
      <c r="O394" s="4" t="s">
        <v>84</v>
      </c>
      <c r="P394" s="4" t="s">
        <v>33</v>
      </c>
      <c r="Q394" s="4">
        <v>4</v>
      </c>
      <c r="R394" s="21">
        <f t="shared" si="26"/>
        <v>0.32570316865699445</v>
      </c>
      <c r="S394" t="str">
        <f t="shared" si="27"/>
        <v>Small</v>
      </c>
    </row>
    <row r="395" spans="1:19" x14ac:dyDescent="0.35">
      <c r="A395" s="4" t="s">
        <v>717</v>
      </c>
      <c r="B395" s="5">
        <v>45798</v>
      </c>
      <c r="C395" s="4" t="s">
        <v>659</v>
      </c>
      <c r="D395" s="4" t="s">
        <v>20</v>
      </c>
      <c r="E395" s="4" t="s">
        <v>21</v>
      </c>
      <c r="F395" s="4" t="s">
        <v>59</v>
      </c>
      <c r="G395" s="4" t="s">
        <v>38</v>
      </c>
      <c r="H395" s="4" t="s">
        <v>39</v>
      </c>
      <c r="I395" s="4">
        <v>3</v>
      </c>
      <c r="J395" s="6">
        <v>112.73</v>
      </c>
      <c r="K395" s="7">
        <v>0.1</v>
      </c>
      <c r="L395" s="6">
        <f t="shared" si="24"/>
        <v>304.37099999999998</v>
      </c>
      <c r="M395" s="6">
        <v>93.47</v>
      </c>
      <c r="N395" s="8">
        <f t="shared" si="25"/>
        <v>23.961000000000013</v>
      </c>
      <c r="O395" s="4" t="s">
        <v>60</v>
      </c>
      <c r="P395" s="4" t="s">
        <v>118</v>
      </c>
      <c r="Q395" s="4">
        <v>4</v>
      </c>
      <c r="R395" s="21">
        <f t="shared" si="26"/>
        <v>7.872300580541515E-2</v>
      </c>
      <c r="S395" t="str">
        <f t="shared" si="27"/>
        <v>Small</v>
      </c>
    </row>
    <row r="396" spans="1:19" x14ac:dyDescent="0.35">
      <c r="A396" s="4" t="s">
        <v>718</v>
      </c>
      <c r="B396" s="5">
        <v>45798</v>
      </c>
      <c r="C396" s="4" t="s">
        <v>719</v>
      </c>
      <c r="D396" s="4" t="s">
        <v>43</v>
      </c>
      <c r="E396" s="4" t="s">
        <v>36</v>
      </c>
      <c r="F396" s="4" t="s">
        <v>201</v>
      </c>
      <c r="G396" s="4" t="s">
        <v>38</v>
      </c>
      <c r="H396" s="4" t="s">
        <v>96</v>
      </c>
      <c r="I396" s="4">
        <v>2</v>
      </c>
      <c r="J396" s="6">
        <v>431.96</v>
      </c>
      <c r="K396" s="7">
        <v>0.2</v>
      </c>
      <c r="L396" s="6">
        <f t="shared" si="24"/>
        <v>691.13599999999997</v>
      </c>
      <c r="M396" s="6">
        <v>358.36</v>
      </c>
      <c r="N396" s="8">
        <f t="shared" si="25"/>
        <v>-25.58400000000006</v>
      </c>
      <c r="O396" s="4" t="s">
        <v>84</v>
      </c>
      <c r="P396" s="4" t="s">
        <v>75</v>
      </c>
      <c r="Q396" s="4">
        <v>4</v>
      </c>
      <c r="R396" s="21">
        <f t="shared" si="26"/>
        <v>-3.7017316418186959E-2</v>
      </c>
      <c r="S396" t="str">
        <f t="shared" si="27"/>
        <v>Medium</v>
      </c>
    </row>
    <row r="397" spans="1:19" x14ac:dyDescent="0.35">
      <c r="A397" s="4" t="s">
        <v>720</v>
      </c>
      <c r="B397" s="5">
        <v>45798</v>
      </c>
      <c r="C397" s="4" t="s">
        <v>369</v>
      </c>
      <c r="D397" s="4" t="s">
        <v>20</v>
      </c>
      <c r="E397" s="4" t="s">
        <v>21</v>
      </c>
      <c r="F397" s="4" t="s">
        <v>59</v>
      </c>
      <c r="G397" s="4" t="s">
        <v>23</v>
      </c>
      <c r="H397" s="4" t="s">
        <v>71</v>
      </c>
      <c r="I397" s="4">
        <v>2</v>
      </c>
      <c r="J397" s="6">
        <v>172.22</v>
      </c>
      <c r="K397" s="7">
        <v>0</v>
      </c>
      <c r="L397" s="6">
        <f t="shared" si="24"/>
        <v>344.44</v>
      </c>
      <c r="M397" s="6">
        <v>87.67</v>
      </c>
      <c r="N397" s="8">
        <f t="shared" si="25"/>
        <v>169.1</v>
      </c>
      <c r="O397" s="4" t="s">
        <v>25</v>
      </c>
      <c r="P397" s="4" t="s">
        <v>75</v>
      </c>
      <c r="Q397" s="4">
        <v>3</v>
      </c>
      <c r="R397" s="21">
        <f t="shared" si="26"/>
        <v>0.49094181860411101</v>
      </c>
      <c r="S397" t="str">
        <f t="shared" si="27"/>
        <v>Small</v>
      </c>
    </row>
    <row r="398" spans="1:19" x14ac:dyDescent="0.35">
      <c r="A398" s="4" t="s">
        <v>721</v>
      </c>
      <c r="B398" s="5">
        <v>45799</v>
      </c>
      <c r="C398" s="4" t="s">
        <v>722</v>
      </c>
      <c r="D398" s="4" t="s">
        <v>47</v>
      </c>
      <c r="E398" s="4" t="s">
        <v>36</v>
      </c>
      <c r="F398" s="4" t="s">
        <v>48</v>
      </c>
      <c r="G398" s="4" t="s">
        <v>38</v>
      </c>
      <c r="H398" s="4" t="s">
        <v>39</v>
      </c>
      <c r="I398" s="4">
        <v>3</v>
      </c>
      <c r="J398" s="6">
        <v>108.44</v>
      </c>
      <c r="K398" s="7">
        <v>0</v>
      </c>
      <c r="L398" s="6">
        <f t="shared" si="24"/>
        <v>325.32</v>
      </c>
      <c r="M398" s="6">
        <v>84.85</v>
      </c>
      <c r="N398" s="8">
        <f t="shared" si="25"/>
        <v>70.77000000000001</v>
      </c>
      <c r="O398" s="4" t="s">
        <v>60</v>
      </c>
      <c r="P398" s="4" t="s">
        <v>61</v>
      </c>
      <c r="Q398" s="4">
        <v>5</v>
      </c>
      <c r="R398" s="21">
        <f t="shared" si="26"/>
        <v>0.21753965326447808</v>
      </c>
      <c r="S398" t="str">
        <f t="shared" si="27"/>
        <v>Small</v>
      </c>
    </row>
    <row r="399" spans="1:19" x14ac:dyDescent="0.35">
      <c r="A399" s="4" t="s">
        <v>723</v>
      </c>
      <c r="B399" s="5">
        <v>45799</v>
      </c>
      <c r="C399" s="4" t="s">
        <v>626</v>
      </c>
      <c r="D399" s="4" t="s">
        <v>43</v>
      </c>
      <c r="E399" s="4" t="s">
        <v>87</v>
      </c>
      <c r="F399" s="4" t="s">
        <v>92</v>
      </c>
      <c r="G399" s="4" t="s">
        <v>31</v>
      </c>
      <c r="H399" s="4" t="s">
        <v>32</v>
      </c>
      <c r="I399" s="4">
        <v>1</v>
      </c>
      <c r="J399" s="6">
        <v>192.02</v>
      </c>
      <c r="K399" s="7">
        <v>0.05</v>
      </c>
      <c r="L399" s="6">
        <f t="shared" si="24"/>
        <v>182.41900000000001</v>
      </c>
      <c r="M399" s="6">
        <v>137.28</v>
      </c>
      <c r="N399" s="8">
        <f t="shared" si="25"/>
        <v>45.13900000000001</v>
      </c>
      <c r="O399" s="4" t="s">
        <v>60</v>
      </c>
      <c r="P399" s="4" t="s">
        <v>61</v>
      </c>
      <c r="Q399" s="4">
        <v>4</v>
      </c>
      <c r="R399" s="21">
        <f t="shared" si="26"/>
        <v>0.24744681200971394</v>
      </c>
      <c r="S399" t="str">
        <f t="shared" si="27"/>
        <v>Small</v>
      </c>
    </row>
    <row r="400" spans="1:19" x14ac:dyDescent="0.35">
      <c r="A400" s="4" t="s">
        <v>724</v>
      </c>
      <c r="B400" s="5">
        <v>45799</v>
      </c>
      <c r="C400" s="4" t="s">
        <v>598</v>
      </c>
      <c r="D400" s="4" t="s">
        <v>47</v>
      </c>
      <c r="E400" s="4" t="s">
        <v>29</v>
      </c>
      <c r="F400" s="4" t="s">
        <v>54</v>
      </c>
      <c r="G400" s="4" t="s">
        <v>31</v>
      </c>
      <c r="H400" s="4" t="s">
        <v>32</v>
      </c>
      <c r="I400" s="4">
        <v>3</v>
      </c>
      <c r="J400" s="6">
        <v>318.41000000000003</v>
      </c>
      <c r="K400" s="7">
        <v>0.1</v>
      </c>
      <c r="L400" s="6">
        <f t="shared" si="24"/>
        <v>859.70699999999999</v>
      </c>
      <c r="M400" s="6">
        <v>212.51</v>
      </c>
      <c r="N400" s="8">
        <f t="shared" si="25"/>
        <v>222.17700000000002</v>
      </c>
      <c r="O400" s="4" t="s">
        <v>51</v>
      </c>
      <c r="P400" s="4" t="s">
        <v>118</v>
      </c>
      <c r="Q400" s="4">
        <v>2</v>
      </c>
      <c r="R400" s="21">
        <f t="shared" si="26"/>
        <v>0.25843339649438707</v>
      </c>
      <c r="S400" t="str">
        <f t="shared" si="27"/>
        <v>Medium</v>
      </c>
    </row>
    <row r="401" spans="1:19" x14ac:dyDescent="0.35">
      <c r="A401" s="4" t="s">
        <v>725</v>
      </c>
      <c r="B401" s="5">
        <v>45799</v>
      </c>
      <c r="C401" s="4" t="s">
        <v>726</v>
      </c>
      <c r="D401" s="4" t="s">
        <v>47</v>
      </c>
      <c r="E401" s="4" t="s">
        <v>29</v>
      </c>
      <c r="F401" s="4" t="s">
        <v>30</v>
      </c>
      <c r="G401" s="4" t="s">
        <v>67</v>
      </c>
      <c r="H401" s="4" t="s">
        <v>121</v>
      </c>
      <c r="I401" s="4">
        <v>2</v>
      </c>
      <c r="J401" s="6">
        <v>99.43</v>
      </c>
      <c r="K401" s="7">
        <v>0.2</v>
      </c>
      <c r="L401" s="6">
        <f t="shared" si="24"/>
        <v>159.08800000000002</v>
      </c>
      <c r="M401" s="6">
        <v>70.319999999999993</v>
      </c>
      <c r="N401" s="8">
        <f t="shared" si="25"/>
        <v>18.448000000000036</v>
      </c>
      <c r="O401" s="4" t="s">
        <v>40</v>
      </c>
      <c r="P401" s="4" t="s">
        <v>97</v>
      </c>
      <c r="Q401" s="4">
        <v>4</v>
      </c>
      <c r="R401" s="21">
        <f t="shared" si="26"/>
        <v>0.11596097757216153</v>
      </c>
      <c r="S401" t="str">
        <f t="shared" si="27"/>
        <v>Small</v>
      </c>
    </row>
    <row r="402" spans="1:19" x14ac:dyDescent="0.35">
      <c r="A402" s="4" t="s">
        <v>727</v>
      </c>
      <c r="B402" s="5">
        <v>45800</v>
      </c>
      <c r="C402" s="4" t="s">
        <v>442</v>
      </c>
      <c r="D402" s="4" t="s">
        <v>47</v>
      </c>
      <c r="E402" s="4" t="s">
        <v>29</v>
      </c>
      <c r="F402" s="4" t="s">
        <v>30</v>
      </c>
      <c r="G402" s="4" t="s">
        <v>38</v>
      </c>
      <c r="H402" s="4" t="s">
        <v>96</v>
      </c>
      <c r="I402" s="4">
        <v>3</v>
      </c>
      <c r="J402" s="6">
        <v>156.52000000000001</v>
      </c>
      <c r="K402" s="7">
        <v>0.2</v>
      </c>
      <c r="L402" s="6">
        <f t="shared" si="24"/>
        <v>375.64800000000008</v>
      </c>
      <c r="M402" s="6">
        <v>119.1</v>
      </c>
      <c r="N402" s="8">
        <f t="shared" si="25"/>
        <v>18.348000000000127</v>
      </c>
      <c r="O402" s="4" t="s">
        <v>60</v>
      </c>
      <c r="P402" s="4" t="s">
        <v>118</v>
      </c>
      <c r="Q402" s="4">
        <v>5</v>
      </c>
      <c r="R402" s="21">
        <f t="shared" si="26"/>
        <v>4.884359826220324E-2</v>
      </c>
      <c r="S402" t="str">
        <f t="shared" si="27"/>
        <v>Small</v>
      </c>
    </row>
    <row r="403" spans="1:19" x14ac:dyDescent="0.35">
      <c r="A403" s="4" t="s">
        <v>728</v>
      </c>
      <c r="B403" s="5">
        <v>45800</v>
      </c>
      <c r="C403" s="4" t="s">
        <v>729</v>
      </c>
      <c r="D403" s="4" t="s">
        <v>20</v>
      </c>
      <c r="E403" s="4" t="s">
        <v>21</v>
      </c>
      <c r="F403" s="4" t="s">
        <v>81</v>
      </c>
      <c r="G403" s="4" t="s">
        <v>23</v>
      </c>
      <c r="H403" s="4" t="s">
        <v>71</v>
      </c>
      <c r="I403" s="4">
        <v>3</v>
      </c>
      <c r="J403" s="6">
        <v>103.62</v>
      </c>
      <c r="K403" s="7">
        <v>0</v>
      </c>
      <c r="L403" s="6">
        <f t="shared" si="24"/>
        <v>310.86</v>
      </c>
      <c r="M403" s="6">
        <v>60.43</v>
      </c>
      <c r="N403" s="8">
        <f t="shared" si="25"/>
        <v>129.57000000000002</v>
      </c>
      <c r="O403" s="4" t="s">
        <v>84</v>
      </c>
      <c r="P403" s="4" t="s">
        <v>72</v>
      </c>
      <c r="Q403" s="4">
        <v>4</v>
      </c>
      <c r="R403" s="21">
        <f t="shared" si="26"/>
        <v>0.41681142636556656</v>
      </c>
      <c r="S403" t="str">
        <f t="shared" si="27"/>
        <v>Small</v>
      </c>
    </row>
    <row r="404" spans="1:19" x14ac:dyDescent="0.35">
      <c r="A404" s="4" t="s">
        <v>730</v>
      </c>
      <c r="B404" s="5">
        <v>45800</v>
      </c>
      <c r="C404" s="4" t="s">
        <v>631</v>
      </c>
      <c r="D404" s="4" t="s">
        <v>20</v>
      </c>
      <c r="E404" s="4" t="s">
        <v>21</v>
      </c>
      <c r="F404" s="4" t="s">
        <v>22</v>
      </c>
      <c r="G404" s="4" t="s">
        <v>31</v>
      </c>
      <c r="H404" s="4" t="s">
        <v>125</v>
      </c>
      <c r="I404" s="4">
        <v>1</v>
      </c>
      <c r="J404" s="6">
        <v>83.26</v>
      </c>
      <c r="K404" s="7">
        <v>0</v>
      </c>
      <c r="L404" s="6">
        <f t="shared" si="24"/>
        <v>83.26</v>
      </c>
      <c r="M404" s="6">
        <v>62.27</v>
      </c>
      <c r="N404" s="8">
        <f t="shared" si="25"/>
        <v>20.990000000000002</v>
      </c>
      <c r="O404" s="4" t="s">
        <v>40</v>
      </c>
      <c r="P404" s="4" t="s">
        <v>118</v>
      </c>
      <c r="Q404" s="4">
        <v>3</v>
      </c>
      <c r="R404" s="21">
        <f t="shared" si="26"/>
        <v>0.25210184962767235</v>
      </c>
      <c r="S404" t="str">
        <f t="shared" si="27"/>
        <v>Small</v>
      </c>
    </row>
    <row r="405" spans="1:19" x14ac:dyDescent="0.35">
      <c r="A405" s="4" t="s">
        <v>731</v>
      </c>
      <c r="B405" s="5">
        <v>45800</v>
      </c>
      <c r="C405" s="4" t="s">
        <v>732</v>
      </c>
      <c r="D405" s="4" t="s">
        <v>20</v>
      </c>
      <c r="E405" s="4" t="s">
        <v>21</v>
      </c>
      <c r="F405" s="4" t="s">
        <v>59</v>
      </c>
      <c r="G405" s="4" t="s">
        <v>67</v>
      </c>
      <c r="H405" s="4" t="s">
        <v>93</v>
      </c>
      <c r="I405" s="4">
        <v>3</v>
      </c>
      <c r="J405" s="6">
        <v>136.34</v>
      </c>
      <c r="K405" s="7">
        <v>0.15</v>
      </c>
      <c r="L405" s="6">
        <f t="shared" si="24"/>
        <v>347.66699999999997</v>
      </c>
      <c r="M405" s="6">
        <v>92.18</v>
      </c>
      <c r="N405" s="8">
        <f t="shared" si="25"/>
        <v>71.126999999999953</v>
      </c>
      <c r="O405" s="4" t="s">
        <v>60</v>
      </c>
      <c r="P405" s="4" t="s">
        <v>56</v>
      </c>
      <c r="Q405" s="4">
        <v>2</v>
      </c>
      <c r="R405" s="21">
        <f t="shared" si="26"/>
        <v>0.20458369646817201</v>
      </c>
      <c r="S405" t="str">
        <f t="shared" si="27"/>
        <v>Small</v>
      </c>
    </row>
    <row r="406" spans="1:19" x14ac:dyDescent="0.35">
      <c r="A406" s="4" t="s">
        <v>733</v>
      </c>
      <c r="B406" s="5">
        <v>45800</v>
      </c>
      <c r="C406" s="4" t="s">
        <v>734</v>
      </c>
      <c r="D406" s="4" t="s">
        <v>20</v>
      </c>
      <c r="E406" s="4" t="s">
        <v>87</v>
      </c>
      <c r="F406" s="4" t="s">
        <v>88</v>
      </c>
      <c r="G406" s="4" t="s">
        <v>23</v>
      </c>
      <c r="H406" s="4" t="s">
        <v>44</v>
      </c>
      <c r="I406" s="4">
        <v>3</v>
      </c>
      <c r="J406" s="6">
        <v>118.77</v>
      </c>
      <c r="K406" s="7">
        <v>0</v>
      </c>
      <c r="L406" s="6">
        <f t="shared" si="24"/>
        <v>356.31</v>
      </c>
      <c r="M406" s="6">
        <v>50.48</v>
      </c>
      <c r="N406" s="8">
        <f t="shared" si="25"/>
        <v>204.87</v>
      </c>
      <c r="O406" s="4" t="s">
        <v>60</v>
      </c>
      <c r="P406" s="4" t="s">
        <v>26</v>
      </c>
      <c r="Q406" s="4">
        <v>5</v>
      </c>
      <c r="R406" s="21">
        <f t="shared" si="26"/>
        <v>0.57497684600488341</v>
      </c>
      <c r="S406" t="str">
        <f t="shared" si="27"/>
        <v>Small</v>
      </c>
    </row>
    <row r="407" spans="1:19" x14ac:dyDescent="0.35">
      <c r="A407" s="4" t="s">
        <v>735</v>
      </c>
      <c r="B407" s="5">
        <v>45800</v>
      </c>
      <c r="C407" s="4" t="s">
        <v>294</v>
      </c>
      <c r="D407" s="4" t="s">
        <v>47</v>
      </c>
      <c r="E407" s="4" t="s">
        <v>36</v>
      </c>
      <c r="F407" s="4" t="s">
        <v>201</v>
      </c>
      <c r="G407" s="4" t="s">
        <v>67</v>
      </c>
      <c r="H407" s="4" t="s">
        <v>68</v>
      </c>
      <c r="I407" s="4">
        <v>1</v>
      </c>
      <c r="J407" s="6">
        <v>923</v>
      </c>
      <c r="K407" s="7">
        <v>0</v>
      </c>
      <c r="L407" s="6">
        <f t="shared" si="24"/>
        <v>923</v>
      </c>
      <c r="M407" s="6">
        <v>615.16</v>
      </c>
      <c r="N407" s="8">
        <f t="shared" si="25"/>
        <v>307.84000000000003</v>
      </c>
      <c r="O407" s="4" t="s">
        <v>40</v>
      </c>
      <c r="P407" s="4" t="s">
        <v>97</v>
      </c>
      <c r="Q407" s="4">
        <v>4</v>
      </c>
      <c r="R407" s="21">
        <f t="shared" si="26"/>
        <v>0.33352112676056339</v>
      </c>
      <c r="S407" t="str">
        <f t="shared" si="27"/>
        <v>Medium</v>
      </c>
    </row>
    <row r="408" spans="1:19" x14ac:dyDescent="0.35">
      <c r="A408" s="4" t="s">
        <v>736</v>
      </c>
      <c r="B408" s="5">
        <v>45800</v>
      </c>
      <c r="C408" s="4" t="s">
        <v>429</v>
      </c>
      <c r="D408" s="4" t="s">
        <v>47</v>
      </c>
      <c r="E408" s="4" t="s">
        <v>87</v>
      </c>
      <c r="F408" s="4" t="s">
        <v>124</v>
      </c>
      <c r="G408" s="4" t="s">
        <v>38</v>
      </c>
      <c r="H408" s="4" t="s">
        <v>55</v>
      </c>
      <c r="I408" s="4">
        <v>2</v>
      </c>
      <c r="J408" s="6">
        <v>78.040000000000006</v>
      </c>
      <c r="K408" s="7">
        <v>0.1</v>
      </c>
      <c r="L408" s="6">
        <f t="shared" si="24"/>
        <v>140.47200000000001</v>
      </c>
      <c r="M408" s="6">
        <v>69.42</v>
      </c>
      <c r="N408" s="8">
        <f t="shared" si="25"/>
        <v>1.632000000000005</v>
      </c>
      <c r="O408" s="4" t="s">
        <v>51</v>
      </c>
      <c r="P408" s="4" t="s">
        <v>97</v>
      </c>
      <c r="Q408" s="4">
        <v>3</v>
      </c>
      <c r="R408" s="21">
        <f t="shared" si="26"/>
        <v>1.161797368870668E-2</v>
      </c>
      <c r="S408" t="str">
        <f t="shared" si="27"/>
        <v>Small</v>
      </c>
    </row>
    <row r="409" spans="1:19" x14ac:dyDescent="0.35">
      <c r="A409" s="4" t="s">
        <v>737</v>
      </c>
      <c r="B409" s="5">
        <v>45800</v>
      </c>
      <c r="C409" s="4" t="s">
        <v>264</v>
      </c>
      <c r="D409" s="4" t="s">
        <v>47</v>
      </c>
      <c r="E409" s="4" t="s">
        <v>21</v>
      </c>
      <c r="F409" s="4" t="s">
        <v>22</v>
      </c>
      <c r="G409" s="4" t="s">
        <v>23</v>
      </c>
      <c r="H409" s="4" t="s">
        <v>44</v>
      </c>
      <c r="I409" s="4">
        <v>3</v>
      </c>
      <c r="J409" s="6">
        <v>125.85</v>
      </c>
      <c r="K409" s="7">
        <v>0</v>
      </c>
      <c r="L409" s="6">
        <f t="shared" si="24"/>
        <v>377.54999999999995</v>
      </c>
      <c r="M409" s="6">
        <v>78.55</v>
      </c>
      <c r="N409" s="8">
        <f t="shared" si="25"/>
        <v>141.89999999999998</v>
      </c>
      <c r="O409" s="4" t="s">
        <v>40</v>
      </c>
      <c r="P409" s="4" t="s">
        <v>61</v>
      </c>
      <c r="Q409" s="4">
        <v>4</v>
      </c>
      <c r="R409" s="21">
        <f t="shared" si="26"/>
        <v>0.37584425903853791</v>
      </c>
      <c r="S409" t="str">
        <f t="shared" si="27"/>
        <v>Small</v>
      </c>
    </row>
    <row r="410" spans="1:19" x14ac:dyDescent="0.35">
      <c r="A410" s="4" t="s">
        <v>738</v>
      </c>
      <c r="B410" s="5">
        <v>45800</v>
      </c>
      <c r="C410" s="4" t="s">
        <v>739</v>
      </c>
      <c r="D410" s="4" t="s">
        <v>43</v>
      </c>
      <c r="E410" s="4" t="s">
        <v>36</v>
      </c>
      <c r="F410" s="4" t="s">
        <v>201</v>
      </c>
      <c r="G410" s="4" t="s">
        <v>38</v>
      </c>
      <c r="H410" s="4" t="s">
        <v>89</v>
      </c>
      <c r="I410" s="4">
        <v>3</v>
      </c>
      <c r="J410" s="6">
        <v>1148.45</v>
      </c>
      <c r="K410" s="7">
        <v>0.05</v>
      </c>
      <c r="L410" s="6">
        <f t="shared" si="24"/>
        <v>3273.0825</v>
      </c>
      <c r="M410" s="6">
        <v>987.71</v>
      </c>
      <c r="N410" s="8">
        <f t="shared" si="25"/>
        <v>309.95249999999987</v>
      </c>
      <c r="O410" s="4" t="s">
        <v>40</v>
      </c>
      <c r="P410" s="4" t="s">
        <v>97</v>
      </c>
      <c r="Q410" s="4">
        <v>4</v>
      </c>
      <c r="R410" s="21">
        <f t="shared" si="26"/>
        <v>9.4697429716482817E-2</v>
      </c>
      <c r="S410" t="str">
        <f t="shared" si="27"/>
        <v>Large</v>
      </c>
    </row>
    <row r="411" spans="1:19" x14ac:dyDescent="0.35">
      <c r="A411" s="4" t="s">
        <v>740</v>
      </c>
      <c r="B411" s="5">
        <v>45801</v>
      </c>
      <c r="C411" s="4" t="s">
        <v>127</v>
      </c>
      <c r="D411" s="4" t="s">
        <v>43</v>
      </c>
      <c r="E411" s="4" t="s">
        <v>29</v>
      </c>
      <c r="F411" s="4" t="s">
        <v>54</v>
      </c>
      <c r="G411" s="4" t="s">
        <v>31</v>
      </c>
      <c r="H411" s="4" t="s">
        <v>147</v>
      </c>
      <c r="I411" s="4">
        <v>3</v>
      </c>
      <c r="J411" s="6">
        <v>76.31</v>
      </c>
      <c r="K411" s="7">
        <v>0.2</v>
      </c>
      <c r="L411" s="6">
        <f t="shared" si="24"/>
        <v>183.14400000000001</v>
      </c>
      <c r="M411" s="6">
        <v>57.18</v>
      </c>
      <c r="N411" s="8">
        <f t="shared" si="25"/>
        <v>11.604000000000013</v>
      </c>
      <c r="O411" s="4" t="s">
        <v>25</v>
      </c>
      <c r="P411" s="4" t="s">
        <v>97</v>
      </c>
      <c r="Q411" s="4">
        <v>2</v>
      </c>
      <c r="R411" s="21">
        <f t="shared" si="26"/>
        <v>6.3359979032892227E-2</v>
      </c>
      <c r="S411" t="str">
        <f t="shared" si="27"/>
        <v>Small</v>
      </c>
    </row>
    <row r="412" spans="1:19" x14ac:dyDescent="0.35">
      <c r="A412" s="4" t="s">
        <v>741</v>
      </c>
      <c r="B412" s="5">
        <v>45802</v>
      </c>
      <c r="C412" s="4" t="s">
        <v>258</v>
      </c>
      <c r="D412" s="4" t="s">
        <v>20</v>
      </c>
      <c r="E412" s="4" t="s">
        <v>36</v>
      </c>
      <c r="F412" s="4" t="s">
        <v>48</v>
      </c>
      <c r="G412" s="4" t="s">
        <v>49</v>
      </c>
      <c r="H412" s="4" t="s">
        <v>50</v>
      </c>
      <c r="I412" s="4">
        <v>5</v>
      </c>
      <c r="J412" s="6">
        <v>25.88</v>
      </c>
      <c r="K412" s="7">
        <v>0.1</v>
      </c>
      <c r="L412" s="6">
        <f t="shared" si="24"/>
        <v>116.46000000000001</v>
      </c>
      <c r="M412" s="6">
        <v>14.99</v>
      </c>
      <c r="N412" s="8">
        <f t="shared" si="25"/>
        <v>41.510000000000005</v>
      </c>
      <c r="O412" s="4" t="s">
        <v>84</v>
      </c>
      <c r="P412" s="4" t="s">
        <v>61</v>
      </c>
      <c r="Q412" s="4">
        <v>4</v>
      </c>
      <c r="R412" s="21">
        <f t="shared" si="26"/>
        <v>0.35643139275287655</v>
      </c>
      <c r="S412" t="str">
        <f t="shared" si="27"/>
        <v>Small</v>
      </c>
    </row>
    <row r="413" spans="1:19" x14ac:dyDescent="0.35">
      <c r="A413" s="4" t="s">
        <v>742</v>
      </c>
      <c r="B413" s="5">
        <v>45802</v>
      </c>
      <c r="C413" s="4" t="s">
        <v>172</v>
      </c>
      <c r="D413" s="4" t="s">
        <v>43</v>
      </c>
      <c r="E413" s="4" t="s">
        <v>21</v>
      </c>
      <c r="F413" s="4" t="s">
        <v>59</v>
      </c>
      <c r="G413" s="4" t="s">
        <v>49</v>
      </c>
      <c r="H413" s="4" t="s">
        <v>128</v>
      </c>
      <c r="I413" s="4">
        <v>3</v>
      </c>
      <c r="J413" s="6">
        <v>62.36</v>
      </c>
      <c r="K413" s="7">
        <v>0.05</v>
      </c>
      <c r="L413" s="6">
        <f t="shared" si="24"/>
        <v>177.72599999999997</v>
      </c>
      <c r="M413" s="6">
        <v>41.9</v>
      </c>
      <c r="N413" s="8">
        <f t="shared" si="25"/>
        <v>52.025999999999982</v>
      </c>
      <c r="O413" s="4" t="s">
        <v>84</v>
      </c>
      <c r="P413" s="4" t="s">
        <v>61</v>
      </c>
      <c r="Q413" s="4">
        <v>1</v>
      </c>
      <c r="R413" s="21">
        <f t="shared" si="26"/>
        <v>0.29273150805171999</v>
      </c>
      <c r="S413" t="str">
        <f t="shared" si="27"/>
        <v>Small</v>
      </c>
    </row>
    <row r="414" spans="1:19" x14ac:dyDescent="0.35">
      <c r="A414" s="4" t="s">
        <v>743</v>
      </c>
      <c r="B414" s="5">
        <v>45802</v>
      </c>
      <c r="C414" s="4" t="s">
        <v>744</v>
      </c>
      <c r="D414" s="4" t="s">
        <v>47</v>
      </c>
      <c r="E414" s="4" t="s">
        <v>36</v>
      </c>
      <c r="F414" s="4" t="s">
        <v>201</v>
      </c>
      <c r="G414" s="4" t="s">
        <v>38</v>
      </c>
      <c r="H414" s="4" t="s">
        <v>39</v>
      </c>
      <c r="I414" s="4">
        <v>2</v>
      </c>
      <c r="J414" s="6">
        <v>168.24</v>
      </c>
      <c r="K414" s="7">
        <v>0.15</v>
      </c>
      <c r="L414" s="6">
        <f t="shared" si="24"/>
        <v>286.00799999999998</v>
      </c>
      <c r="M414" s="6">
        <v>141.61000000000001</v>
      </c>
      <c r="N414" s="8">
        <f t="shared" si="25"/>
        <v>2.7879999999999541</v>
      </c>
      <c r="O414" s="4" t="s">
        <v>60</v>
      </c>
      <c r="P414" s="4" t="s">
        <v>118</v>
      </c>
      <c r="Q414" s="4">
        <v>2</v>
      </c>
      <c r="R414" s="21">
        <f t="shared" si="26"/>
        <v>9.7479790775081617E-3</v>
      </c>
      <c r="S414" t="str">
        <f t="shared" si="27"/>
        <v>Small</v>
      </c>
    </row>
    <row r="415" spans="1:19" x14ac:dyDescent="0.35">
      <c r="A415" s="4" t="s">
        <v>745</v>
      </c>
      <c r="B415" s="5">
        <v>45803</v>
      </c>
      <c r="C415" s="4" t="s">
        <v>746</v>
      </c>
      <c r="D415" s="4" t="s">
        <v>20</v>
      </c>
      <c r="E415" s="4" t="s">
        <v>29</v>
      </c>
      <c r="F415" s="4" t="s">
        <v>108</v>
      </c>
      <c r="G415" s="4" t="s">
        <v>31</v>
      </c>
      <c r="H415" s="4" t="s">
        <v>147</v>
      </c>
      <c r="I415" s="4">
        <v>5</v>
      </c>
      <c r="J415" s="6">
        <v>63.52</v>
      </c>
      <c r="K415" s="7">
        <v>0.05</v>
      </c>
      <c r="L415" s="6">
        <f t="shared" si="24"/>
        <v>301.72000000000003</v>
      </c>
      <c r="M415" s="6">
        <v>44.95</v>
      </c>
      <c r="N415" s="8">
        <f t="shared" si="25"/>
        <v>76.970000000000027</v>
      </c>
      <c r="O415" s="4" t="s">
        <v>84</v>
      </c>
      <c r="P415" s="4" t="s">
        <v>56</v>
      </c>
      <c r="Q415" s="4">
        <v>1</v>
      </c>
      <c r="R415" s="21">
        <f t="shared" si="26"/>
        <v>0.25510406999867435</v>
      </c>
      <c r="S415" t="str">
        <f t="shared" si="27"/>
        <v>Small</v>
      </c>
    </row>
    <row r="416" spans="1:19" x14ac:dyDescent="0.35">
      <c r="A416" s="4" t="s">
        <v>747</v>
      </c>
      <c r="B416" s="5">
        <v>45803</v>
      </c>
      <c r="C416" s="4" t="s">
        <v>162</v>
      </c>
      <c r="D416" s="4" t="s">
        <v>20</v>
      </c>
      <c r="E416" s="4" t="s">
        <v>21</v>
      </c>
      <c r="F416" s="4" t="s">
        <v>22</v>
      </c>
      <c r="G416" s="4" t="s">
        <v>38</v>
      </c>
      <c r="H416" s="4" t="s">
        <v>89</v>
      </c>
      <c r="I416" s="4">
        <v>4</v>
      </c>
      <c r="J416" s="6">
        <v>1003.41</v>
      </c>
      <c r="K416" s="7">
        <v>0</v>
      </c>
      <c r="L416" s="6">
        <f t="shared" si="24"/>
        <v>4013.64</v>
      </c>
      <c r="M416" s="6">
        <v>764.9</v>
      </c>
      <c r="N416" s="8">
        <f t="shared" si="25"/>
        <v>954.04</v>
      </c>
      <c r="O416" s="4" t="s">
        <v>60</v>
      </c>
      <c r="P416" s="4" t="s">
        <v>33</v>
      </c>
      <c r="Q416" s="4">
        <v>5</v>
      </c>
      <c r="R416" s="21">
        <f t="shared" si="26"/>
        <v>0.23769944489291517</v>
      </c>
      <c r="S416" t="str">
        <f t="shared" si="27"/>
        <v>Large</v>
      </c>
    </row>
    <row r="417" spans="1:19" x14ac:dyDescent="0.35">
      <c r="A417" s="4" t="s">
        <v>748</v>
      </c>
      <c r="B417" s="5">
        <v>45803</v>
      </c>
      <c r="C417" s="4" t="s">
        <v>749</v>
      </c>
      <c r="D417" s="4" t="s">
        <v>47</v>
      </c>
      <c r="E417" s="4" t="s">
        <v>21</v>
      </c>
      <c r="F417" s="4" t="s">
        <v>22</v>
      </c>
      <c r="G417" s="4" t="s">
        <v>38</v>
      </c>
      <c r="H417" s="4" t="s">
        <v>39</v>
      </c>
      <c r="I417" s="4">
        <v>2</v>
      </c>
      <c r="J417" s="6">
        <v>143.16</v>
      </c>
      <c r="K417" s="7">
        <v>0.1</v>
      </c>
      <c r="L417" s="6">
        <f t="shared" si="24"/>
        <v>257.68799999999999</v>
      </c>
      <c r="M417" s="6">
        <v>116.15</v>
      </c>
      <c r="N417" s="8">
        <f t="shared" si="25"/>
        <v>25.387999999999977</v>
      </c>
      <c r="O417" s="4" t="s">
        <v>84</v>
      </c>
      <c r="P417" s="4" t="s">
        <v>97</v>
      </c>
      <c r="Q417" s="4">
        <v>4</v>
      </c>
      <c r="R417" s="21">
        <f t="shared" si="26"/>
        <v>9.8522243953928695E-2</v>
      </c>
      <c r="S417" t="str">
        <f t="shared" si="27"/>
        <v>Small</v>
      </c>
    </row>
    <row r="418" spans="1:19" x14ac:dyDescent="0.35">
      <c r="A418" s="4" t="s">
        <v>750</v>
      </c>
      <c r="B418" s="5">
        <v>45804</v>
      </c>
      <c r="C418" s="4" t="s">
        <v>751</v>
      </c>
      <c r="D418" s="4" t="s">
        <v>47</v>
      </c>
      <c r="E418" s="4" t="s">
        <v>87</v>
      </c>
      <c r="F418" s="4" t="s">
        <v>92</v>
      </c>
      <c r="G418" s="4" t="s">
        <v>31</v>
      </c>
      <c r="H418" s="4" t="s">
        <v>32</v>
      </c>
      <c r="I418" s="4">
        <v>5</v>
      </c>
      <c r="J418" s="6">
        <v>177</v>
      </c>
      <c r="K418" s="7">
        <v>0.1</v>
      </c>
      <c r="L418" s="6">
        <f t="shared" si="24"/>
        <v>796.5</v>
      </c>
      <c r="M418" s="6">
        <v>98.2</v>
      </c>
      <c r="N418" s="8">
        <f t="shared" si="25"/>
        <v>305.5</v>
      </c>
      <c r="O418" s="4" t="s">
        <v>51</v>
      </c>
      <c r="P418" s="4" t="s">
        <v>61</v>
      </c>
      <c r="Q418" s="4">
        <v>4</v>
      </c>
      <c r="R418" s="21">
        <f t="shared" si="26"/>
        <v>0.38355304456999373</v>
      </c>
      <c r="S418" t="str">
        <f t="shared" si="27"/>
        <v>Medium</v>
      </c>
    </row>
    <row r="419" spans="1:19" x14ac:dyDescent="0.35">
      <c r="A419" s="4" t="s">
        <v>752</v>
      </c>
      <c r="B419" s="5">
        <v>45804</v>
      </c>
      <c r="C419" s="4" t="s">
        <v>706</v>
      </c>
      <c r="D419" s="4" t="s">
        <v>47</v>
      </c>
      <c r="E419" s="4" t="s">
        <v>36</v>
      </c>
      <c r="F419" s="4" t="s">
        <v>37</v>
      </c>
      <c r="G419" s="4" t="s">
        <v>38</v>
      </c>
      <c r="H419" s="4" t="s">
        <v>109</v>
      </c>
      <c r="I419" s="4">
        <v>1</v>
      </c>
      <c r="J419" s="6">
        <v>906.04</v>
      </c>
      <c r="K419" s="7">
        <v>0</v>
      </c>
      <c r="L419" s="6">
        <f t="shared" si="24"/>
        <v>906.04</v>
      </c>
      <c r="M419" s="6">
        <v>792.6</v>
      </c>
      <c r="N419" s="8">
        <f t="shared" si="25"/>
        <v>113.43999999999994</v>
      </c>
      <c r="O419" s="4" t="s">
        <v>84</v>
      </c>
      <c r="P419" s="4" t="s">
        <v>56</v>
      </c>
      <c r="Q419" s="4">
        <v>5</v>
      </c>
      <c r="R419" s="21">
        <f t="shared" si="26"/>
        <v>0.12520418524568447</v>
      </c>
      <c r="S419" t="str">
        <f t="shared" si="27"/>
        <v>Medium</v>
      </c>
    </row>
    <row r="420" spans="1:19" x14ac:dyDescent="0.35">
      <c r="A420" s="4" t="s">
        <v>753</v>
      </c>
      <c r="B420" s="5">
        <v>45804</v>
      </c>
      <c r="C420" s="4" t="s">
        <v>485</v>
      </c>
      <c r="D420" s="4" t="s">
        <v>20</v>
      </c>
      <c r="E420" s="4" t="s">
        <v>29</v>
      </c>
      <c r="F420" s="4" t="s">
        <v>54</v>
      </c>
      <c r="G420" s="4" t="s">
        <v>23</v>
      </c>
      <c r="H420" s="4" t="s">
        <v>44</v>
      </c>
      <c r="I420" s="4">
        <v>1</v>
      </c>
      <c r="J420" s="6">
        <v>133.32</v>
      </c>
      <c r="K420" s="7">
        <v>0</v>
      </c>
      <c r="L420" s="6">
        <f t="shared" si="24"/>
        <v>133.32</v>
      </c>
      <c r="M420" s="6">
        <v>86.14</v>
      </c>
      <c r="N420" s="8">
        <f t="shared" si="25"/>
        <v>47.179999999999993</v>
      </c>
      <c r="O420" s="4" t="s">
        <v>51</v>
      </c>
      <c r="P420" s="4" t="s">
        <v>33</v>
      </c>
      <c r="Q420" s="4">
        <v>4</v>
      </c>
      <c r="R420" s="21">
        <f t="shared" si="26"/>
        <v>0.35388538853885387</v>
      </c>
      <c r="S420" t="str">
        <f t="shared" si="27"/>
        <v>Small</v>
      </c>
    </row>
    <row r="421" spans="1:19" x14ac:dyDescent="0.35">
      <c r="A421" s="4" t="s">
        <v>754</v>
      </c>
      <c r="B421" s="5">
        <v>45805</v>
      </c>
      <c r="C421" s="4" t="s">
        <v>755</v>
      </c>
      <c r="D421" s="4" t="s">
        <v>20</v>
      </c>
      <c r="E421" s="4" t="s">
        <v>36</v>
      </c>
      <c r="F421" s="4" t="s">
        <v>37</v>
      </c>
      <c r="G421" s="4" t="s">
        <v>31</v>
      </c>
      <c r="H421" s="4" t="s">
        <v>32</v>
      </c>
      <c r="I421" s="4">
        <v>2</v>
      </c>
      <c r="J421" s="6">
        <v>298.48</v>
      </c>
      <c r="K421" s="7">
        <v>0</v>
      </c>
      <c r="L421" s="6">
        <f t="shared" si="24"/>
        <v>596.96</v>
      </c>
      <c r="M421" s="6">
        <v>211.55</v>
      </c>
      <c r="N421" s="8">
        <f t="shared" si="25"/>
        <v>173.86</v>
      </c>
      <c r="O421" s="4" t="s">
        <v>60</v>
      </c>
      <c r="P421" s="4" t="s">
        <v>61</v>
      </c>
      <c r="Q421" s="4">
        <v>5</v>
      </c>
      <c r="R421" s="21">
        <f t="shared" si="26"/>
        <v>0.29124229429107479</v>
      </c>
      <c r="S421" t="str">
        <f t="shared" si="27"/>
        <v>Medium</v>
      </c>
    </row>
    <row r="422" spans="1:19" x14ac:dyDescent="0.35">
      <c r="A422" s="4" t="s">
        <v>756</v>
      </c>
      <c r="B422" s="5">
        <v>45806</v>
      </c>
      <c r="C422" s="4" t="s">
        <v>469</v>
      </c>
      <c r="D422" s="4" t="s">
        <v>20</v>
      </c>
      <c r="E422" s="4" t="s">
        <v>36</v>
      </c>
      <c r="F422" s="4" t="s">
        <v>201</v>
      </c>
      <c r="G422" s="4" t="s">
        <v>23</v>
      </c>
      <c r="H422" s="4" t="s">
        <v>135</v>
      </c>
      <c r="I422" s="4">
        <v>1</v>
      </c>
      <c r="J422" s="6">
        <v>24.93</v>
      </c>
      <c r="K422" s="7">
        <v>0</v>
      </c>
      <c r="L422" s="6">
        <f t="shared" si="24"/>
        <v>24.93</v>
      </c>
      <c r="M422" s="6">
        <v>11.33</v>
      </c>
      <c r="N422" s="8">
        <f t="shared" si="25"/>
        <v>13.6</v>
      </c>
      <c r="O422" s="4" t="s">
        <v>60</v>
      </c>
      <c r="P422" s="4" t="s">
        <v>118</v>
      </c>
      <c r="Q422" s="4">
        <v>5</v>
      </c>
      <c r="R422" s="21">
        <f t="shared" si="26"/>
        <v>0.54552747693541914</v>
      </c>
      <c r="S422" t="str">
        <f t="shared" si="27"/>
        <v>Small</v>
      </c>
    </row>
    <row r="423" spans="1:19" x14ac:dyDescent="0.35">
      <c r="A423" s="4" t="s">
        <v>757</v>
      </c>
      <c r="B423" s="5">
        <v>45807</v>
      </c>
      <c r="C423" s="4" t="s">
        <v>305</v>
      </c>
      <c r="D423" s="4" t="s">
        <v>20</v>
      </c>
      <c r="E423" s="4" t="s">
        <v>87</v>
      </c>
      <c r="F423" s="4" t="s">
        <v>92</v>
      </c>
      <c r="G423" s="4" t="s">
        <v>49</v>
      </c>
      <c r="H423" s="4" t="s">
        <v>128</v>
      </c>
      <c r="I423" s="4">
        <v>1</v>
      </c>
      <c r="J423" s="6">
        <v>83.03</v>
      </c>
      <c r="K423" s="7">
        <v>0</v>
      </c>
      <c r="L423" s="6">
        <f t="shared" si="24"/>
        <v>83.03</v>
      </c>
      <c r="M423" s="6">
        <v>51.87</v>
      </c>
      <c r="N423" s="8">
        <f t="shared" si="25"/>
        <v>31.160000000000004</v>
      </c>
      <c r="O423" s="4" t="s">
        <v>40</v>
      </c>
      <c r="P423" s="4" t="s">
        <v>26</v>
      </c>
      <c r="Q423" s="4">
        <v>3</v>
      </c>
      <c r="R423" s="21">
        <f t="shared" si="26"/>
        <v>0.37528604118993136</v>
      </c>
      <c r="S423" t="str">
        <f t="shared" si="27"/>
        <v>Small</v>
      </c>
    </row>
    <row r="424" spans="1:19" x14ac:dyDescent="0.35">
      <c r="A424" s="4" t="s">
        <v>758</v>
      </c>
      <c r="B424" s="5">
        <v>45807</v>
      </c>
      <c r="C424" s="4" t="s">
        <v>488</v>
      </c>
      <c r="D424" s="4" t="s">
        <v>43</v>
      </c>
      <c r="E424" s="4" t="s">
        <v>87</v>
      </c>
      <c r="F424" s="4" t="s">
        <v>92</v>
      </c>
      <c r="G424" s="4" t="s">
        <v>31</v>
      </c>
      <c r="H424" s="4" t="s">
        <v>147</v>
      </c>
      <c r="I424" s="4">
        <v>1</v>
      </c>
      <c r="J424" s="6">
        <v>30.13</v>
      </c>
      <c r="K424" s="7">
        <v>0.1</v>
      </c>
      <c r="L424" s="6">
        <f t="shared" si="24"/>
        <v>27.117000000000001</v>
      </c>
      <c r="M424" s="6">
        <v>20.399999999999999</v>
      </c>
      <c r="N424" s="8">
        <f t="shared" si="25"/>
        <v>6.7170000000000023</v>
      </c>
      <c r="O424" s="4" t="s">
        <v>60</v>
      </c>
      <c r="P424" s="4" t="s">
        <v>56</v>
      </c>
      <c r="Q424" s="4">
        <v>5</v>
      </c>
      <c r="R424" s="21">
        <f t="shared" si="26"/>
        <v>0.24770439207876985</v>
      </c>
      <c r="S424" t="str">
        <f t="shared" si="27"/>
        <v>Small</v>
      </c>
    </row>
    <row r="425" spans="1:19" x14ac:dyDescent="0.35">
      <c r="A425" s="4" t="s">
        <v>759</v>
      </c>
      <c r="B425" s="5">
        <v>45808</v>
      </c>
      <c r="C425" s="4" t="s">
        <v>130</v>
      </c>
      <c r="D425" s="4" t="s">
        <v>20</v>
      </c>
      <c r="E425" s="4" t="s">
        <v>21</v>
      </c>
      <c r="F425" s="4" t="s">
        <v>22</v>
      </c>
      <c r="G425" s="4" t="s">
        <v>49</v>
      </c>
      <c r="H425" s="4" t="s">
        <v>128</v>
      </c>
      <c r="I425" s="4">
        <v>6</v>
      </c>
      <c r="J425" s="6">
        <v>44.76</v>
      </c>
      <c r="K425" s="7">
        <v>0.1</v>
      </c>
      <c r="L425" s="6">
        <f t="shared" si="24"/>
        <v>241.70400000000001</v>
      </c>
      <c r="M425" s="6">
        <v>33.31</v>
      </c>
      <c r="N425" s="8">
        <f t="shared" si="25"/>
        <v>41.843999999999994</v>
      </c>
      <c r="O425" s="4" t="s">
        <v>25</v>
      </c>
      <c r="P425" s="4" t="s">
        <v>97</v>
      </c>
      <c r="Q425" s="4">
        <v>3</v>
      </c>
      <c r="R425" s="21">
        <f t="shared" si="26"/>
        <v>0.17312084202164629</v>
      </c>
      <c r="S425" t="str">
        <f t="shared" si="27"/>
        <v>Small</v>
      </c>
    </row>
    <row r="426" spans="1:19" x14ac:dyDescent="0.35">
      <c r="A426" s="4" t="s">
        <v>760</v>
      </c>
      <c r="B426" s="5">
        <v>45808</v>
      </c>
      <c r="C426" s="4" t="s">
        <v>215</v>
      </c>
      <c r="D426" s="4" t="s">
        <v>43</v>
      </c>
      <c r="E426" s="4" t="s">
        <v>87</v>
      </c>
      <c r="F426" s="4" t="s">
        <v>88</v>
      </c>
      <c r="G426" s="4" t="s">
        <v>31</v>
      </c>
      <c r="H426" s="4" t="s">
        <v>64</v>
      </c>
      <c r="I426" s="4">
        <v>1</v>
      </c>
      <c r="J426" s="6">
        <v>88.31</v>
      </c>
      <c r="K426" s="7">
        <v>0.05</v>
      </c>
      <c r="L426" s="6">
        <f t="shared" si="24"/>
        <v>83.894499999999994</v>
      </c>
      <c r="M426" s="6">
        <v>64.290000000000006</v>
      </c>
      <c r="N426" s="8">
        <f t="shared" si="25"/>
        <v>19.604499999999987</v>
      </c>
      <c r="O426" s="4" t="s">
        <v>84</v>
      </c>
      <c r="P426" s="4" t="s">
        <v>56</v>
      </c>
      <c r="Q426" s="4">
        <v>4</v>
      </c>
      <c r="R426" s="21">
        <f t="shared" si="26"/>
        <v>0.23368039621190886</v>
      </c>
      <c r="S426" t="str">
        <f t="shared" si="27"/>
        <v>Small</v>
      </c>
    </row>
    <row r="427" spans="1:19" x14ac:dyDescent="0.35">
      <c r="A427" s="4" t="s">
        <v>761</v>
      </c>
      <c r="B427" s="5">
        <v>45808</v>
      </c>
      <c r="C427" s="4" t="s">
        <v>762</v>
      </c>
      <c r="D427" s="4" t="s">
        <v>47</v>
      </c>
      <c r="E427" s="4" t="s">
        <v>29</v>
      </c>
      <c r="F427" s="4" t="s">
        <v>54</v>
      </c>
      <c r="G427" s="4" t="s">
        <v>23</v>
      </c>
      <c r="H427" s="4" t="s">
        <v>44</v>
      </c>
      <c r="I427" s="4">
        <v>2</v>
      </c>
      <c r="J427" s="6">
        <v>57.39</v>
      </c>
      <c r="K427" s="7">
        <v>0</v>
      </c>
      <c r="L427" s="6">
        <f t="shared" si="24"/>
        <v>114.78</v>
      </c>
      <c r="M427" s="6">
        <v>23.99</v>
      </c>
      <c r="N427" s="8">
        <f t="shared" si="25"/>
        <v>66.800000000000011</v>
      </c>
      <c r="O427" s="4" t="s">
        <v>25</v>
      </c>
      <c r="P427" s="4" t="s">
        <v>33</v>
      </c>
      <c r="Q427" s="4">
        <v>3</v>
      </c>
      <c r="R427" s="21">
        <f t="shared" si="26"/>
        <v>0.58198292385433015</v>
      </c>
      <c r="S427" t="str">
        <f t="shared" si="27"/>
        <v>Small</v>
      </c>
    </row>
    <row r="428" spans="1:19" x14ac:dyDescent="0.35">
      <c r="A428" s="4" t="s">
        <v>763</v>
      </c>
      <c r="B428" s="5">
        <v>45809</v>
      </c>
      <c r="C428" s="4" t="s">
        <v>749</v>
      </c>
      <c r="D428" s="4" t="s">
        <v>43</v>
      </c>
      <c r="E428" s="4" t="s">
        <v>29</v>
      </c>
      <c r="F428" s="4" t="s">
        <v>30</v>
      </c>
      <c r="G428" s="4" t="s">
        <v>38</v>
      </c>
      <c r="H428" s="4" t="s">
        <v>39</v>
      </c>
      <c r="I428" s="4">
        <v>2</v>
      </c>
      <c r="J428" s="6">
        <v>102.07</v>
      </c>
      <c r="K428" s="7">
        <v>0.1</v>
      </c>
      <c r="L428" s="6">
        <f t="shared" si="24"/>
        <v>183.726</v>
      </c>
      <c r="M428" s="6">
        <v>89.77</v>
      </c>
      <c r="N428" s="8">
        <f t="shared" si="25"/>
        <v>4.186000000000007</v>
      </c>
      <c r="O428" s="4" t="s">
        <v>51</v>
      </c>
      <c r="P428" s="4" t="s">
        <v>61</v>
      </c>
      <c r="Q428" s="4">
        <v>5</v>
      </c>
      <c r="R428" s="21">
        <f t="shared" si="26"/>
        <v>2.2783928240967567E-2</v>
      </c>
      <c r="S428" t="str">
        <f t="shared" si="27"/>
        <v>Small</v>
      </c>
    </row>
    <row r="429" spans="1:19" x14ac:dyDescent="0.35">
      <c r="A429" s="4" t="s">
        <v>764</v>
      </c>
      <c r="B429" s="5">
        <v>45809</v>
      </c>
      <c r="C429" s="4" t="s">
        <v>765</v>
      </c>
      <c r="D429" s="4" t="s">
        <v>20</v>
      </c>
      <c r="E429" s="4" t="s">
        <v>87</v>
      </c>
      <c r="F429" s="4" t="s">
        <v>88</v>
      </c>
      <c r="G429" s="4" t="s">
        <v>23</v>
      </c>
      <c r="H429" s="4" t="s">
        <v>24</v>
      </c>
      <c r="I429" s="4">
        <v>2</v>
      </c>
      <c r="J429" s="6">
        <v>62.58</v>
      </c>
      <c r="K429" s="7">
        <v>0.05</v>
      </c>
      <c r="L429" s="6">
        <f t="shared" si="24"/>
        <v>118.90199999999999</v>
      </c>
      <c r="M429" s="6">
        <v>32.03</v>
      </c>
      <c r="N429" s="8">
        <f t="shared" si="25"/>
        <v>54.841999999999985</v>
      </c>
      <c r="O429" s="4" t="s">
        <v>40</v>
      </c>
      <c r="P429" s="4" t="s">
        <v>26</v>
      </c>
      <c r="Q429" s="4">
        <v>3</v>
      </c>
      <c r="R429" s="21">
        <f t="shared" si="26"/>
        <v>0.46123698508014999</v>
      </c>
      <c r="S429" t="str">
        <f t="shared" si="27"/>
        <v>Small</v>
      </c>
    </row>
    <row r="430" spans="1:19" x14ac:dyDescent="0.35">
      <c r="A430" s="4" t="s">
        <v>766</v>
      </c>
      <c r="B430" s="5">
        <v>45809</v>
      </c>
      <c r="C430" s="4" t="s">
        <v>767</v>
      </c>
      <c r="D430" s="4" t="s">
        <v>43</v>
      </c>
      <c r="E430" s="4" t="s">
        <v>87</v>
      </c>
      <c r="F430" s="4" t="s">
        <v>124</v>
      </c>
      <c r="G430" s="4" t="s">
        <v>31</v>
      </c>
      <c r="H430" s="4" t="s">
        <v>125</v>
      </c>
      <c r="I430" s="4">
        <v>8</v>
      </c>
      <c r="J430" s="6">
        <v>72.13</v>
      </c>
      <c r="K430" s="7">
        <v>0.15</v>
      </c>
      <c r="L430" s="6">
        <f t="shared" si="24"/>
        <v>490.48399999999998</v>
      </c>
      <c r="M430" s="6">
        <v>47.83</v>
      </c>
      <c r="N430" s="8">
        <f t="shared" si="25"/>
        <v>107.84399999999999</v>
      </c>
      <c r="O430" s="4" t="s">
        <v>60</v>
      </c>
      <c r="P430" s="4" t="s">
        <v>75</v>
      </c>
      <c r="Q430" s="4">
        <v>5</v>
      </c>
      <c r="R430" s="21">
        <f t="shared" si="26"/>
        <v>0.21987261562048915</v>
      </c>
      <c r="S430" t="str">
        <f t="shared" si="27"/>
        <v>Small</v>
      </c>
    </row>
    <row r="431" spans="1:19" x14ac:dyDescent="0.35">
      <c r="A431" s="4" t="s">
        <v>768</v>
      </c>
      <c r="B431" s="5">
        <v>45810</v>
      </c>
      <c r="C431" s="4" t="s">
        <v>769</v>
      </c>
      <c r="D431" s="4" t="s">
        <v>47</v>
      </c>
      <c r="E431" s="4" t="s">
        <v>21</v>
      </c>
      <c r="F431" s="4" t="s">
        <v>81</v>
      </c>
      <c r="G431" s="4" t="s">
        <v>31</v>
      </c>
      <c r="H431" s="4" t="s">
        <v>147</v>
      </c>
      <c r="I431" s="4">
        <v>2</v>
      </c>
      <c r="J431" s="6">
        <v>65.44</v>
      </c>
      <c r="K431" s="7">
        <v>0</v>
      </c>
      <c r="L431" s="6">
        <f t="shared" si="24"/>
        <v>130.88</v>
      </c>
      <c r="M431" s="6">
        <v>43.92</v>
      </c>
      <c r="N431" s="8">
        <f t="shared" si="25"/>
        <v>43.039999999999992</v>
      </c>
      <c r="O431" s="4" t="s">
        <v>40</v>
      </c>
      <c r="P431" s="4" t="s">
        <v>72</v>
      </c>
      <c r="Q431" s="4">
        <v>3</v>
      </c>
      <c r="R431" s="21">
        <f t="shared" si="26"/>
        <v>0.3288508557457212</v>
      </c>
      <c r="S431" t="str">
        <f t="shared" si="27"/>
        <v>Small</v>
      </c>
    </row>
    <row r="432" spans="1:19" x14ac:dyDescent="0.35">
      <c r="A432" s="4" t="s">
        <v>770</v>
      </c>
      <c r="B432" s="5">
        <v>45810</v>
      </c>
      <c r="C432" s="4" t="s">
        <v>771</v>
      </c>
      <c r="D432" s="4" t="s">
        <v>47</v>
      </c>
      <c r="E432" s="4" t="s">
        <v>87</v>
      </c>
      <c r="F432" s="4" t="s">
        <v>124</v>
      </c>
      <c r="G432" s="4" t="s">
        <v>67</v>
      </c>
      <c r="H432" s="4" t="s">
        <v>121</v>
      </c>
      <c r="I432" s="4">
        <v>2</v>
      </c>
      <c r="J432" s="6">
        <v>85.89</v>
      </c>
      <c r="K432" s="7">
        <v>0.05</v>
      </c>
      <c r="L432" s="6">
        <f t="shared" si="24"/>
        <v>163.191</v>
      </c>
      <c r="M432" s="6">
        <v>57.22</v>
      </c>
      <c r="N432" s="8">
        <f t="shared" si="25"/>
        <v>48.751000000000005</v>
      </c>
      <c r="O432" s="4" t="s">
        <v>40</v>
      </c>
      <c r="P432" s="4" t="s">
        <v>26</v>
      </c>
      <c r="Q432" s="4">
        <v>5</v>
      </c>
      <c r="R432" s="21">
        <f t="shared" si="26"/>
        <v>0.29873583714788193</v>
      </c>
      <c r="S432" t="str">
        <f t="shared" si="27"/>
        <v>Small</v>
      </c>
    </row>
    <row r="433" spans="1:19" x14ac:dyDescent="0.35">
      <c r="A433" s="4" t="s">
        <v>772</v>
      </c>
      <c r="B433" s="5">
        <v>45810</v>
      </c>
      <c r="C433" s="4" t="s">
        <v>594</v>
      </c>
      <c r="D433" s="4" t="s">
        <v>43</v>
      </c>
      <c r="E433" s="4" t="s">
        <v>29</v>
      </c>
      <c r="F433" s="4" t="s">
        <v>108</v>
      </c>
      <c r="G433" s="4" t="s">
        <v>49</v>
      </c>
      <c r="H433" s="4" t="s">
        <v>187</v>
      </c>
      <c r="I433" s="4">
        <v>3</v>
      </c>
      <c r="J433" s="6">
        <v>57.74</v>
      </c>
      <c r="K433" s="7">
        <v>0.15</v>
      </c>
      <c r="L433" s="6">
        <f t="shared" si="24"/>
        <v>147.23699999999999</v>
      </c>
      <c r="M433" s="6">
        <v>33.24</v>
      </c>
      <c r="N433" s="8">
        <f t="shared" si="25"/>
        <v>47.516999999999996</v>
      </c>
      <c r="O433" s="4" t="s">
        <v>25</v>
      </c>
      <c r="P433" s="4" t="s">
        <v>75</v>
      </c>
      <c r="Q433" s="4">
        <v>3</v>
      </c>
      <c r="R433" s="21">
        <f t="shared" si="26"/>
        <v>0.32272458689052341</v>
      </c>
      <c r="S433" t="str">
        <f t="shared" si="27"/>
        <v>Small</v>
      </c>
    </row>
    <row r="434" spans="1:19" x14ac:dyDescent="0.35">
      <c r="A434" s="4" t="s">
        <v>773</v>
      </c>
      <c r="B434" s="5">
        <v>45811</v>
      </c>
      <c r="C434" s="4" t="s">
        <v>774</v>
      </c>
      <c r="D434" s="4" t="s">
        <v>43</v>
      </c>
      <c r="E434" s="4" t="s">
        <v>36</v>
      </c>
      <c r="F434" s="4" t="s">
        <v>37</v>
      </c>
      <c r="G434" s="4" t="s">
        <v>31</v>
      </c>
      <c r="H434" s="4" t="s">
        <v>125</v>
      </c>
      <c r="I434" s="4">
        <v>8</v>
      </c>
      <c r="J434" s="6">
        <v>163.91</v>
      </c>
      <c r="K434" s="7">
        <v>0.05</v>
      </c>
      <c r="L434" s="6">
        <f t="shared" si="24"/>
        <v>1245.7159999999999</v>
      </c>
      <c r="M434" s="6">
        <v>120.28</v>
      </c>
      <c r="N434" s="8">
        <f t="shared" si="25"/>
        <v>283.47599999999989</v>
      </c>
      <c r="O434" s="4" t="s">
        <v>60</v>
      </c>
      <c r="P434" s="4" t="s">
        <v>56</v>
      </c>
      <c r="Q434" s="4">
        <v>4</v>
      </c>
      <c r="R434" s="21">
        <f t="shared" si="26"/>
        <v>0.22756069601739073</v>
      </c>
      <c r="S434" t="str">
        <f t="shared" si="27"/>
        <v>Medium</v>
      </c>
    </row>
    <row r="435" spans="1:19" x14ac:dyDescent="0.35">
      <c r="A435" s="4" t="s">
        <v>775</v>
      </c>
      <c r="B435" s="5">
        <v>45811</v>
      </c>
      <c r="C435" s="4" t="s">
        <v>776</v>
      </c>
      <c r="D435" s="4" t="s">
        <v>47</v>
      </c>
      <c r="E435" s="4" t="s">
        <v>21</v>
      </c>
      <c r="F435" s="4" t="s">
        <v>59</v>
      </c>
      <c r="G435" s="4" t="s">
        <v>23</v>
      </c>
      <c r="H435" s="4" t="s">
        <v>135</v>
      </c>
      <c r="I435" s="4">
        <v>4</v>
      </c>
      <c r="J435" s="6">
        <v>17.87</v>
      </c>
      <c r="K435" s="7">
        <v>0</v>
      </c>
      <c r="L435" s="6">
        <f t="shared" si="24"/>
        <v>71.48</v>
      </c>
      <c r="M435" s="6">
        <v>10.83</v>
      </c>
      <c r="N435" s="8">
        <f t="shared" si="25"/>
        <v>28.160000000000004</v>
      </c>
      <c r="O435" s="4" t="s">
        <v>51</v>
      </c>
      <c r="P435" s="4" t="s">
        <v>56</v>
      </c>
      <c r="Q435" s="4">
        <v>4</v>
      </c>
      <c r="R435" s="21">
        <f t="shared" si="26"/>
        <v>0.39395635142697261</v>
      </c>
      <c r="S435" t="str">
        <f t="shared" si="27"/>
        <v>Small</v>
      </c>
    </row>
    <row r="436" spans="1:19" x14ac:dyDescent="0.35">
      <c r="A436" s="4" t="s">
        <v>777</v>
      </c>
      <c r="B436" s="5">
        <v>45811</v>
      </c>
      <c r="C436" s="4" t="s">
        <v>348</v>
      </c>
      <c r="D436" s="4" t="s">
        <v>43</v>
      </c>
      <c r="E436" s="4" t="s">
        <v>36</v>
      </c>
      <c r="F436" s="4" t="s">
        <v>201</v>
      </c>
      <c r="G436" s="4" t="s">
        <v>31</v>
      </c>
      <c r="H436" s="4" t="s">
        <v>125</v>
      </c>
      <c r="I436" s="4">
        <v>6</v>
      </c>
      <c r="J436" s="6">
        <v>158.04</v>
      </c>
      <c r="K436" s="7">
        <v>0.05</v>
      </c>
      <c r="L436" s="6">
        <f t="shared" si="24"/>
        <v>900.82799999999997</v>
      </c>
      <c r="M436" s="6">
        <v>94.48</v>
      </c>
      <c r="N436" s="8">
        <f t="shared" si="25"/>
        <v>333.94799999999998</v>
      </c>
      <c r="O436" s="4" t="s">
        <v>60</v>
      </c>
      <c r="P436" s="4" t="s">
        <v>56</v>
      </c>
      <c r="Q436" s="4">
        <v>4</v>
      </c>
      <c r="R436" s="21">
        <f t="shared" si="26"/>
        <v>0.37071227803753881</v>
      </c>
      <c r="S436" t="str">
        <f t="shared" si="27"/>
        <v>Medium</v>
      </c>
    </row>
    <row r="437" spans="1:19" x14ac:dyDescent="0.35">
      <c r="A437" s="4" t="s">
        <v>778</v>
      </c>
      <c r="B437" s="5">
        <v>45812</v>
      </c>
      <c r="C437" s="4" t="s">
        <v>180</v>
      </c>
      <c r="D437" s="4" t="s">
        <v>47</v>
      </c>
      <c r="E437" s="4" t="s">
        <v>36</v>
      </c>
      <c r="F437" s="4" t="s">
        <v>201</v>
      </c>
      <c r="G437" s="4" t="s">
        <v>23</v>
      </c>
      <c r="H437" s="4" t="s">
        <v>135</v>
      </c>
      <c r="I437" s="4">
        <v>3</v>
      </c>
      <c r="J437" s="6">
        <v>20.69</v>
      </c>
      <c r="K437" s="7">
        <v>0.1</v>
      </c>
      <c r="L437" s="6">
        <f t="shared" si="24"/>
        <v>55.863000000000007</v>
      </c>
      <c r="M437" s="6">
        <v>10.7</v>
      </c>
      <c r="N437" s="8">
        <f t="shared" si="25"/>
        <v>23.763000000000012</v>
      </c>
      <c r="O437" s="4" t="s">
        <v>84</v>
      </c>
      <c r="P437" s="4" t="s">
        <v>26</v>
      </c>
      <c r="Q437" s="4">
        <v>2</v>
      </c>
      <c r="R437" s="21">
        <f t="shared" si="26"/>
        <v>0.42537994737124768</v>
      </c>
      <c r="S437" t="str">
        <f t="shared" si="27"/>
        <v>Small</v>
      </c>
    </row>
    <row r="438" spans="1:19" x14ac:dyDescent="0.35">
      <c r="A438" s="4" t="s">
        <v>779</v>
      </c>
      <c r="B438" s="5">
        <v>45812</v>
      </c>
      <c r="C438" s="4" t="s">
        <v>154</v>
      </c>
      <c r="D438" s="4" t="s">
        <v>47</v>
      </c>
      <c r="E438" s="4" t="s">
        <v>21</v>
      </c>
      <c r="F438" s="4" t="s">
        <v>22</v>
      </c>
      <c r="G438" s="4" t="s">
        <v>67</v>
      </c>
      <c r="H438" s="4" t="s">
        <v>93</v>
      </c>
      <c r="I438" s="4">
        <v>1</v>
      </c>
      <c r="J438" s="6">
        <v>258.42</v>
      </c>
      <c r="K438" s="7">
        <v>0.1</v>
      </c>
      <c r="L438" s="6">
        <f t="shared" si="24"/>
        <v>232.57800000000003</v>
      </c>
      <c r="M438" s="6">
        <v>157.29</v>
      </c>
      <c r="N438" s="8">
        <f t="shared" si="25"/>
        <v>75.288000000000039</v>
      </c>
      <c r="O438" s="4" t="s">
        <v>84</v>
      </c>
      <c r="P438" s="4" t="s">
        <v>75</v>
      </c>
      <c r="Q438" s="4">
        <v>3</v>
      </c>
      <c r="R438" s="21">
        <f t="shared" si="26"/>
        <v>0.32371075510151448</v>
      </c>
      <c r="S438" t="str">
        <f t="shared" si="27"/>
        <v>Small</v>
      </c>
    </row>
    <row r="439" spans="1:19" x14ac:dyDescent="0.35">
      <c r="A439" s="4" t="s">
        <v>780</v>
      </c>
      <c r="B439" s="5">
        <v>45812</v>
      </c>
      <c r="C439" s="4" t="s">
        <v>398</v>
      </c>
      <c r="D439" s="4" t="s">
        <v>20</v>
      </c>
      <c r="E439" s="4" t="s">
        <v>21</v>
      </c>
      <c r="F439" s="4" t="s">
        <v>81</v>
      </c>
      <c r="G439" s="4" t="s">
        <v>49</v>
      </c>
      <c r="H439" s="4" t="s">
        <v>128</v>
      </c>
      <c r="I439" s="4">
        <v>1</v>
      </c>
      <c r="J439" s="6">
        <v>84.24</v>
      </c>
      <c r="K439" s="7">
        <v>0</v>
      </c>
      <c r="L439" s="6">
        <f t="shared" si="24"/>
        <v>84.24</v>
      </c>
      <c r="M439" s="6">
        <v>56.1</v>
      </c>
      <c r="N439" s="8">
        <f t="shared" si="25"/>
        <v>28.139999999999993</v>
      </c>
      <c r="O439" s="4" t="s">
        <v>25</v>
      </c>
      <c r="P439" s="4" t="s">
        <v>97</v>
      </c>
      <c r="Q439" s="4">
        <v>4</v>
      </c>
      <c r="R439" s="21">
        <f t="shared" si="26"/>
        <v>0.33404558404558399</v>
      </c>
      <c r="S439" t="str">
        <f t="shared" si="27"/>
        <v>Small</v>
      </c>
    </row>
    <row r="440" spans="1:19" x14ac:dyDescent="0.35">
      <c r="A440" s="4" t="s">
        <v>781</v>
      </c>
      <c r="B440" s="5">
        <v>45812</v>
      </c>
      <c r="C440" s="4" t="s">
        <v>782</v>
      </c>
      <c r="D440" s="4" t="s">
        <v>47</v>
      </c>
      <c r="E440" s="4" t="s">
        <v>29</v>
      </c>
      <c r="F440" s="4" t="s">
        <v>30</v>
      </c>
      <c r="G440" s="4" t="s">
        <v>31</v>
      </c>
      <c r="H440" s="4" t="s">
        <v>64</v>
      </c>
      <c r="I440" s="4">
        <v>2</v>
      </c>
      <c r="J440" s="6">
        <v>142.09</v>
      </c>
      <c r="K440" s="7">
        <v>0</v>
      </c>
      <c r="L440" s="6">
        <f t="shared" si="24"/>
        <v>284.18</v>
      </c>
      <c r="M440" s="6">
        <v>87.65</v>
      </c>
      <c r="N440" s="8">
        <f t="shared" si="25"/>
        <v>108.88</v>
      </c>
      <c r="O440" s="4" t="s">
        <v>25</v>
      </c>
      <c r="P440" s="4" t="s">
        <v>72</v>
      </c>
      <c r="Q440" s="4">
        <v>4</v>
      </c>
      <c r="R440" s="21">
        <f t="shared" si="26"/>
        <v>0.38313744809627698</v>
      </c>
      <c r="S440" t="str">
        <f t="shared" si="27"/>
        <v>Small</v>
      </c>
    </row>
    <row r="441" spans="1:19" x14ac:dyDescent="0.35">
      <c r="A441" s="4" t="s">
        <v>783</v>
      </c>
      <c r="B441" s="5">
        <v>45813</v>
      </c>
      <c r="C441" s="4" t="s">
        <v>446</v>
      </c>
      <c r="D441" s="4" t="s">
        <v>47</v>
      </c>
      <c r="E441" s="4" t="s">
        <v>87</v>
      </c>
      <c r="F441" s="4" t="s">
        <v>124</v>
      </c>
      <c r="G441" s="4" t="s">
        <v>49</v>
      </c>
      <c r="H441" s="4" t="s">
        <v>50</v>
      </c>
      <c r="I441" s="4">
        <v>6</v>
      </c>
      <c r="J441" s="6">
        <v>17.64</v>
      </c>
      <c r="K441" s="7">
        <v>0.1</v>
      </c>
      <c r="L441" s="6">
        <f t="shared" si="24"/>
        <v>95.256</v>
      </c>
      <c r="M441" s="6">
        <v>12.23</v>
      </c>
      <c r="N441" s="8">
        <f t="shared" si="25"/>
        <v>21.876000000000005</v>
      </c>
      <c r="O441" s="4" t="s">
        <v>84</v>
      </c>
      <c r="P441" s="4" t="s">
        <v>61</v>
      </c>
      <c r="Q441" s="4">
        <v>3</v>
      </c>
      <c r="R441" s="21">
        <f t="shared" si="26"/>
        <v>0.22965482489292019</v>
      </c>
      <c r="S441" t="str">
        <f t="shared" si="27"/>
        <v>Small</v>
      </c>
    </row>
    <row r="442" spans="1:19" x14ac:dyDescent="0.35">
      <c r="A442" s="4" t="s">
        <v>784</v>
      </c>
      <c r="B442" s="5">
        <v>45813</v>
      </c>
      <c r="C442" s="4" t="s">
        <v>142</v>
      </c>
      <c r="D442" s="4" t="s">
        <v>43</v>
      </c>
      <c r="E442" s="4" t="s">
        <v>36</v>
      </c>
      <c r="F442" s="4" t="s">
        <v>48</v>
      </c>
      <c r="G442" s="4" t="s">
        <v>38</v>
      </c>
      <c r="H442" s="4" t="s">
        <v>55</v>
      </c>
      <c r="I442" s="4">
        <v>1</v>
      </c>
      <c r="J442" s="6">
        <v>185.12</v>
      </c>
      <c r="K442" s="7">
        <v>0.1</v>
      </c>
      <c r="L442" s="6">
        <f t="shared" si="24"/>
        <v>166.608</v>
      </c>
      <c r="M442" s="6">
        <v>154.37</v>
      </c>
      <c r="N442" s="8">
        <f t="shared" si="25"/>
        <v>12.238</v>
      </c>
      <c r="O442" s="4" t="s">
        <v>25</v>
      </c>
      <c r="P442" s="4" t="s">
        <v>61</v>
      </c>
      <c r="Q442" s="4">
        <v>4</v>
      </c>
      <c r="R442" s="21">
        <f t="shared" si="26"/>
        <v>7.3453855757226544E-2</v>
      </c>
      <c r="S442" t="str">
        <f t="shared" si="27"/>
        <v>Small</v>
      </c>
    </row>
    <row r="443" spans="1:19" x14ac:dyDescent="0.35">
      <c r="A443" s="4" t="s">
        <v>785</v>
      </c>
      <c r="B443" s="5">
        <v>45814</v>
      </c>
      <c r="C443" s="4" t="s">
        <v>505</v>
      </c>
      <c r="D443" s="4" t="s">
        <v>43</v>
      </c>
      <c r="E443" s="4" t="s">
        <v>21</v>
      </c>
      <c r="F443" s="4" t="s">
        <v>81</v>
      </c>
      <c r="G443" s="4" t="s">
        <v>23</v>
      </c>
      <c r="H443" s="4" t="s">
        <v>24</v>
      </c>
      <c r="I443" s="4">
        <v>8</v>
      </c>
      <c r="J443" s="6">
        <v>59.69</v>
      </c>
      <c r="K443" s="7">
        <v>0.1</v>
      </c>
      <c r="L443" s="6">
        <f t="shared" si="24"/>
        <v>429.76799999999997</v>
      </c>
      <c r="M443" s="6">
        <v>36.99</v>
      </c>
      <c r="N443" s="8">
        <f t="shared" si="25"/>
        <v>133.84799999999996</v>
      </c>
      <c r="O443" s="4" t="s">
        <v>84</v>
      </c>
      <c r="P443" s="4" t="s">
        <v>75</v>
      </c>
      <c r="Q443" s="4">
        <v>5</v>
      </c>
      <c r="R443" s="21">
        <f t="shared" si="26"/>
        <v>0.31144245267213932</v>
      </c>
      <c r="S443" t="str">
        <f t="shared" si="27"/>
        <v>Small</v>
      </c>
    </row>
    <row r="444" spans="1:19" x14ac:dyDescent="0.35">
      <c r="A444" s="4" t="s">
        <v>786</v>
      </c>
      <c r="B444" s="5">
        <v>45814</v>
      </c>
      <c r="C444" s="4" t="s">
        <v>787</v>
      </c>
      <c r="D444" s="4" t="s">
        <v>43</v>
      </c>
      <c r="E444" s="4" t="s">
        <v>36</v>
      </c>
      <c r="F444" s="4" t="s">
        <v>37</v>
      </c>
      <c r="G444" s="4" t="s">
        <v>23</v>
      </c>
      <c r="H444" s="4" t="s">
        <v>71</v>
      </c>
      <c r="I444" s="4">
        <v>3</v>
      </c>
      <c r="J444" s="6">
        <v>158.27000000000001</v>
      </c>
      <c r="K444" s="7">
        <v>0.1</v>
      </c>
      <c r="L444" s="6">
        <f t="shared" si="24"/>
        <v>427.32900000000006</v>
      </c>
      <c r="M444" s="6">
        <v>91.18</v>
      </c>
      <c r="N444" s="8">
        <f t="shared" si="25"/>
        <v>153.78900000000004</v>
      </c>
      <c r="O444" s="4" t="s">
        <v>25</v>
      </c>
      <c r="P444" s="4" t="s">
        <v>56</v>
      </c>
      <c r="Q444" s="4">
        <v>5</v>
      </c>
      <c r="R444" s="21">
        <f t="shared" si="26"/>
        <v>0.35988430459903265</v>
      </c>
      <c r="S444" t="str">
        <f t="shared" si="27"/>
        <v>Small</v>
      </c>
    </row>
    <row r="445" spans="1:19" x14ac:dyDescent="0.35">
      <c r="A445" s="4" t="s">
        <v>788</v>
      </c>
      <c r="B445" s="5">
        <v>45814</v>
      </c>
      <c r="C445" s="4" t="s">
        <v>789</v>
      </c>
      <c r="D445" s="4" t="s">
        <v>47</v>
      </c>
      <c r="E445" s="4" t="s">
        <v>21</v>
      </c>
      <c r="F445" s="4" t="s">
        <v>81</v>
      </c>
      <c r="G445" s="4" t="s">
        <v>49</v>
      </c>
      <c r="H445" s="4" t="s">
        <v>128</v>
      </c>
      <c r="I445" s="4">
        <v>3</v>
      </c>
      <c r="J445" s="6">
        <v>109.75</v>
      </c>
      <c r="K445" s="7">
        <v>0</v>
      </c>
      <c r="L445" s="6">
        <f t="shared" si="24"/>
        <v>329.25</v>
      </c>
      <c r="M445" s="6">
        <v>79.75</v>
      </c>
      <c r="N445" s="8">
        <f t="shared" si="25"/>
        <v>90</v>
      </c>
      <c r="O445" s="4" t="s">
        <v>25</v>
      </c>
      <c r="P445" s="4" t="s">
        <v>75</v>
      </c>
      <c r="Q445" s="4">
        <v>4</v>
      </c>
      <c r="R445" s="21">
        <f t="shared" si="26"/>
        <v>0.27334851936218679</v>
      </c>
      <c r="S445" t="str">
        <f t="shared" si="27"/>
        <v>Small</v>
      </c>
    </row>
    <row r="446" spans="1:19" x14ac:dyDescent="0.35">
      <c r="A446" s="4" t="s">
        <v>790</v>
      </c>
      <c r="B446" s="5">
        <v>45814</v>
      </c>
      <c r="C446" s="4" t="s">
        <v>264</v>
      </c>
      <c r="D446" s="4" t="s">
        <v>20</v>
      </c>
      <c r="E446" s="4" t="s">
        <v>36</v>
      </c>
      <c r="F446" s="4" t="s">
        <v>48</v>
      </c>
      <c r="G446" s="4" t="s">
        <v>38</v>
      </c>
      <c r="H446" s="4" t="s">
        <v>39</v>
      </c>
      <c r="I446" s="4">
        <v>1</v>
      </c>
      <c r="J446" s="6">
        <v>162.19</v>
      </c>
      <c r="K446" s="7">
        <v>0.05</v>
      </c>
      <c r="L446" s="6">
        <f t="shared" si="24"/>
        <v>154.0805</v>
      </c>
      <c r="M446" s="6">
        <v>123.21</v>
      </c>
      <c r="N446" s="8">
        <f t="shared" si="25"/>
        <v>30.870500000000007</v>
      </c>
      <c r="O446" s="4" t="s">
        <v>60</v>
      </c>
      <c r="P446" s="4" t="s">
        <v>97</v>
      </c>
      <c r="Q446" s="4">
        <v>3</v>
      </c>
      <c r="R446" s="21">
        <f t="shared" si="26"/>
        <v>0.20035306219800694</v>
      </c>
      <c r="S446" t="str">
        <f t="shared" si="27"/>
        <v>Small</v>
      </c>
    </row>
    <row r="447" spans="1:19" x14ac:dyDescent="0.35">
      <c r="A447" s="4" t="s">
        <v>791</v>
      </c>
      <c r="B447" s="5">
        <v>45815</v>
      </c>
      <c r="C447" s="4" t="s">
        <v>792</v>
      </c>
      <c r="D447" s="4" t="s">
        <v>47</v>
      </c>
      <c r="E447" s="4" t="s">
        <v>87</v>
      </c>
      <c r="F447" s="4" t="s">
        <v>124</v>
      </c>
      <c r="G447" s="4" t="s">
        <v>67</v>
      </c>
      <c r="H447" s="4" t="s">
        <v>121</v>
      </c>
      <c r="I447" s="4">
        <v>5</v>
      </c>
      <c r="J447" s="6">
        <v>416.13</v>
      </c>
      <c r="K447" s="7">
        <v>0</v>
      </c>
      <c r="L447" s="6">
        <f t="shared" si="24"/>
        <v>2080.65</v>
      </c>
      <c r="M447" s="6">
        <v>302.85000000000002</v>
      </c>
      <c r="N447" s="8">
        <f t="shared" si="25"/>
        <v>566.40000000000009</v>
      </c>
      <c r="O447" s="4" t="s">
        <v>25</v>
      </c>
      <c r="P447" s="4" t="s">
        <v>118</v>
      </c>
      <c r="Q447" s="4">
        <v>4</v>
      </c>
      <c r="R447" s="21">
        <f t="shared" si="26"/>
        <v>0.27222262273808667</v>
      </c>
      <c r="S447" t="str">
        <f t="shared" si="27"/>
        <v>Large</v>
      </c>
    </row>
    <row r="448" spans="1:19" x14ac:dyDescent="0.35">
      <c r="A448" s="4" t="s">
        <v>793</v>
      </c>
      <c r="B448" s="5">
        <v>45815</v>
      </c>
      <c r="C448" s="4" t="s">
        <v>151</v>
      </c>
      <c r="D448" s="4" t="s">
        <v>20</v>
      </c>
      <c r="E448" s="4" t="s">
        <v>29</v>
      </c>
      <c r="F448" s="4" t="s">
        <v>30</v>
      </c>
      <c r="G448" s="4" t="s">
        <v>49</v>
      </c>
      <c r="H448" s="4" t="s">
        <v>50</v>
      </c>
      <c r="I448" s="4">
        <v>1</v>
      </c>
      <c r="J448" s="6">
        <v>20.2</v>
      </c>
      <c r="K448" s="7">
        <v>0.15</v>
      </c>
      <c r="L448" s="6">
        <f t="shared" si="24"/>
        <v>17.169999999999998</v>
      </c>
      <c r="M448" s="6">
        <v>11.56</v>
      </c>
      <c r="N448" s="8">
        <f t="shared" si="25"/>
        <v>5.6099999999999977</v>
      </c>
      <c r="O448" s="4" t="s">
        <v>40</v>
      </c>
      <c r="P448" s="4" t="s">
        <v>61</v>
      </c>
      <c r="Q448" s="4">
        <v>5</v>
      </c>
      <c r="R448" s="21">
        <f t="shared" si="26"/>
        <v>0.32673267326732663</v>
      </c>
      <c r="S448" t="str">
        <f t="shared" si="27"/>
        <v>Small</v>
      </c>
    </row>
    <row r="449" spans="1:19" x14ac:dyDescent="0.35">
      <c r="A449" s="4" t="s">
        <v>794</v>
      </c>
      <c r="B449" s="5">
        <v>45816</v>
      </c>
      <c r="C449" s="4" t="s">
        <v>795</v>
      </c>
      <c r="D449" s="4" t="s">
        <v>47</v>
      </c>
      <c r="E449" s="4" t="s">
        <v>36</v>
      </c>
      <c r="F449" s="4" t="s">
        <v>48</v>
      </c>
      <c r="G449" s="4" t="s">
        <v>23</v>
      </c>
      <c r="H449" s="4" t="s">
        <v>24</v>
      </c>
      <c r="I449" s="4">
        <v>8</v>
      </c>
      <c r="J449" s="6">
        <v>38.51</v>
      </c>
      <c r="K449" s="7">
        <v>0.05</v>
      </c>
      <c r="L449" s="6">
        <f t="shared" si="24"/>
        <v>292.67599999999999</v>
      </c>
      <c r="M449" s="6">
        <v>20.46</v>
      </c>
      <c r="N449" s="8">
        <f t="shared" si="25"/>
        <v>128.99599999999998</v>
      </c>
      <c r="O449" s="4" t="s">
        <v>60</v>
      </c>
      <c r="P449" s="4" t="s">
        <v>97</v>
      </c>
      <c r="Q449" s="4">
        <v>4</v>
      </c>
      <c r="R449" s="21">
        <f t="shared" si="26"/>
        <v>0.44074676434008936</v>
      </c>
      <c r="S449" t="str">
        <f t="shared" si="27"/>
        <v>Small</v>
      </c>
    </row>
    <row r="450" spans="1:19" x14ac:dyDescent="0.35">
      <c r="A450" s="4" t="s">
        <v>796</v>
      </c>
      <c r="B450" s="5">
        <v>45816</v>
      </c>
      <c r="C450" s="4" t="s">
        <v>797</v>
      </c>
      <c r="D450" s="4" t="s">
        <v>43</v>
      </c>
      <c r="E450" s="4" t="s">
        <v>87</v>
      </c>
      <c r="F450" s="4" t="s">
        <v>88</v>
      </c>
      <c r="G450" s="4" t="s">
        <v>67</v>
      </c>
      <c r="H450" s="4" t="s">
        <v>93</v>
      </c>
      <c r="I450" s="4">
        <v>1</v>
      </c>
      <c r="J450" s="6">
        <v>386.79</v>
      </c>
      <c r="K450" s="7">
        <v>0</v>
      </c>
      <c r="L450" s="6">
        <f t="shared" ref="L450:L513" si="28">I450*J450*(1-K450)</f>
        <v>386.79</v>
      </c>
      <c r="M450" s="6">
        <v>254.49</v>
      </c>
      <c r="N450" s="8">
        <f t="shared" ref="N450:N513" si="29">L450-I450*M450</f>
        <v>132.30000000000001</v>
      </c>
      <c r="O450" s="4" t="s">
        <v>60</v>
      </c>
      <c r="P450" s="4" t="s">
        <v>33</v>
      </c>
      <c r="Q450" s="4">
        <v>5</v>
      </c>
      <c r="R450" s="21">
        <f t="shared" si="26"/>
        <v>0.34204607151167299</v>
      </c>
      <c r="S450" t="str">
        <f t="shared" si="27"/>
        <v>Small</v>
      </c>
    </row>
    <row r="451" spans="1:19" x14ac:dyDescent="0.35">
      <c r="A451" s="4" t="s">
        <v>798</v>
      </c>
      <c r="B451" s="5">
        <v>45817</v>
      </c>
      <c r="C451" s="4" t="s">
        <v>164</v>
      </c>
      <c r="D451" s="4" t="s">
        <v>43</v>
      </c>
      <c r="E451" s="4" t="s">
        <v>87</v>
      </c>
      <c r="F451" s="4" t="s">
        <v>92</v>
      </c>
      <c r="G451" s="4" t="s">
        <v>67</v>
      </c>
      <c r="H451" s="4" t="s">
        <v>68</v>
      </c>
      <c r="I451" s="4">
        <v>2</v>
      </c>
      <c r="J451" s="6">
        <v>502.07</v>
      </c>
      <c r="K451" s="7">
        <v>0.1</v>
      </c>
      <c r="L451" s="6">
        <f t="shared" si="28"/>
        <v>903.726</v>
      </c>
      <c r="M451" s="6">
        <v>322.20999999999998</v>
      </c>
      <c r="N451" s="8">
        <f t="shared" si="29"/>
        <v>259.30600000000004</v>
      </c>
      <c r="O451" s="4" t="s">
        <v>60</v>
      </c>
      <c r="P451" s="4" t="s">
        <v>33</v>
      </c>
      <c r="Q451" s="4">
        <v>4</v>
      </c>
      <c r="R451" s="21">
        <f t="shared" ref="R451:R514" si="30">IF(L451=0,0,N451/L451)</f>
        <v>0.28692988804128688</v>
      </c>
      <c r="S451" t="str">
        <f t="shared" ref="S451:S514" si="31">IF(L451&gt;=2000,"Large",IF(L451&gt;=500,"Medium","Small"))</f>
        <v>Medium</v>
      </c>
    </row>
    <row r="452" spans="1:19" x14ac:dyDescent="0.35">
      <c r="A452" s="4" t="s">
        <v>799</v>
      </c>
      <c r="B452" s="5">
        <v>45817</v>
      </c>
      <c r="C452" s="4" t="s">
        <v>800</v>
      </c>
      <c r="D452" s="4" t="s">
        <v>20</v>
      </c>
      <c r="E452" s="4" t="s">
        <v>29</v>
      </c>
      <c r="F452" s="4" t="s">
        <v>54</v>
      </c>
      <c r="G452" s="4" t="s">
        <v>23</v>
      </c>
      <c r="H452" s="4" t="s">
        <v>24</v>
      </c>
      <c r="I452" s="4">
        <v>3</v>
      </c>
      <c r="J452" s="6">
        <v>26.85</v>
      </c>
      <c r="K452" s="7">
        <v>0</v>
      </c>
      <c r="L452" s="6">
        <f t="shared" si="28"/>
        <v>80.550000000000011</v>
      </c>
      <c r="M452" s="6">
        <v>12.32</v>
      </c>
      <c r="N452" s="8">
        <f t="shared" si="29"/>
        <v>43.590000000000011</v>
      </c>
      <c r="O452" s="4" t="s">
        <v>40</v>
      </c>
      <c r="P452" s="4" t="s">
        <v>33</v>
      </c>
      <c r="Q452" s="4">
        <v>4</v>
      </c>
      <c r="R452" s="21">
        <f t="shared" si="30"/>
        <v>0.5411545623836127</v>
      </c>
      <c r="S452" t="str">
        <f t="shared" si="31"/>
        <v>Small</v>
      </c>
    </row>
    <row r="453" spans="1:19" x14ac:dyDescent="0.35">
      <c r="A453" s="4" t="s">
        <v>801</v>
      </c>
      <c r="B453" s="5">
        <v>45817</v>
      </c>
      <c r="C453" s="4" t="s">
        <v>802</v>
      </c>
      <c r="D453" s="4" t="s">
        <v>43</v>
      </c>
      <c r="E453" s="4" t="s">
        <v>21</v>
      </c>
      <c r="F453" s="4" t="s">
        <v>81</v>
      </c>
      <c r="G453" s="4" t="s">
        <v>23</v>
      </c>
      <c r="H453" s="4" t="s">
        <v>135</v>
      </c>
      <c r="I453" s="4">
        <v>1</v>
      </c>
      <c r="J453" s="6">
        <v>18.079999999999998</v>
      </c>
      <c r="K453" s="7">
        <v>0</v>
      </c>
      <c r="L453" s="6">
        <f t="shared" si="28"/>
        <v>18.079999999999998</v>
      </c>
      <c r="M453" s="6">
        <v>8.44</v>
      </c>
      <c r="N453" s="8">
        <f t="shared" si="29"/>
        <v>9.6399999999999988</v>
      </c>
      <c r="O453" s="4" t="s">
        <v>84</v>
      </c>
      <c r="P453" s="4" t="s">
        <v>118</v>
      </c>
      <c r="Q453" s="4">
        <v>3</v>
      </c>
      <c r="R453" s="21">
        <f t="shared" si="30"/>
        <v>0.5331858407079646</v>
      </c>
      <c r="S453" t="str">
        <f t="shared" si="31"/>
        <v>Small</v>
      </c>
    </row>
    <row r="454" spans="1:19" x14ac:dyDescent="0.35">
      <c r="A454" s="4" t="s">
        <v>803</v>
      </c>
      <c r="B454" s="5">
        <v>45818</v>
      </c>
      <c r="C454" s="4" t="s">
        <v>270</v>
      </c>
      <c r="D454" s="4" t="s">
        <v>20</v>
      </c>
      <c r="E454" s="4" t="s">
        <v>21</v>
      </c>
      <c r="F454" s="4" t="s">
        <v>81</v>
      </c>
      <c r="G454" s="4" t="s">
        <v>67</v>
      </c>
      <c r="H454" s="4" t="s">
        <v>68</v>
      </c>
      <c r="I454" s="4">
        <v>1</v>
      </c>
      <c r="J454" s="6">
        <v>872.62</v>
      </c>
      <c r="K454" s="7">
        <v>0.1</v>
      </c>
      <c r="L454" s="6">
        <f t="shared" si="28"/>
        <v>785.35800000000006</v>
      </c>
      <c r="M454" s="6">
        <v>531.4</v>
      </c>
      <c r="N454" s="8">
        <f t="shared" si="29"/>
        <v>253.95800000000008</v>
      </c>
      <c r="O454" s="4" t="s">
        <v>84</v>
      </c>
      <c r="P454" s="4" t="s">
        <v>61</v>
      </c>
      <c r="Q454" s="4">
        <v>5</v>
      </c>
      <c r="R454" s="21">
        <f t="shared" si="30"/>
        <v>0.32336590446649816</v>
      </c>
      <c r="S454" t="str">
        <f t="shared" si="31"/>
        <v>Medium</v>
      </c>
    </row>
    <row r="455" spans="1:19" x14ac:dyDescent="0.35">
      <c r="A455" s="4" t="s">
        <v>804</v>
      </c>
      <c r="B455" s="5">
        <v>45818</v>
      </c>
      <c r="C455" s="4" t="s">
        <v>805</v>
      </c>
      <c r="D455" s="4" t="s">
        <v>20</v>
      </c>
      <c r="E455" s="4" t="s">
        <v>36</v>
      </c>
      <c r="F455" s="4" t="s">
        <v>201</v>
      </c>
      <c r="G455" s="4" t="s">
        <v>23</v>
      </c>
      <c r="H455" s="4" t="s">
        <v>24</v>
      </c>
      <c r="I455" s="4">
        <v>3</v>
      </c>
      <c r="J455" s="6">
        <v>60.34</v>
      </c>
      <c r="K455" s="7">
        <v>0.1</v>
      </c>
      <c r="L455" s="6">
        <f t="shared" si="28"/>
        <v>162.91800000000001</v>
      </c>
      <c r="M455" s="6">
        <v>26.06</v>
      </c>
      <c r="N455" s="8">
        <f t="shared" si="29"/>
        <v>84.738000000000014</v>
      </c>
      <c r="O455" s="4" t="s">
        <v>51</v>
      </c>
      <c r="P455" s="4" t="s">
        <v>118</v>
      </c>
      <c r="Q455" s="4">
        <v>5</v>
      </c>
      <c r="R455" s="21">
        <f t="shared" si="30"/>
        <v>0.52012668950023944</v>
      </c>
      <c r="S455" t="str">
        <f t="shared" si="31"/>
        <v>Small</v>
      </c>
    </row>
    <row r="456" spans="1:19" x14ac:dyDescent="0.35">
      <c r="A456" s="4" t="s">
        <v>806</v>
      </c>
      <c r="B456" s="5">
        <v>45818</v>
      </c>
      <c r="C456" s="4" t="s">
        <v>616</v>
      </c>
      <c r="D456" s="4" t="s">
        <v>47</v>
      </c>
      <c r="E456" s="4" t="s">
        <v>29</v>
      </c>
      <c r="F456" s="4" t="s">
        <v>30</v>
      </c>
      <c r="G456" s="4" t="s">
        <v>38</v>
      </c>
      <c r="H456" s="4" t="s">
        <v>39</v>
      </c>
      <c r="I456" s="4">
        <v>6</v>
      </c>
      <c r="J456" s="6">
        <v>184.12</v>
      </c>
      <c r="K456" s="7">
        <v>0</v>
      </c>
      <c r="L456" s="6">
        <f t="shared" si="28"/>
        <v>1104.72</v>
      </c>
      <c r="M456" s="6">
        <v>144.19999999999999</v>
      </c>
      <c r="N456" s="8">
        <f t="shared" si="29"/>
        <v>239.5200000000001</v>
      </c>
      <c r="O456" s="4" t="s">
        <v>51</v>
      </c>
      <c r="P456" s="4" t="s">
        <v>72</v>
      </c>
      <c r="Q456" s="4">
        <v>5</v>
      </c>
      <c r="R456" s="21">
        <f t="shared" si="30"/>
        <v>0.21681512057353908</v>
      </c>
      <c r="S456" t="str">
        <f t="shared" si="31"/>
        <v>Medium</v>
      </c>
    </row>
    <row r="457" spans="1:19" x14ac:dyDescent="0.35">
      <c r="A457" s="4" t="s">
        <v>807</v>
      </c>
      <c r="B457" s="5">
        <v>45818</v>
      </c>
      <c r="C457" s="4" t="s">
        <v>659</v>
      </c>
      <c r="D457" s="4" t="s">
        <v>20</v>
      </c>
      <c r="E457" s="4" t="s">
        <v>21</v>
      </c>
      <c r="F457" s="4" t="s">
        <v>22</v>
      </c>
      <c r="G457" s="4" t="s">
        <v>31</v>
      </c>
      <c r="H457" s="4" t="s">
        <v>147</v>
      </c>
      <c r="I457" s="4">
        <v>6</v>
      </c>
      <c r="J457" s="6">
        <v>64.650000000000006</v>
      </c>
      <c r="K457" s="7">
        <v>0.05</v>
      </c>
      <c r="L457" s="6">
        <f t="shared" si="28"/>
        <v>368.505</v>
      </c>
      <c r="M457" s="6">
        <v>36.64</v>
      </c>
      <c r="N457" s="8">
        <f t="shared" si="29"/>
        <v>148.66499999999999</v>
      </c>
      <c r="O457" s="4" t="s">
        <v>25</v>
      </c>
      <c r="P457" s="4" t="s">
        <v>61</v>
      </c>
      <c r="Q457" s="4">
        <v>5</v>
      </c>
      <c r="R457" s="21">
        <f t="shared" si="30"/>
        <v>0.4034273619082509</v>
      </c>
      <c r="S457" t="str">
        <f t="shared" si="31"/>
        <v>Small</v>
      </c>
    </row>
    <row r="458" spans="1:19" x14ac:dyDescent="0.35">
      <c r="A458" s="4" t="s">
        <v>808</v>
      </c>
      <c r="B458" s="5">
        <v>45819</v>
      </c>
      <c r="C458" s="4" t="s">
        <v>809</v>
      </c>
      <c r="D458" s="4" t="s">
        <v>47</v>
      </c>
      <c r="E458" s="4" t="s">
        <v>21</v>
      </c>
      <c r="F458" s="4" t="s">
        <v>22</v>
      </c>
      <c r="G458" s="4" t="s">
        <v>49</v>
      </c>
      <c r="H458" s="4" t="s">
        <v>78</v>
      </c>
      <c r="I458" s="4">
        <v>1</v>
      </c>
      <c r="J458" s="6">
        <v>261.93</v>
      </c>
      <c r="K458" s="7">
        <v>0.1</v>
      </c>
      <c r="L458" s="6">
        <f t="shared" si="28"/>
        <v>235.73700000000002</v>
      </c>
      <c r="M458" s="6">
        <v>180.49</v>
      </c>
      <c r="N458" s="8">
        <f t="shared" si="29"/>
        <v>55.247000000000014</v>
      </c>
      <c r="O458" s="4" t="s">
        <v>25</v>
      </c>
      <c r="P458" s="4" t="s">
        <v>61</v>
      </c>
      <c r="Q458" s="4">
        <v>3</v>
      </c>
      <c r="R458" s="21">
        <f t="shared" si="30"/>
        <v>0.23435862847155944</v>
      </c>
      <c r="S458" t="str">
        <f t="shared" si="31"/>
        <v>Small</v>
      </c>
    </row>
    <row r="459" spans="1:19" x14ac:dyDescent="0.35">
      <c r="A459" s="4" t="s">
        <v>810</v>
      </c>
      <c r="B459" s="5">
        <v>45819</v>
      </c>
      <c r="C459" s="4" t="s">
        <v>168</v>
      </c>
      <c r="D459" s="4" t="s">
        <v>47</v>
      </c>
      <c r="E459" s="4" t="s">
        <v>21</v>
      </c>
      <c r="F459" s="4" t="s">
        <v>22</v>
      </c>
      <c r="G459" s="4" t="s">
        <v>49</v>
      </c>
      <c r="H459" s="4" t="s">
        <v>187</v>
      </c>
      <c r="I459" s="4">
        <v>4</v>
      </c>
      <c r="J459" s="6">
        <v>133.62</v>
      </c>
      <c r="K459" s="7">
        <v>0.1</v>
      </c>
      <c r="L459" s="6">
        <f t="shared" si="28"/>
        <v>481.03200000000004</v>
      </c>
      <c r="M459" s="6">
        <v>79.260000000000005</v>
      </c>
      <c r="N459" s="8">
        <f t="shared" si="29"/>
        <v>163.99200000000002</v>
      </c>
      <c r="O459" s="4" t="s">
        <v>60</v>
      </c>
      <c r="P459" s="4" t="s">
        <v>75</v>
      </c>
      <c r="Q459" s="4">
        <v>5</v>
      </c>
      <c r="R459" s="21">
        <f t="shared" si="30"/>
        <v>0.34091702838896376</v>
      </c>
      <c r="S459" t="str">
        <f t="shared" si="31"/>
        <v>Small</v>
      </c>
    </row>
    <row r="460" spans="1:19" x14ac:dyDescent="0.35">
      <c r="A460" s="4" t="s">
        <v>811</v>
      </c>
      <c r="B460" s="5">
        <v>45819</v>
      </c>
      <c r="C460" s="4" t="s">
        <v>805</v>
      </c>
      <c r="D460" s="4" t="s">
        <v>47</v>
      </c>
      <c r="E460" s="4" t="s">
        <v>21</v>
      </c>
      <c r="F460" s="4" t="s">
        <v>22</v>
      </c>
      <c r="G460" s="4" t="s">
        <v>23</v>
      </c>
      <c r="H460" s="4" t="s">
        <v>135</v>
      </c>
      <c r="I460" s="4">
        <v>2</v>
      </c>
      <c r="J460" s="6">
        <v>20.67</v>
      </c>
      <c r="K460" s="7">
        <v>0</v>
      </c>
      <c r="L460" s="6">
        <f t="shared" si="28"/>
        <v>41.34</v>
      </c>
      <c r="M460" s="6">
        <v>8.74</v>
      </c>
      <c r="N460" s="8">
        <f t="shared" si="29"/>
        <v>23.860000000000003</v>
      </c>
      <c r="O460" s="4" t="s">
        <v>51</v>
      </c>
      <c r="P460" s="4" t="s">
        <v>72</v>
      </c>
      <c r="Q460" s="4">
        <v>4</v>
      </c>
      <c r="R460" s="21">
        <f t="shared" si="30"/>
        <v>0.5771649733913885</v>
      </c>
      <c r="S460" t="str">
        <f t="shared" si="31"/>
        <v>Small</v>
      </c>
    </row>
    <row r="461" spans="1:19" x14ac:dyDescent="0.35">
      <c r="A461" s="4" t="s">
        <v>812</v>
      </c>
      <c r="B461" s="5">
        <v>45819</v>
      </c>
      <c r="C461" s="4" t="s">
        <v>813</v>
      </c>
      <c r="D461" s="4" t="s">
        <v>20</v>
      </c>
      <c r="E461" s="4" t="s">
        <v>36</v>
      </c>
      <c r="F461" s="4" t="s">
        <v>37</v>
      </c>
      <c r="G461" s="4" t="s">
        <v>38</v>
      </c>
      <c r="H461" s="4" t="s">
        <v>55</v>
      </c>
      <c r="I461" s="4">
        <v>2</v>
      </c>
      <c r="J461" s="6">
        <v>37.9</v>
      </c>
      <c r="K461" s="7">
        <v>0</v>
      </c>
      <c r="L461" s="6">
        <f t="shared" si="28"/>
        <v>75.8</v>
      </c>
      <c r="M461" s="6">
        <v>33.28</v>
      </c>
      <c r="N461" s="8">
        <f t="shared" si="29"/>
        <v>9.2399999999999949</v>
      </c>
      <c r="O461" s="4" t="s">
        <v>51</v>
      </c>
      <c r="P461" s="4" t="s">
        <v>72</v>
      </c>
      <c r="Q461" s="4">
        <v>4</v>
      </c>
      <c r="R461" s="21">
        <f t="shared" si="30"/>
        <v>0.12189973614775719</v>
      </c>
      <c r="S461" t="str">
        <f t="shared" si="31"/>
        <v>Small</v>
      </c>
    </row>
    <row r="462" spans="1:19" x14ac:dyDescent="0.35">
      <c r="A462" s="4" t="s">
        <v>814</v>
      </c>
      <c r="B462" s="5">
        <v>45819</v>
      </c>
      <c r="C462" s="4" t="s">
        <v>767</v>
      </c>
      <c r="D462" s="4" t="s">
        <v>20</v>
      </c>
      <c r="E462" s="4" t="s">
        <v>87</v>
      </c>
      <c r="F462" s="4" t="s">
        <v>92</v>
      </c>
      <c r="G462" s="4" t="s">
        <v>38</v>
      </c>
      <c r="H462" s="4" t="s">
        <v>39</v>
      </c>
      <c r="I462" s="4">
        <v>1</v>
      </c>
      <c r="J462" s="6">
        <v>362.4</v>
      </c>
      <c r="K462" s="7">
        <v>0.1</v>
      </c>
      <c r="L462" s="6">
        <f t="shared" si="28"/>
        <v>326.15999999999997</v>
      </c>
      <c r="M462" s="6">
        <v>297.41000000000003</v>
      </c>
      <c r="N462" s="8">
        <f t="shared" si="29"/>
        <v>28.749999999999943</v>
      </c>
      <c r="O462" s="4" t="s">
        <v>60</v>
      </c>
      <c r="P462" s="4" t="s">
        <v>72</v>
      </c>
      <c r="Q462" s="4">
        <v>5</v>
      </c>
      <c r="R462" s="21">
        <f t="shared" si="30"/>
        <v>8.8146921756193111E-2</v>
      </c>
      <c r="S462" t="str">
        <f t="shared" si="31"/>
        <v>Small</v>
      </c>
    </row>
    <row r="463" spans="1:19" x14ac:dyDescent="0.35">
      <c r="A463" s="4" t="s">
        <v>815</v>
      </c>
      <c r="B463" s="5">
        <v>45820</v>
      </c>
      <c r="C463" s="4" t="s">
        <v>333</v>
      </c>
      <c r="D463" s="4" t="s">
        <v>43</v>
      </c>
      <c r="E463" s="4" t="s">
        <v>29</v>
      </c>
      <c r="F463" s="4" t="s">
        <v>108</v>
      </c>
      <c r="G463" s="4" t="s">
        <v>49</v>
      </c>
      <c r="H463" s="4" t="s">
        <v>187</v>
      </c>
      <c r="I463" s="4">
        <v>8</v>
      </c>
      <c r="J463" s="6">
        <v>84.97</v>
      </c>
      <c r="K463" s="7">
        <v>0</v>
      </c>
      <c r="L463" s="6">
        <f t="shared" si="28"/>
        <v>679.76</v>
      </c>
      <c r="M463" s="6">
        <v>53.71</v>
      </c>
      <c r="N463" s="8">
        <f t="shared" si="29"/>
        <v>250.07999999999998</v>
      </c>
      <c r="O463" s="4" t="s">
        <v>40</v>
      </c>
      <c r="P463" s="4" t="s">
        <v>72</v>
      </c>
      <c r="Q463" s="4">
        <v>4</v>
      </c>
      <c r="R463" s="21">
        <f t="shared" si="30"/>
        <v>0.36789455101800633</v>
      </c>
      <c r="S463" t="str">
        <f t="shared" si="31"/>
        <v>Medium</v>
      </c>
    </row>
    <row r="464" spans="1:19" x14ac:dyDescent="0.35">
      <c r="A464" s="4" t="s">
        <v>816</v>
      </c>
      <c r="B464" s="5">
        <v>45821</v>
      </c>
      <c r="C464" s="4" t="s">
        <v>320</v>
      </c>
      <c r="D464" s="4" t="s">
        <v>20</v>
      </c>
      <c r="E464" s="4" t="s">
        <v>87</v>
      </c>
      <c r="F464" s="4" t="s">
        <v>92</v>
      </c>
      <c r="G464" s="4" t="s">
        <v>23</v>
      </c>
      <c r="H464" s="4" t="s">
        <v>71</v>
      </c>
      <c r="I464" s="4">
        <v>4</v>
      </c>
      <c r="J464" s="6">
        <v>66.63</v>
      </c>
      <c r="K464" s="7">
        <v>0.1</v>
      </c>
      <c r="L464" s="6">
        <f t="shared" si="28"/>
        <v>239.86799999999999</v>
      </c>
      <c r="M464" s="6">
        <v>41.47</v>
      </c>
      <c r="N464" s="8">
        <f t="shared" si="29"/>
        <v>73.988</v>
      </c>
      <c r="O464" s="4" t="s">
        <v>60</v>
      </c>
      <c r="P464" s="4" t="s">
        <v>56</v>
      </c>
      <c r="Q464" s="4">
        <v>4</v>
      </c>
      <c r="R464" s="21">
        <f t="shared" si="30"/>
        <v>0.30845298247369385</v>
      </c>
      <c r="S464" t="str">
        <f t="shared" si="31"/>
        <v>Small</v>
      </c>
    </row>
    <row r="465" spans="1:19" x14ac:dyDescent="0.35">
      <c r="A465" s="4" t="s">
        <v>817</v>
      </c>
      <c r="B465" s="5">
        <v>45822</v>
      </c>
      <c r="C465" s="4" t="s">
        <v>367</v>
      </c>
      <c r="D465" s="4" t="s">
        <v>47</v>
      </c>
      <c r="E465" s="4" t="s">
        <v>29</v>
      </c>
      <c r="F465" s="4" t="s">
        <v>54</v>
      </c>
      <c r="G465" s="4" t="s">
        <v>38</v>
      </c>
      <c r="H465" s="4" t="s">
        <v>55</v>
      </c>
      <c r="I465" s="4">
        <v>3</v>
      </c>
      <c r="J465" s="6">
        <v>153.38</v>
      </c>
      <c r="K465" s="7">
        <v>0</v>
      </c>
      <c r="L465" s="6">
        <f t="shared" si="28"/>
        <v>460.14</v>
      </c>
      <c r="M465" s="6">
        <v>121.1</v>
      </c>
      <c r="N465" s="8">
        <f t="shared" si="29"/>
        <v>96.840000000000032</v>
      </c>
      <c r="O465" s="4" t="s">
        <v>60</v>
      </c>
      <c r="P465" s="4" t="s">
        <v>26</v>
      </c>
      <c r="Q465" s="4">
        <v>5</v>
      </c>
      <c r="R465" s="21">
        <f t="shared" si="30"/>
        <v>0.21045768679097673</v>
      </c>
      <c r="S465" t="str">
        <f t="shared" si="31"/>
        <v>Small</v>
      </c>
    </row>
    <row r="466" spans="1:19" x14ac:dyDescent="0.35">
      <c r="A466" s="4" t="s">
        <v>818</v>
      </c>
      <c r="B466" s="5">
        <v>45823</v>
      </c>
      <c r="C466" s="4" t="s">
        <v>139</v>
      </c>
      <c r="D466" s="4" t="s">
        <v>47</v>
      </c>
      <c r="E466" s="4" t="s">
        <v>21</v>
      </c>
      <c r="F466" s="4" t="s">
        <v>81</v>
      </c>
      <c r="G466" s="4" t="s">
        <v>67</v>
      </c>
      <c r="H466" s="4" t="s">
        <v>121</v>
      </c>
      <c r="I466" s="4">
        <v>2</v>
      </c>
      <c r="J466" s="6">
        <v>449.53</v>
      </c>
      <c r="K466" s="7">
        <v>0.1</v>
      </c>
      <c r="L466" s="6">
        <f t="shared" si="28"/>
        <v>809.154</v>
      </c>
      <c r="M466" s="6">
        <v>315.42</v>
      </c>
      <c r="N466" s="8">
        <f t="shared" si="29"/>
        <v>178.31399999999996</v>
      </c>
      <c r="O466" s="4" t="s">
        <v>84</v>
      </c>
      <c r="P466" s="4" t="s">
        <v>97</v>
      </c>
      <c r="Q466" s="4">
        <v>4</v>
      </c>
      <c r="R466" s="21">
        <f t="shared" si="30"/>
        <v>0.22037090590913469</v>
      </c>
      <c r="S466" t="str">
        <f t="shared" si="31"/>
        <v>Medium</v>
      </c>
    </row>
    <row r="467" spans="1:19" x14ac:dyDescent="0.35">
      <c r="A467" s="4" t="s">
        <v>819</v>
      </c>
      <c r="B467" s="5">
        <v>45823</v>
      </c>
      <c r="C467" s="4" t="s">
        <v>215</v>
      </c>
      <c r="D467" s="4" t="s">
        <v>20</v>
      </c>
      <c r="E467" s="4" t="s">
        <v>87</v>
      </c>
      <c r="F467" s="4" t="s">
        <v>88</v>
      </c>
      <c r="G467" s="4" t="s">
        <v>23</v>
      </c>
      <c r="H467" s="4" t="s">
        <v>135</v>
      </c>
      <c r="I467" s="4">
        <v>2</v>
      </c>
      <c r="J467" s="6">
        <v>28.02</v>
      </c>
      <c r="K467" s="7">
        <v>0</v>
      </c>
      <c r="L467" s="6">
        <f t="shared" si="28"/>
        <v>56.04</v>
      </c>
      <c r="M467" s="6">
        <v>11.96</v>
      </c>
      <c r="N467" s="8">
        <f t="shared" si="29"/>
        <v>32.119999999999997</v>
      </c>
      <c r="O467" s="4" t="s">
        <v>40</v>
      </c>
      <c r="P467" s="4" t="s">
        <v>56</v>
      </c>
      <c r="Q467" s="4">
        <v>3</v>
      </c>
      <c r="R467" s="21">
        <f t="shared" si="30"/>
        <v>0.57316202712348319</v>
      </c>
      <c r="S467" t="str">
        <f t="shared" si="31"/>
        <v>Small</v>
      </c>
    </row>
    <row r="468" spans="1:19" x14ac:dyDescent="0.35">
      <c r="A468" s="4" t="s">
        <v>820</v>
      </c>
      <c r="B468" s="5">
        <v>45824</v>
      </c>
      <c r="C468" s="4" t="s">
        <v>91</v>
      </c>
      <c r="D468" s="4" t="s">
        <v>20</v>
      </c>
      <c r="E468" s="4" t="s">
        <v>36</v>
      </c>
      <c r="F468" s="4" t="s">
        <v>37</v>
      </c>
      <c r="G468" s="4" t="s">
        <v>23</v>
      </c>
      <c r="H468" s="4" t="s">
        <v>44</v>
      </c>
      <c r="I468" s="4">
        <v>8</v>
      </c>
      <c r="J468" s="6">
        <v>73.42</v>
      </c>
      <c r="K468" s="7">
        <v>0</v>
      </c>
      <c r="L468" s="6">
        <f t="shared" si="28"/>
        <v>587.36</v>
      </c>
      <c r="M468" s="6">
        <v>34.630000000000003</v>
      </c>
      <c r="N468" s="8">
        <f t="shared" si="29"/>
        <v>310.32</v>
      </c>
      <c r="O468" s="4" t="s">
        <v>40</v>
      </c>
      <c r="P468" s="4" t="s">
        <v>26</v>
      </c>
      <c r="Q468" s="4">
        <v>4</v>
      </c>
      <c r="R468" s="21">
        <f t="shared" si="30"/>
        <v>0.52833015527104332</v>
      </c>
      <c r="S468" t="str">
        <f t="shared" si="31"/>
        <v>Medium</v>
      </c>
    </row>
    <row r="469" spans="1:19" x14ac:dyDescent="0.35">
      <c r="A469" s="4" t="s">
        <v>821</v>
      </c>
      <c r="B469" s="5">
        <v>45824</v>
      </c>
      <c r="C469" s="4" t="s">
        <v>117</v>
      </c>
      <c r="D469" s="4" t="s">
        <v>20</v>
      </c>
      <c r="E469" s="4" t="s">
        <v>29</v>
      </c>
      <c r="F469" s="4" t="s">
        <v>54</v>
      </c>
      <c r="G469" s="4" t="s">
        <v>38</v>
      </c>
      <c r="H469" s="4" t="s">
        <v>96</v>
      </c>
      <c r="I469" s="4">
        <v>3</v>
      </c>
      <c r="J469" s="6">
        <v>209.42</v>
      </c>
      <c r="K469" s="7">
        <v>0</v>
      </c>
      <c r="L469" s="6">
        <f t="shared" si="28"/>
        <v>628.26</v>
      </c>
      <c r="M469" s="6">
        <v>180.6</v>
      </c>
      <c r="N469" s="8">
        <f t="shared" si="29"/>
        <v>86.460000000000036</v>
      </c>
      <c r="O469" s="4" t="s">
        <v>60</v>
      </c>
      <c r="P469" s="4" t="s">
        <v>56</v>
      </c>
      <c r="Q469" s="4">
        <v>4</v>
      </c>
      <c r="R469" s="21">
        <f t="shared" si="30"/>
        <v>0.13761818355457939</v>
      </c>
      <c r="S469" t="str">
        <f t="shared" si="31"/>
        <v>Medium</v>
      </c>
    </row>
    <row r="470" spans="1:19" x14ac:dyDescent="0.35">
      <c r="A470" s="4" t="s">
        <v>822</v>
      </c>
      <c r="B470" s="5">
        <v>45825</v>
      </c>
      <c r="C470" s="4" t="s">
        <v>270</v>
      </c>
      <c r="D470" s="4" t="s">
        <v>20</v>
      </c>
      <c r="E470" s="4" t="s">
        <v>87</v>
      </c>
      <c r="F470" s="4" t="s">
        <v>92</v>
      </c>
      <c r="G470" s="4" t="s">
        <v>38</v>
      </c>
      <c r="H470" s="4" t="s">
        <v>109</v>
      </c>
      <c r="I470" s="4">
        <v>3</v>
      </c>
      <c r="J470" s="6">
        <v>606.11</v>
      </c>
      <c r="K470" s="7">
        <v>0</v>
      </c>
      <c r="L470" s="6">
        <f t="shared" si="28"/>
        <v>1818.33</v>
      </c>
      <c r="M470" s="6">
        <v>483.75</v>
      </c>
      <c r="N470" s="8">
        <f t="shared" si="29"/>
        <v>367.07999999999993</v>
      </c>
      <c r="O470" s="4" t="s">
        <v>51</v>
      </c>
      <c r="P470" s="4" t="s">
        <v>26</v>
      </c>
      <c r="Q470" s="4">
        <v>5</v>
      </c>
      <c r="R470" s="21">
        <f t="shared" si="30"/>
        <v>0.20187754697992111</v>
      </c>
      <c r="S470" t="str">
        <f t="shared" si="31"/>
        <v>Medium</v>
      </c>
    </row>
    <row r="471" spans="1:19" x14ac:dyDescent="0.35">
      <c r="A471" s="4" t="s">
        <v>823</v>
      </c>
      <c r="B471" s="5">
        <v>45825</v>
      </c>
      <c r="C471" s="4" t="s">
        <v>626</v>
      </c>
      <c r="D471" s="4" t="s">
        <v>43</v>
      </c>
      <c r="E471" s="4" t="s">
        <v>36</v>
      </c>
      <c r="F471" s="4" t="s">
        <v>37</v>
      </c>
      <c r="G471" s="4" t="s">
        <v>38</v>
      </c>
      <c r="H471" s="4" t="s">
        <v>96</v>
      </c>
      <c r="I471" s="4">
        <v>2</v>
      </c>
      <c r="J471" s="6">
        <v>419.64</v>
      </c>
      <c r="K471" s="7">
        <v>0.2</v>
      </c>
      <c r="L471" s="6">
        <f t="shared" si="28"/>
        <v>671.42399999999998</v>
      </c>
      <c r="M471" s="6">
        <v>361.21</v>
      </c>
      <c r="N471" s="8">
        <f t="shared" si="29"/>
        <v>-50.995999999999981</v>
      </c>
      <c r="O471" s="4" t="s">
        <v>60</v>
      </c>
      <c r="P471" s="4" t="s">
        <v>97</v>
      </c>
      <c r="Q471" s="4">
        <v>4</v>
      </c>
      <c r="R471" s="21">
        <f t="shared" si="30"/>
        <v>-7.5952006481746229E-2</v>
      </c>
      <c r="S471" t="str">
        <f t="shared" si="31"/>
        <v>Medium</v>
      </c>
    </row>
    <row r="472" spans="1:19" x14ac:dyDescent="0.35">
      <c r="A472" s="4" t="s">
        <v>824</v>
      </c>
      <c r="B472" s="5">
        <v>45825</v>
      </c>
      <c r="C472" s="4" t="s">
        <v>659</v>
      </c>
      <c r="D472" s="4" t="s">
        <v>20</v>
      </c>
      <c r="E472" s="4" t="s">
        <v>36</v>
      </c>
      <c r="F472" s="4" t="s">
        <v>37</v>
      </c>
      <c r="G472" s="4" t="s">
        <v>49</v>
      </c>
      <c r="H472" s="4" t="s">
        <v>187</v>
      </c>
      <c r="I472" s="4">
        <v>1</v>
      </c>
      <c r="J472" s="6">
        <v>98.95</v>
      </c>
      <c r="K472" s="7">
        <v>0.05</v>
      </c>
      <c r="L472" s="6">
        <f t="shared" si="28"/>
        <v>94.002499999999998</v>
      </c>
      <c r="M472" s="6">
        <v>73.56</v>
      </c>
      <c r="N472" s="8">
        <f t="shared" si="29"/>
        <v>20.442499999999995</v>
      </c>
      <c r="O472" s="4" t="s">
        <v>40</v>
      </c>
      <c r="P472" s="4" t="s">
        <v>26</v>
      </c>
      <c r="Q472" s="4">
        <v>5</v>
      </c>
      <c r="R472" s="21">
        <f t="shared" si="30"/>
        <v>0.21746762054200683</v>
      </c>
      <c r="S472" t="str">
        <f t="shared" si="31"/>
        <v>Small</v>
      </c>
    </row>
    <row r="473" spans="1:19" x14ac:dyDescent="0.35">
      <c r="A473" s="4" t="s">
        <v>825</v>
      </c>
      <c r="B473" s="5">
        <v>45826</v>
      </c>
      <c r="C473" s="4" t="s">
        <v>826</v>
      </c>
      <c r="D473" s="4" t="s">
        <v>43</v>
      </c>
      <c r="E473" s="4" t="s">
        <v>29</v>
      </c>
      <c r="F473" s="4" t="s">
        <v>30</v>
      </c>
      <c r="G473" s="4" t="s">
        <v>23</v>
      </c>
      <c r="H473" s="4" t="s">
        <v>44</v>
      </c>
      <c r="I473" s="4">
        <v>3</v>
      </c>
      <c r="J473" s="6">
        <v>119.21</v>
      </c>
      <c r="K473" s="7">
        <v>0</v>
      </c>
      <c r="L473" s="6">
        <f t="shared" si="28"/>
        <v>357.63</v>
      </c>
      <c r="M473" s="6">
        <v>57.06</v>
      </c>
      <c r="N473" s="8">
        <f t="shared" si="29"/>
        <v>186.45</v>
      </c>
      <c r="O473" s="4" t="s">
        <v>25</v>
      </c>
      <c r="P473" s="4" t="s">
        <v>26</v>
      </c>
      <c r="Q473" s="4">
        <v>4</v>
      </c>
      <c r="R473" s="21">
        <f t="shared" si="30"/>
        <v>0.52134888012750602</v>
      </c>
      <c r="S473" t="str">
        <f t="shared" si="31"/>
        <v>Small</v>
      </c>
    </row>
    <row r="474" spans="1:19" x14ac:dyDescent="0.35">
      <c r="A474" s="4" t="s">
        <v>827</v>
      </c>
      <c r="B474" s="5">
        <v>45827</v>
      </c>
      <c r="C474" s="4" t="s">
        <v>354</v>
      </c>
      <c r="D474" s="4" t="s">
        <v>43</v>
      </c>
      <c r="E474" s="4" t="s">
        <v>21</v>
      </c>
      <c r="F474" s="4" t="s">
        <v>22</v>
      </c>
      <c r="G474" s="4" t="s">
        <v>67</v>
      </c>
      <c r="H474" s="4" t="s">
        <v>140</v>
      </c>
      <c r="I474" s="4">
        <v>3</v>
      </c>
      <c r="J474" s="6">
        <v>205.63</v>
      </c>
      <c r="K474" s="7">
        <v>0</v>
      </c>
      <c r="L474" s="6">
        <f t="shared" si="28"/>
        <v>616.89</v>
      </c>
      <c r="M474" s="6">
        <v>152.81</v>
      </c>
      <c r="N474" s="8">
        <f t="shared" si="29"/>
        <v>158.45999999999998</v>
      </c>
      <c r="O474" s="4" t="s">
        <v>51</v>
      </c>
      <c r="P474" s="4" t="s">
        <v>75</v>
      </c>
      <c r="Q474" s="4">
        <v>5</v>
      </c>
      <c r="R474" s="21">
        <f t="shared" si="30"/>
        <v>0.25686913388124299</v>
      </c>
      <c r="S474" t="str">
        <f t="shared" si="31"/>
        <v>Medium</v>
      </c>
    </row>
    <row r="475" spans="1:19" x14ac:dyDescent="0.35">
      <c r="A475" s="4" t="s">
        <v>828</v>
      </c>
      <c r="B475" s="5">
        <v>45827</v>
      </c>
      <c r="C475" s="4" t="s">
        <v>829</v>
      </c>
      <c r="D475" s="4" t="s">
        <v>47</v>
      </c>
      <c r="E475" s="4" t="s">
        <v>36</v>
      </c>
      <c r="F475" s="4" t="s">
        <v>201</v>
      </c>
      <c r="G475" s="4" t="s">
        <v>23</v>
      </c>
      <c r="H475" s="4" t="s">
        <v>44</v>
      </c>
      <c r="I475" s="4">
        <v>2</v>
      </c>
      <c r="J475" s="6">
        <v>51.68</v>
      </c>
      <c r="K475" s="7">
        <v>0.1</v>
      </c>
      <c r="L475" s="6">
        <f t="shared" si="28"/>
        <v>93.024000000000001</v>
      </c>
      <c r="M475" s="6">
        <v>29.13</v>
      </c>
      <c r="N475" s="8">
        <f t="shared" si="29"/>
        <v>34.764000000000003</v>
      </c>
      <c r="O475" s="4" t="s">
        <v>25</v>
      </c>
      <c r="P475" s="4" t="s">
        <v>56</v>
      </c>
      <c r="Q475" s="4">
        <v>5</v>
      </c>
      <c r="R475" s="21">
        <f t="shared" si="30"/>
        <v>0.37371001031991746</v>
      </c>
      <c r="S475" t="str">
        <f t="shared" si="31"/>
        <v>Small</v>
      </c>
    </row>
    <row r="476" spans="1:19" x14ac:dyDescent="0.35">
      <c r="A476" s="4" t="s">
        <v>830</v>
      </c>
      <c r="B476" s="5">
        <v>45827</v>
      </c>
      <c r="C476" s="4" t="s">
        <v>589</v>
      </c>
      <c r="D476" s="4" t="s">
        <v>20</v>
      </c>
      <c r="E476" s="4" t="s">
        <v>36</v>
      </c>
      <c r="F476" s="4" t="s">
        <v>48</v>
      </c>
      <c r="G476" s="4" t="s">
        <v>38</v>
      </c>
      <c r="H476" s="4" t="s">
        <v>55</v>
      </c>
      <c r="I476" s="4">
        <v>2</v>
      </c>
      <c r="J476" s="6">
        <v>60.91</v>
      </c>
      <c r="K476" s="7">
        <v>0.15</v>
      </c>
      <c r="L476" s="6">
        <f t="shared" si="28"/>
        <v>103.547</v>
      </c>
      <c r="M476" s="6">
        <v>53.27</v>
      </c>
      <c r="N476" s="8">
        <f t="shared" si="29"/>
        <v>-2.9930000000000092</v>
      </c>
      <c r="O476" s="4" t="s">
        <v>40</v>
      </c>
      <c r="P476" s="4" t="s">
        <v>33</v>
      </c>
      <c r="Q476" s="4">
        <v>1</v>
      </c>
      <c r="R476" s="21">
        <f t="shared" si="30"/>
        <v>-2.8904748568283092E-2</v>
      </c>
      <c r="S476" t="str">
        <f t="shared" si="31"/>
        <v>Small</v>
      </c>
    </row>
    <row r="477" spans="1:19" x14ac:dyDescent="0.35">
      <c r="A477" s="4" t="s">
        <v>831</v>
      </c>
      <c r="B477" s="5">
        <v>45827</v>
      </c>
      <c r="C477" s="4" t="s">
        <v>83</v>
      </c>
      <c r="D477" s="4" t="s">
        <v>20</v>
      </c>
      <c r="E477" s="4" t="s">
        <v>29</v>
      </c>
      <c r="F477" s="4" t="s">
        <v>30</v>
      </c>
      <c r="G477" s="4" t="s">
        <v>23</v>
      </c>
      <c r="H477" s="4" t="s">
        <v>135</v>
      </c>
      <c r="I477" s="4">
        <v>3</v>
      </c>
      <c r="J477" s="6">
        <v>34.619999999999997</v>
      </c>
      <c r="K477" s="7">
        <v>0.15</v>
      </c>
      <c r="L477" s="6">
        <f t="shared" si="28"/>
        <v>88.280999999999992</v>
      </c>
      <c r="M477" s="6">
        <v>19.23</v>
      </c>
      <c r="N477" s="8">
        <f t="shared" si="29"/>
        <v>30.590999999999994</v>
      </c>
      <c r="O477" s="4" t="s">
        <v>84</v>
      </c>
      <c r="P477" s="4" t="s">
        <v>118</v>
      </c>
      <c r="Q477" s="4">
        <v>4</v>
      </c>
      <c r="R477" s="21">
        <f t="shared" si="30"/>
        <v>0.34651850341523088</v>
      </c>
      <c r="S477" t="str">
        <f t="shared" si="31"/>
        <v>Small</v>
      </c>
    </row>
    <row r="478" spans="1:19" x14ac:dyDescent="0.35">
      <c r="A478" s="4" t="s">
        <v>832</v>
      </c>
      <c r="B478" s="5">
        <v>45827</v>
      </c>
      <c r="C478" s="4" t="s">
        <v>408</v>
      </c>
      <c r="D478" s="4" t="s">
        <v>20</v>
      </c>
      <c r="E478" s="4" t="s">
        <v>29</v>
      </c>
      <c r="F478" s="4" t="s">
        <v>54</v>
      </c>
      <c r="G478" s="4" t="s">
        <v>31</v>
      </c>
      <c r="H478" s="4" t="s">
        <v>64</v>
      </c>
      <c r="I478" s="4">
        <v>2</v>
      </c>
      <c r="J478" s="6">
        <v>74.989999999999995</v>
      </c>
      <c r="K478" s="7">
        <v>0.15</v>
      </c>
      <c r="L478" s="6">
        <f t="shared" si="28"/>
        <v>127.48299999999999</v>
      </c>
      <c r="M478" s="6">
        <v>51.75</v>
      </c>
      <c r="N478" s="8">
        <f t="shared" si="29"/>
        <v>23.98299999999999</v>
      </c>
      <c r="O478" s="4" t="s">
        <v>84</v>
      </c>
      <c r="P478" s="4" t="s">
        <v>33</v>
      </c>
      <c r="Q478" s="4">
        <v>3</v>
      </c>
      <c r="R478" s="21">
        <f t="shared" si="30"/>
        <v>0.18812704439023237</v>
      </c>
      <c r="S478" t="str">
        <f t="shared" si="31"/>
        <v>Small</v>
      </c>
    </row>
    <row r="479" spans="1:19" x14ac:dyDescent="0.35">
      <c r="A479" s="4" t="s">
        <v>833</v>
      </c>
      <c r="B479" s="5">
        <v>45828</v>
      </c>
      <c r="C479" s="4" t="s">
        <v>834</v>
      </c>
      <c r="D479" s="4" t="s">
        <v>43</v>
      </c>
      <c r="E479" s="4" t="s">
        <v>21</v>
      </c>
      <c r="F479" s="4" t="s">
        <v>59</v>
      </c>
      <c r="G479" s="4" t="s">
        <v>67</v>
      </c>
      <c r="H479" s="4" t="s">
        <v>68</v>
      </c>
      <c r="I479" s="4">
        <v>5</v>
      </c>
      <c r="J479" s="6">
        <v>1024.1400000000001</v>
      </c>
      <c r="K479" s="7">
        <v>0</v>
      </c>
      <c r="L479" s="6">
        <f t="shared" si="28"/>
        <v>5120.7000000000007</v>
      </c>
      <c r="M479" s="6">
        <v>691.38</v>
      </c>
      <c r="N479" s="8">
        <f t="shared" si="29"/>
        <v>1663.8000000000006</v>
      </c>
      <c r="O479" s="4" t="s">
        <v>60</v>
      </c>
      <c r="P479" s="4" t="s">
        <v>26</v>
      </c>
      <c r="Q479" s="4">
        <v>4</v>
      </c>
      <c r="R479" s="21">
        <f t="shared" si="30"/>
        <v>0.32491651532017113</v>
      </c>
      <c r="S479" t="str">
        <f t="shared" si="31"/>
        <v>Large</v>
      </c>
    </row>
    <row r="480" spans="1:19" x14ac:dyDescent="0.35">
      <c r="A480" s="4" t="s">
        <v>835</v>
      </c>
      <c r="B480" s="5">
        <v>45828</v>
      </c>
      <c r="C480" s="4" t="s">
        <v>115</v>
      </c>
      <c r="D480" s="4" t="s">
        <v>43</v>
      </c>
      <c r="E480" s="4" t="s">
        <v>36</v>
      </c>
      <c r="F480" s="4" t="s">
        <v>201</v>
      </c>
      <c r="G480" s="4" t="s">
        <v>67</v>
      </c>
      <c r="H480" s="4" t="s">
        <v>121</v>
      </c>
      <c r="I480" s="4">
        <v>3</v>
      </c>
      <c r="J480" s="6">
        <v>321.07</v>
      </c>
      <c r="K480" s="7">
        <v>0</v>
      </c>
      <c r="L480" s="6">
        <f t="shared" si="28"/>
        <v>963.21</v>
      </c>
      <c r="M480" s="6">
        <v>237.47</v>
      </c>
      <c r="N480" s="8">
        <f t="shared" si="29"/>
        <v>250.80000000000007</v>
      </c>
      <c r="O480" s="4" t="s">
        <v>25</v>
      </c>
      <c r="P480" s="4" t="s">
        <v>26</v>
      </c>
      <c r="Q480" s="4">
        <v>4</v>
      </c>
      <c r="R480" s="21">
        <f t="shared" si="30"/>
        <v>0.2603793565266142</v>
      </c>
      <c r="S480" t="str">
        <f t="shared" si="31"/>
        <v>Medium</v>
      </c>
    </row>
    <row r="481" spans="1:19" x14ac:dyDescent="0.35">
      <c r="A481" s="4" t="s">
        <v>836</v>
      </c>
      <c r="B481" s="5">
        <v>45829</v>
      </c>
      <c r="C481" s="4" t="s">
        <v>837</v>
      </c>
      <c r="D481" s="4" t="s">
        <v>43</v>
      </c>
      <c r="E481" s="4" t="s">
        <v>87</v>
      </c>
      <c r="F481" s="4" t="s">
        <v>124</v>
      </c>
      <c r="G481" s="4" t="s">
        <v>23</v>
      </c>
      <c r="H481" s="4" t="s">
        <v>135</v>
      </c>
      <c r="I481" s="4">
        <v>2</v>
      </c>
      <c r="J481" s="6">
        <v>24.95</v>
      </c>
      <c r="K481" s="7">
        <v>0.1</v>
      </c>
      <c r="L481" s="6">
        <f t="shared" si="28"/>
        <v>44.91</v>
      </c>
      <c r="M481" s="6">
        <v>13</v>
      </c>
      <c r="N481" s="8">
        <f t="shared" si="29"/>
        <v>18.909999999999997</v>
      </c>
      <c r="O481" s="4" t="s">
        <v>25</v>
      </c>
      <c r="P481" s="4" t="s">
        <v>97</v>
      </c>
      <c r="Q481" s="4">
        <v>5</v>
      </c>
      <c r="R481" s="21">
        <f t="shared" si="30"/>
        <v>0.4210643509240703</v>
      </c>
      <c r="S481" t="str">
        <f t="shared" si="31"/>
        <v>Small</v>
      </c>
    </row>
    <row r="482" spans="1:19" x14ac:dyDescent="0.35">
      <c r="A482" s="4" t="s">
        <v>838</v>
      </c>
      <c r="B482" s="5">
        <v>45829</v>
      </c>
      <c r="C482" s="4" t="s">
        <v>307</v>
      </c>
      <c r="D482" s="4" t="s">
        <v>43</v>
      </c>
      <c r="E482" s="4" t="s">
        <v>87</v>
      </c>
      <c r="F482" s="4" t="s">
        <v>88</v>
      </c>
      <c r="G482" s="4" t="s">
        <v>31</v>
      </c>
      <c r="H482" s="4" t="s">
        <v>147</v>
      </c>
      <c r="I482" s="4">
        <v>1</v>
      </c>
      <c r="J482" s="6">
        <v>74.62</v>
      </c>
      <c r="K482" s="7">
        <v>0.1</v>
      </c>
      <c r="L482" s="6">
        <f t="shared" si="28"/>
        <v>67.158000000000001</v>
      </c>
      <c r="M482" s="6">
        <v>50.53</v>
      </c>
      <c r="N482" s="8">
        <f t="shared" si="29"/>
        <v>16.628</v>
      </c>
      <c r="O482" s="4" t="s">
        <v>40</v>
      </c>
      <c r="P482" s="4" t="s">
        <v>118</v>
      </c>
      <c r="Q482" s="4">
        <v>5</v>
      </c>
      <c r="R482" s="21">
        <f t="shared" si="30"/>
        <v>0.24759522320497929</v>
      </c>
      <c r="S482" t="str">
        <f t="shared" si="31"/>
        <v>Small</v>
      </c>
    </row>
    <row r="483" spans="1:19" x14ac:dyDescent="0.35">
      <c r="A483" s="4" t="s">
        <v>839</v>
      </c>
      <c r="B483" s="5">
        <v>45830</v>
      </c>
      <c r="C483" s="4" t="s">
        <v>840</v>
      </c>
      <c r="D483" s="4" t="s">
        <v>43</v>
      </c>
      <c r="E483" s="4" t="s">
        <v>36</v>
      </c>
      <c r="F483" s="4" t="s">
        <v>37</v>
      </c>
      <c r="G483" s="4" t="s">
        <v>49</v>
      </c>
      <c r="H483" s="4" t="s">
        <v>128</v>
      </c>
      <c r="I483" s="4">
        <v>1</v>
      </c>
      <c r="J483" s="6">
        <v>130.75</v>
      </c>
      <c r="K483" s="7">
        <v>0.1</v>
      </c>
      <c r="L483" s="6">
        <f t="shared" si="28"/>
        <v>117.675</v>
      </c>
      <c r="M483" s="6">
        <v>91.08</v>
      </c>
      <c r="N483" s="8">
        <f t="shared" si="29"/>
        <v>26.594999999999999</v>
      </c>
      <c r="O483" s="4" t="s">
        <v>84</v>
      </c>
      <c r="P483" s="4" t="s">
        <v>56</v>
      </c>
      <c r="Q483" s="4">
        <v>3</v>
      </c>
      <c r="R483" s="21">
        <f t="shared" si="30"/>
        <v>0.22600382409177819</v>
      </c>
      <c r="S483" t="str">
        <f t="shared" si="31"/>
        <v>Small</v>
      </c>
    </row>
    <row r="484" spans="1:19" x14ac:dyDescent="0.35">
      <c r="A484" s="4" t="s">
        <v>841</v>
      </c>
      <c r="B484" s="5">
        <v>45830</v>
      </c>
      <c r="C484" s="4" t="s">
        <v>842</v>
      </c>
      <c r="D484" s="4" t="s">
        <v>43</v>
      </c>
      <c r="E484" s="4" t="s">
        <v>29</v>
      </c>
      <c r="F484" s="4" t="s">
        <v>30</v>
      </c>
      <c r="G484" s="4" t="s">
        <v>38</v>
      </c>
      <c r="H484" s="4" t="s">
        <v>55</v>
      </c>
      <c r="I484" s="4">
        <v>3</v>
      </c>
      <c r="J484" s="6">
        <v>155.32</v>
      </c>
      <c r="K484" s="7">
        <v>0</v>
      </c>
      <c r="L484" s="6">
        <f t="shared" si="28"/>
        <v>465.96</v>
      </c>
      <c r="M484" s="6">
        <v>126.75</v>
      </c>
      <c r="N484" s="8">
        <f t="shared" si="29"/>
        <v>85.70999999999998</v>
      </c>
      <c r="O484" s="4" t="s">
        <v>84</v>
      </c>
      <c r="P484" s="4" t="s">
        <v>75</v>
      </c>
      <c r="Q484" s="4">
        <v>3</v>
      </c>
      <c r="R484" s="21">
        <f t="shared" si="30"/>
        <v>0.18394282771053305</v>
      </c>
      <c r="S484" t="str">
        <f t="shared" si="31"/>
        <v>Small</v>
      </c>
    </row>
    <row r="485" spans="1:19" x14ac:dyDescent="0.35">
      <c r="A485" s="4" t="s">
        <v>843</v>
      </c>
      <c r="B485" s="5">
        <v>45830</v>
      </c>
      <c r="C485" s="4" t="s">
        <v>844</v>
      </c>
      <c r="D485" s="4" t="s">
        <v>20</v>
      </c>
      <c r="E485" s="4" t="s">
        <v>29</v>
      </c>
      <c r="F485" s="4" t="s">
        <v>54</v>
      </c>
      <c r="G485" s="4" t="s">
        <v>31</v>
      </c>
      <c r="H485" s="4" t="s">
        <v>125</v>
      </c>
      <c r="I485" s="4">
        <v>1</v>
      </c>
      <c r="J485" s="6">
        <v>139.53</v>
      </c>
      <c r="K485" s="7">
        <v>0.15</v>
      </c>
      <c r="L485" s="6">
        <f t="shared" si="28"/>
        <v>118.6005</v>
      </c>
      <c r="M485" s="6">
        <v>103.47</v>
      </c>
      <c r="N485" s="8">
        <f t="shared" si="29"/>
        <v>15.130499999999998</v>
      </c>
      <c r="O485" s="4" t="s">
        <v>25</v>
      </c>
      <c r="P485" s="4" t="s">
        <v>56</v>
      </c>
      <c r="Q485" s="4">
        <v>5</v>
      </c>
      <c r="R485" s="21">
        <f t="shared" si="30"/>
        <v>0.12757534749010332</v>
      </c>
      <c r="S485" t="str">
        <f t="shared" si="31"/>
        <v>Small</v>
      </c>
    </row>
    <row r="486" spans="1:19" x14ac:dyDescent="0.35">
      <c r="A486" s="4" t="s">
        <v>845</v>
      </c>
      <c r="B486" s="5">
        <v>45830</v>
      </c>
      <c r="C486" s="4" t="s">
        <v>637</v>
      </c>
      <c r="D486" s="4" t="s">
        <v>20</v>
      </c>
      <c r="E486" s="4" t="s">
        <v>29</v>
      </c>
      <c r="F486" s="4" t="s">
        <v>108</v>
      </c>
      <c r="G486" s="4" t="s">
        <v>23</v>
      </c>
      <c r="H486" s="4" t="s">
        <v>71</v>
      </c>
      <c r="I486" s="4">
        <v>5</v>
      </c>
      <c r="J486" s="6">
        <v>162.54</v>
      </c>
      <c r="K486" s="7">
        <v>0</v>
      </c>
      <c r="L486" s="6">
        <f t="shared" si="28"/>
        <v>812.69999999999993</v>
      </c>
      <c r="M486" s="6">
        <v>69.66</v>
      </c>
      <c r="N486" s="8">
        <f t="shared" si="29"/>
        <v>464.4</v>
      </c>
      <c r="O486" s="4" t="s">
        <v>51</v>
      </c>
      <c r="P486" s="4" t="s">
        <v>56</v>
      </c>
      <c r="Q486" s="4">
        <v>4</v>
      </c>
      <c r="R486" s="21">
        <f t="shared" si="30"/>
        <v>0.5714285714285714</v>
      </c>
      <c r="S486" t="str">
        <f t="shared" si="31"/>
        <v>Medium</v>
      </c>
    </row>
    <row r="487" spans="1:19" x14ac:dyDescent="0.35">
      <c r="A487" s="4" t="s">
        <v>846</v>
      </c>
      <c r="B487" s="5">
        <v>45831</v>
      </c>
      <c r="C487" s="4" t="s">
        <v>614</v>
      </c>
      <c r="D487" s="4" t="s">
        <v>20</v>
      </c>
      <c r="E487" s="4" t="s">
        <v>21</v>
      </c>
      <c r="F487" s="4" t="s">
        <v>81</v>
      </c>
      <c r="G487" s="4" t="s">
        <v>31</v>
      </c>
      <c r="H487" s="4" t="s">
        <v>64</v>
      </c>
      <c r="I487" s="4">
        <v>2</v>
      </c>
      <c r="J487" s="6">
        <v>144.25</v>
      </c>
      <c r="K487" s="7">
        <v>0.05</v>
      </c>
      <c r="L487" s="6">
        <f t="shared" si="28"/>
        <v>274.07499999999999</v>
      </c>
      <c r="M487" s="6">
        <v>105.58</v>
      </c>
      <c r="N487" s="8">
        <f t="shared" si="29"/>
        <v>62.914999999999992</v>
      </c>
      <c r="O487" s="4" t="s">
        <v>84</v>
      </c>
      <c r="P487" s="4" t="s">
        <v>97</v>
      </c>
      <c r="Q487" s="4">
        <v>3</v>
      </c>
      <c r="R487" s="21">
        <f t="shared" si="30"/>
        <v>0.22955395420961414</v>
      </c>
      <c r="S487" t="str">
        <f t="shared" si="31"/>
        <v>Small</v>
      </c>
    </row>
    <row r="488" spans="1:19" x14ac:dyDescent="0.35">
      <c r="A488" s="4" t="s">
        <v>847</v>
      </c>
      <c r="B488" s="5">
        <v>45831</v>
      </c>
      <c r="C488" s="4" t="s">
        <v>848</v>
      </c>
      <c r="D488" s="4" t="s">
        <v>47</v>
      </c>
      <c r="E488" s="4" t="s">
        <v>36</v>
      </c>
      <c r="F488" s="4" t="s">
        <v>37</v>
      </c>
      <c r="G488" s="4" t="s">
        <v>38</v>
      </c>
      <c r="H488" s="4" t="s">
        <v>109</v>
      </c>
      <c r="I488" s="4">
        <v>1</v>
      </c>
      <c r="J488" s="6">
        <v>1075.94</v>
      </c>
      <c r="K488" s="7">
        <v>0.05</v>
      </c>
      <c r="L488" s="6">
        <f t="shared" si="28"/>
        <v>1022.143</v>
      </c>
      <c r="M488" s="6">
        <v>897.42</v>
      </c>
      <c r="N488" s="8">
        <f t="shared" si="29"/>
        <v>124.72300000000007</v>
      </c>
      <c r="O488" s="4" t="s">
        <v>25</v>
      </c>
      <c r="P488" s="4" t="s">
        <v>97</v>
      </c>
      <c r="Q488" s="4">
        <v>4</v>
      </c>
      <c r="R488" s="21">
        <f t="shared" si="30"/>
        <v>0.12202108706903052</v>
      </c>
      <c r="S488" t="str">
        <f t="shared" si="31"/>
        <v>Medium</v>
      </c>
    </row>
    <row r="489" spans="1:19" x14ac:dyDescent="0.35">
      <c r="A489" s="4" t="s">
        <v>849</v>
      </c>
      <c r="B489" s="5">
        <v>45832</v>
      </c>
      <c r="C489" s="4" t="s">
        <v>120</v>
      </c>
      <c r="D489" s="4" t="s">
        <v>20</v>
      </c>
      <c r="E489" s="4" t="s">
        <v>36</v>
      </c>
      <c r="F489" s="4" t="s">
        <v>201</v>
      </c>
      <c r="G489" s="4" t="s">
        <v>38</v>
      </c>
      <c r="H489" s="4" t="s">
        <v>55</v>
      </c>
      <c r="I489" s="4">
        <v>4</v>
      </c>
      <c r="J489" s="6">
        <v>267.45</v>
      </c>
      <c r="K489" s="7">
        <v>0.15</v>
      </c>
      <c r="L489" s="6">
        <f t="shared" si="28"/>
        <v>909.32999999999993</v>
      </c>
      <c r="M489" s="6">
        <v>203.12</v>
      </c>
      <c r="N489" s="8">
        <f t="shared" si="29"/>
        <v>96.849999999999909</v>
      </c>
      <c r="O489" s="4" t="s">
        <v>51</v>
      </c>
      <c r="P489" s="4" t="s">
        <v>75</v>
      </c>
      <c r="Q489" s="4">
        <v>5</v>
      </c>
      <c r="R489" s="21">
        <f t="shared" si="30"/>
        <v>0.10650698866198181</v>
      </c>
      <c r="S489" t="str">
        <f t="shared" si="31"/>
        <v>Medium</v>
      </c>
    </row>
    <row r="490" spans="1:19" x14ac:dyDescent="0.35">
      <c r="A490" s="4" t="s">
        <v>850</v>
      </c>
      <c r="B490" s="5">
        <v>45832</v>
      </c>
      <c r="C490" s="4" t="s">
        <v>848</v>
      </c>
      <c r="D490" s="4" t="s">
        <v>43</v>
      </c>
      <c r="E490" s="4" t="s">
        <v>87</v>
      </c>
      <c r="F490" s="4" t="s">
        <v>92</v>
      </c>
      <c r="G490" s="4" t="s">
        <v>31</v>
      </c>
      <c r="H490" s="4" t="s">
        <v>147</v>
      </c>
      <c r="I490" s="4">
        <v>3</v>
      </c>
      <c r="J490" s="6">
        <v>90.61</v>
      </c>
      <c r="K490" s="7">
        <v>0</v>
      </c>
      <c r="L490" s="6">
        <f t="shared" si="28"/>
        <v>271.83</v>
      </c>
      <c r="M490" s="6">
        <v>53.66</v>
      </c>
      <c r="N490" s="8">
        <f t="shared" si="29"/>
        <v>110.85</v>
      </c>
      <c r="O490" s="4" t="s">
        <v>60</v>
      </c>
      <c r="P490" s="4" t="s">
        <v>72</v>
      </c>
      <c r="Q490" s="4">
        <v>5</v>
      </c>
      <c r="R490" s="21">
        <f t="shared" si="30"/>
        <v>0.40779163447743078</v>
      </c>
      <c r="S490" t="str">
        <f t="shared" si="31"/>
        <v>Small</v>
      </c>
    </row>
    <row r="491" spans="1:19" x14ac:dyDescent="0.35">
      <c r="A491" s="4" t="s">
        <v>851</v>
      </c>
      <c r="B491" s="5">
        <v>45832</v>
      </c>
      <c r="C491" s="4" t="s">
        <v>227</v>
      </c>
      <c r="D491" s="4" t="s">
        <v>47</v>
      </c>
      <c r="E491" s="4" t="s">
        <v>36</v>
      </c>
      <c r="F491" s="4" t="s">
        <v>48</v>
      </c>
      <c r="G491" s="4" t="s">
        <v>67</v>
      </c>
      <c r="H491" s="4" t="s">
        <v>68</v>
      </c>
      <c r="I491" s="4">
        <v>8</v>
      </c>
      <c r="J491" s="6">
        <v>1134.76</v>
      </c>
      <c r="K491" s="7">
        <v>0.1</v>
      </c>
      <c r="L491" s="6">
        <f t="shared" si="28"/>
        <v>8170.2719999999999</v>
      </c>
      <c r="M491" s="6">
        <v>699.48</v>
      </c>
      <c r="N491" s="8">
        <f t="shared" si="29"/>
        <v>2574.4319999999998</v>
      </c>
      <c r="O491" s="4" t="s">
        <v>84</v>
      </c>
      <c r="P491" s="4" t="s">
        <v>26</v>
      </c>
      <c r="Q491" s="4">
        <v>4</v>
      </c>
      <c r="R491" s="21">
        <f t="shared" si="30"/>
        <v>0.31509746554337481</v>
      </c>
      <c r="S491" t="str">
        <f t="shared" si="31"/>
        <v>Large</v>
      </c>
    </row>
    <row r="492" spans="1:19" x14ac:dyDescent="0.35">
      <c r="A492" s="4" t="s">
        <v>852</v>
      </c>
      <c r="B492" s="5">
        <v>45832</v>
      </c>
      <c r="C492" s="4" t="s">
        <v>655</v>
      </c>
      <c r="D492" s="4" t="s">
        <v>20</v>
      </c>
      <c r="E492" s="4" t="s">
        <v>21</v>
      </c>
      <c r="F492" s="4" t="s">
        <v>81</v>
      </c>
      <c r="G492" s="4" t="s">
        <v>49</v>
      </c>
      <c r="H492" s="4" t="s">
        <v>187</v>
      </c>
      <c r="I492" s="4">
        <v>2</v>
      </c>
      <c r="J492" s="6">
        <v>148.4</v>
      </c>
      <c r="K492" s="7">
        <v>0.05</v>
      </c>
      <c r="L492" s="6">
        <f t="shared" si="28"/>
        <v>281.95999999999998</v>
      </c>
      <c r="M492" s="6">
        <v>103.17</v>
      </c>
      <c r="N492" s="8">
        <f t="shared" si="29"/>
        <v>75.619999999999976</v>
      </c>
      <c r="O492" s="4" t="s">
        <v>40</v>
      </c>
      <c r="P492" s="4" t="s">
        <v>56</v>
      </c>
      <c r="Q492" s="4">
        <v>5</v>
      </c>
      <c r="R492" s="21">
        <f t="shared" si="30"/>
        <v>0.26819407008086249</v>
      </c>
      <c r="S492" t="str">
        <f t="shared" si="31"/>
        <v>Small</v>
      </c>
    </row>
    <row r="493" spans="1:19" x14ac:dyDescent="0.35">
      <c r="A493" s="4" t="s">
        <v>853</v>
      </c>
      <c r="B493" s="5">
        <v>45832</v>
      </c>
      <c r="C493" s="4" t="s">
        <v>526</v>
      </c>
      <c r="D493" s="4" t="s">
        <v>20</v>
      </c>
      <c r="E493" s="4" t="s">
        <v>36</v>
      </c>
      <c r="F493" s="4" t="s">
        <v>201</v>
      </c>
      <c r="G493" s="4" t="s">
        <v>31</v>
      </c>
      <c r="H493" s="4" t="s">
        <v>147</v>
      </c>
      <c r="I493" s="4">
        <v>3</v>
      </c>
      <c r="J493" s="6">
        <v>58.43</v>
      </c>
      <c r="K493" s="7">
        <v>0.1</v>
      </c>
      <c r="L493" s="6">
        <f t="shared" si="28"/>
        <v>157.761</v>
      </c>
      <c r="M493" s="6">
        <v>36.79</v>
      </c>
      <c r="N493" s="8">
        <f t="shared" si="29"/>
        <v>47.390999999999991</v>
      </c>
      <c r="O493" s="4" t="s">
        <v>84</v>
      </c>
      <c r="P493" s="4" t="s">
        <v>26</v>
      </c>
      <c r="Q493" s="4">
        <v>5</v>
      </c>
      <c r="R493" s="21">
        <f t="shared" si="30"/>
        <v>0.30039743662882457</v>
      </c>
      <c r="S493" t="str">
        <f t="shared" si="31"/>
        <v>Small</v>
      </c>
    </row>
    <row r="494" spans="1:19" x14ac:dyDescent="0.35">
      <c r="A494" s="4" t="s">
        <v>854</v>
      </c>
      <c r="B494" s="5">
        <v>45833</v>
      </c>
      <c r="C494" s="4" t="s">
        <v>612</v>
      </c>
      <c r="D494" s="4" t="s">
        <v>20</v>
      </c>
      <c r="E494" s="4" t="s">
        <v>21</v>
      </c>
      <c r="F494" s="4" t="s">
        <v>22</v>
      </c>
      <c r="G494" s="4" t="s">
        <v>38</v>
      </c>
      <c r="H494" s="4" t="s">
        <v>96</v>
      </c>
      <c r="I494" s="4">
        <v>1</v>
      </c>
      <c r="J494" s="6">
        <v>260.04000000000002</v>
      </c>
      <c r="K494" s="7">
        <v>0.05</v>
      </c>
      <c r="L494" s="6">
        <f t="shared" si="28"/>
        <v>247.03800000000001</v>
      </c>
      <c r="M494" s="6">
        <v>222.12</v>
      </c>
      <c r="N494" s="8">
        <f t="shared" si="29"/>
        <v>24.918000000000006</v>
      </c>
      <c r="O494" s="4" t="s">
        <v>84</v>
      </c>
      <c r="P494" s="4" t="s">
        <v>97</v>
      </c>
      <c r="Q494" s="4">
        <v>5</v>
      </c>
      <c r="R494" s="21">
        <f t="shared" si="30"/>
        <v>0.10086707308187406</v>
      </c>
      <c r="S494" t="str">
        <f t="shared" si="31"/>
        <v>Small</v>
      </c>
    </row>
    <row r="495" spans="1:19" x14ac:dyDescent="0.35">
      <c r="A495" s="4" t="s">
        <v>855</v>
      </c>
      <c r="B495" s="5">
        <v>45834</v>
      </c>
      <c r="C495" s="4" t="s">
        <v>856</v>
      </c>
      <c r="D495" s="4" t="s">
        <v>47</v>
      </c>
      <c r="E495" s="4" t="s">
        <v>87</v>
      </c>
      <c r="F495" s="4" t="s">
        <v>124</v>
      </c>
      <c r="G495" s="4" t="s">
        <v>67</v>
      </c>
      <c r="H495" s="4" t="s">
        <v>68</v>
      </c>
      <c r="I495" s="4">
        <v>3</v>
      </c>
      <c r="J495" s="6">
        <v>1086.1600000000001</v>
      </c>
      <c r="K495" s="7">
        <v>0</v>
      </c>
      <c r="L495" s="6">
        <f t="shared" si="28"/>
        <v>3258.4800000000005</v>
      </c>
      <c r="M495" s="6">
        <v>839.93</v>
      </c>
      <c r="N495" s="8">
        <f t="shared" si="29"/>
        <v>738.69000000000051</v>
      </c>
      <c r="O495" s="4" t="s">
        <v>60</v>
      </c>
      <c r="P495" s="4" t="s">
        <v>97</v>
      </c>
      <c r="Q495" s="4">
        <v>4</v>
      </c>
      <c r="R495" s="21">
        <f t="shared" si="30"/>
        <v>0.22669772409221489</v>
      </c>
      <c r="S495" t="str">
        <f t="shared" si="31"/>
        <v>Large</v>
      </c>
    </row>
    <row r="496" spans="1:19" x14ac:dyDescent="0.35">
      <c r="A496" s="4" t="s">
        <v>857</v>
      </c>
      <c r="B496" s="5">
        <v>45834</v>
      </c>
      <c r="C496" s="4" t="s">
        <v>858</v>
      </c>
      <c r="D496" s="4" t="s">
        <v>20</v>
      </c>
      <c r="E496" s="4" t="s">
        <v>87</v>
      </c>
      <c r="F496" s="4" t="s">
        <v>88</v>
      </c>
      <c r="G496" s="4" t="s">
        <v>67</v>
      </c>
      <c r="H496" s="4" t="s">
        <v>68</v>
      </c>
      <c r="I496" s="4">
        <v>8</v>
      </c>
      <c r="J496" s="6">
        <v>1150.28</v>
      </c>
      <c r="K496" s="7">
        <v>0.2</v>
      </c>
      <c r="L496" s="6">
        <f t="shared" si="28"/>
        <v>7361.7920000000004</v>
      </c>
      <c r="M496" s="6">
        <v>716.78</v>
      </c>
      <c r="N496" s="8">
        <f t="shared" si="29"/>
        <v>1627.5520000000006</v>
      </c>
      <c r="O496" s="4" t="s">
        <v>84</v>
      </c>
      <c r="P496" s="4" t="s">
        <v>56</v>
      </c>
      <c r="Q496" s="4">
        <v>5</v>
      </c>
      <c r="R496" s="21">
        <f t="shared" si="30"/>
        <v>0.22108095420245513</v>
      </c>
      <c r="S496" t="str">
        <f t="shared" si="31"/>
        <v>Large</v>
      </c>
    </row>
    <row r="497" spans="1:19" x14ac:dyDescent="0.35">
      <c r="A497" s="4" t="s">
        <v>859</v>
      </c>
      <c r="B497" s="5">
        <v>45834</v>
      </c>
      <c r="C497" s="4" t="s">
        <v>589</v>
      </c>
      <c r="D497" s="4" t="s">
        <v>47</v>
      </c>
      <c r="E497" s="4" t="s">
        <v>36</v>
      </c>
      <c r="F497" s="4" t="s">
        <v>48</v>
      </c>
      <c r="G497" s="4" t="s">
        <v>38</v>
      </c>
      <c r="H497" s="4" t="s">
        <v>109</v>
      </c>
      <c r="I497" s="4">
        <v>1</v>
      </c>
      <c r="J497" s="6">
        <v>339.83</v>
      </c>
      <c r="K497" s="7">
        <v>0</v>
      </c>
      <c r="L497" s="6">
        <f t="shared" si="28"/>
        <v>339.83</v>
      </c>
      <c r="M497" s="6">
        <v>274.33999999999997</v>
      </c>
      <c r="N497" s="8">
        <f t="shared" si="29"/>
        <v>65.490000000000009</v>
      </c>
      <c r="O497" s="4" t="s">
        <v>60</v>
      </c>
      <c r="P497" s="4" t="s">
        <v>97</v>
      </c>
      <c r="Q497" s="4">
        <v>5</v>
      </c>
      <c r="R497" s="21">
        <f t="shared" si="30"/>
        <v>0.19271400406085398</v>
      </c>
      <c r="S497" t="str">
        <f t="shared" si="31"/>
        <v>Small</v>
      </c>
    </row>
    <row r="498" spans="1:19" x14ac:dyDescent="0.35">
      <c r="A498" s="4" t="s">
        <v>860</v>
      </c>
      <c r="B498" s="5">
        <v>45835</v>
      </c>
      <c r="C498" s="4" t="s">
        <v>420</v>
      </c>
      <c r="D498" s="4" t="s">
        <v>43</v>
      </c>
      <c r="E498" s="4" t="s">
        <v>87</v>
      </c>
      <c r="F498" s="4" t="s">
        <v>92</v>
      </c>
      <c r="G498" s="4" t="s">
        <v>49</v>
      </c>
      <c r="H498" s="4" t="s">
        <v>187</v>
      </c>
      <c r="I498" s="4">
        <v>1</v>
      </c>
      <c r="J498" s="6">
        <v>47.78</v>
      </c>
      <c r="K498" s="7">
        <v>0.05</v>
      </c>
      <c r="L498" s="6">
        <f t="shared" si="28"/>
        <v>45.390999999999998</v>
      </c>
      <c r="M498" s="6">
        <v>29.02</v>
      </c>
      <c r="N498" s="8">
        <f t="shared" si="29"/>
        <v>16.370999999999999</v>
      </c>
      <c r="O498" s="4" t="s">
        <v>84</v>
      </c>
      <c r="P498" s="4" t="s">
        <v>72</v>
      </c>
      <c r="Q498" s="4">
        <v>5</v>
      </c>
      <c r="R498" s="21">
        <f t="shared" si="30"/>
        <v>0.36066621136348614</v>
      </c>
      <c r="S498" t="str">
        <f t="shared" si="31"/>
        <v>Small</v>
      </c>
    </row>
    <row r="499" spans="1:19" x14ac:dyDescent="0.35">
      <c r="A499" s="4" t="s">
        <v>861</v>
      </c>
      <c r="B499" s="5">
        <v>45836</v>
      </c>
      <c r="C499" s="4" t="s">
        <v>158</v>
      </c>
      <c r="D499" s="4" t="s">
        <v>43</v>
      </c>
      <c r="E499" s="4" t="s">
        <v>87</v>
      </c>
      <c r="F499" s="4" t="s">
        <v>88</v>
      </c>
      <c r="G499" s="4" t="s">
        <v>67</v>
      </c>
      <c r="H499" s="4" t="s">
        <v>93</v>
      </c>
      <c r="I499" s="4">
        <v>1</v>
      </c>
      <c r="J499" s="6">
        <v>320.8</v>
      </c>
      <c r="K499" s="7">
        <v>0</v>
      </c>
      <c r="L499" s="6">
        <f t="shared" si="28"/>
        <v>320.8</v>
      </c>
      <c r="M499" s="6">
        <v>230.43</v>
      </c>
      <c r="N499" s="8">
        <f t="shared" si="29"/>
        <v>90.37</v>
      </c>
      <c r="O499" s="4" t="s">
        <v>84</v>
      </c>
      <c r="P499" s="4" t="s">
        <v>118</v>
      </c>
      <c r="Q499" s="4">
        <v>4</v>
      </c>
      <c r="R499" s="21">
        <f t="shared" si="30"/>
        <v>0.28170199501246884</v>
      </c>
      <c r="S499" t="str">
        <f t="shared" si="31"/>
        <v>Small</v>
      </c>
    </row>
    <row r="500" spans="1:19" x14ac:dyDescent="0.35">
      <c r="A500" s="4" t="s">
        <v>862</v>
      </c>
      <c r="B500" s="5">
        <v>45837</v>
      </c>
      <c r="C500" s="4" t="s">
        <v>231</v>
      </c>
      <c r="D500" s="4" t="s">
        <v>20</v>
      </c>
      <c r="E500" s="4" t="s">
        <v>36</v>
      </c>
      <c r="F500" s="4" t="s">
        <v>37</v>
      </c>
      <c r="G500" s="4" t="s">
        <v>23</v>
      </c>
      <c r="H500" s="4" t="s">
        <v>135</v>
      </c>
      <c r="I500" s="4">
        <v>2</v>
      </c>
      <c r="J500" s="6">
        <v>8.2799999999999994</v>
      </c>
      <c r="K500" s="7">
        <v>0</v>
      </c>
      <c r="L500" s="6">
        <f t="shared" si="28"/>
        <v>16.559999999999999</v>
      </c>
      <c r="M500" s="6">
        <v>5.1100000000000003</v>
      </c>
      <c r="N500" s="8">
        <f t="shared" si="29"/>
        <v>6.3399999999999981</v>
      </c>
      <c r="O500" s="4" t="s">
        <v>40</v>
      </c>
      <c r="P500" s="4" t="s">
        <v>33</v>
      </c>
      <c r="Q500" s="4">
        <v>2</v>
      </c>
      <c r="R500" s="21">
        <f t="shared" si="30"/>
        <v>0.38285024154589364</v>
      </c>
      <c r="S500" t="str">
        <f t="shared" si="31"/>
        <v>Small</v>
      </c>
    </row>
    <row r="501" spans="1:19" x14ac:dyDescent="0.35">
      <c r="A501" s="4" t="s">
        <v>863</v>
      </c>
      <c r="B501" s="5">
        <v>45837</v>
      </c>
      <c r="C501" s="4" t="s">
        <v>732</v>
      </c>
      <c r="D501" s="4" t="s">
        <v>20</v>
      </c>
      <c r="E501" s="4" t="s">
        <v>36</v>
      </c>
      <c r="F501" s="4" t="s">
        <v>37</v>
      </c>
      <c r="G501" s="4" t="s">
        <v>23</v>
      </c>
      <c r="H501" s="4" t="s">
        <v>135</v>
      </c>
      <c r="I501" s="4">
        <v>8</v>
      </c>
      <c r="J501" s="6">
        <v>16.989999999999998</v>
      </c>
      <c r="K501" s="7">
        <v>0.2</v>
      </c>
      <c r="L501" s="6">
        <f t="shared" si="28"/>
        <v>108.73599999999999</v>
      </c>
      <c r="M501" s="6">
        <v>10.050000000000001</v>
      </c>
      <c r="N501" s="8">
        <f t="shared" si="29"/>
        <v>28.335999999999984</v>
      </c>
      <c r="O501" s="4" t="s">
        <v>60</v>
      </c>
      <c r="P501" s="4" t="s">
        <v>75</v>
      </c>
      <c r="Q501" s="4">
        <v>3</v>
      </c>
      <c r="R501" s="21">
        <f t="shared" si="30"/>
        <v>0.2605944673337256</v>
      </c>
      <c r="S501" t="str">
        <f t="shared" si="31"/>
        <v>Small</v>
      </c>
    </row>
    <row r="502" spans="1:19" x14ac:dyDescent="0.35">
      <c r="A502" s="4" t="s">
        <v>864</v>
      </c>
      <c r="B502" s="5">
        <v>45837</v>
      </c>
      <c r="C502" s="4" t="s">
        <v>299</v>
      </c>
      <c r="D502" s="4" t="s">
        <v>20</v>
      </c>
      <c r="E502" s="4" t="s">
        <v>87</v>
      </c>
      <c r="F502" s="4" t="s">
        <v>124</v>
      </c>
      <c r="G502" s="4" t="s">
        <v>23</v>
      </c>
      <c r="H502" s="4" t="s">
        <v>71</v>
      </c>
      <c r="I502" s="4">
        <v>1</v>
      </c>
      <c r="J502" s="6">
        <v>216.07</v>
      </c>
      <c r="K502" s="7">
        <v>0</v>
      </c>
      <c r="L502" s="6">
        <f t="shared" si="28"/>
        <v>216.07</v>
      </c>
      <c r="M502" s="6">
        <v>104.19</v>
      </c>
      <c r="N502" s="8">
        <f t="shared" si="29"/>
        <v>111.88</v>
      </c>
      <c r="O502" s="4" t="s">
        <v>40</v>
      </c>
      <c r="P502" s="4" t="s">
        <v>118</v>
      </c>
      <c r="Q502" s="4">
        <v>5</v>
      </c>
      <c r="R502" s="21">
        <f t="shared" si="30"/>
        <v>0.51779515897625772</v>
      </c>
      <c r="S502" t="str">
        <f t="shared" si="31"/>
        <v>Small</v>
      </c>
    </row>
    <row r="503" spans="1:19" x14ac:dyDescent="0.35">
      <c r="A503" s="4" t="s">
        <v>865</v>
      </c>
      <c r="B503" s="5">
        <v>45838</v>
      </c>
      <c r="C503" s="4" t="s">
        <v>233</v>
      </c>
      <c r="D503" s="4" t="s">
        <v>43</v>
      </c>
      <c r="E503" s="4" t="s">
        <v>36</v>
      </c>
      <c r="F503" s="4" t="s">
        <v>48</v>
      </c>
      <c r="G503" s="4" t="s">
        <v>38</v>
      </c>
      <c r="H503" s="4" t="s">
        <v>55</v>
      </c>
      <c r="I503" s="4">
        <v>2</v>
      </c>
      <c r="J503" s="6">
        <v>221.77</v>
      </c>
      <c r="K503" s="7">
        <v>0.2</v>
      </c>
      <c r="L503" s="6">
        <f t="shared" si="28"/>
        <v>354.83200000000005</v>
      </c>
      <c r="M503" s="6">
        <v>185.19</v>
      </c>
      <c r="N503" s="8">
        <f t="shared" si="29"/>
        <v>-15.547999999999945</v>
      </c>
      <c r="O503" s="4" t="s">
        <v>25</v>
      </c>
      <c r="P503" s="4" t="s">
        <v>97</v>
      </c>
      <c r="Q503" s="4">
        <v>3</v>
      </c>
      <c r="R503" s="21">
        <f t="shared" si="30"/>
        <v>-4.3817919466113381E-2</v>
      </c>
      <c r="S503" t="str">
        <f t="shared" si="31"/>
        <v>Small</v>
      </c>
    </row>
    <row r="504" spans="1:19" x14ac:dyDescent="0.35">
      <c r="A504" s="4" t="s">
        <v>866</v>
      </c>
      <c r="B504" s="5">
        <v>45838</v>
      </c>
      <c r="C504" s="4" t="s">
        <v>867</v>
      </c>
      <c r="D504" s="4" t="s">
        <v>20</v>
      </c>
      <c r="E504" s="4" t="s">
        <v>87</v>
      </c>
      <c r="F504" s="4" t="s">
        <v>92</v>
      </c>
      <c r="G504" s="4" t="s">
        <v>49</v>
      </c>
      <c r="H504" s="4" t="s">
        <v>78</v>
      </c>
      <c r="I504" s="4">
        <v>4</v>
      </c>
      <c r="J504" s="6">
        <v>486.03</v>
      </c>
      <c r="K504" s="7">
        <v>0.05</v>
      </c>
      <c r="L504" s="6">
        <f t="shared" si="28"/>
        <v>1846.9139999999998</v>
      </c>
      <c r="M504" s="6">
        <v>322.16000000000003</v>
      </c>
      <c r="N504" s="8">
        <f t="shared" si="29"/>
        <v>558.27399999999966</v>
      </c>
      <c r="O504" s="4" t="s">
        <v>40</v>
      </c>
      <c r="P504" s="4" t="s">
        <v>75</v>
      </c>
      <c r="Q504" s="4">
        <v>3</v>
      </c>
      <c r="R504" s="21">
        <f t="shared" si="30"/>
        <v>0.30227395536554474</v>
      </c>
      <c r="S504" t="str">
        <f t="shared" si="31"/>
        <v>Medium</v>
      </c>
    </row>
    <row r="505" spans="1:19" x14ac:dyDescent="0.35">
      <c r="A505" s="4" t="s">
        <v>868</v>
      </c>
      <c r="B505" s="5">
        <v>45839</v>
      </c>
      <c r="C505" s="4" t="s">
        <v>869</v>
      </c>
      <c r="D505" s="4" t="s">
        <v>47</v>
      </c>
      <c r="E505" s="4" t="s">
        <v>29</v>
      </c>
      <c r="F505" s="4" t="s">
        <v>30</v>
      </c>
      <c r="G505" s="4" t="s">
        <v>38</v>
      </c>
      <c r="H505" s="4" t="s">
        <v>109</v>
      </c>
      <c r="I505" s="4">
        <v>1</v>
      </c>
      <c r="J505" s="6">
        <v>328.69</v>
      </c>
      <c r="K505" s="7">
        <v>0.15</v>
      </c>
      <c r="L505" s="6">
        <f t="shared" si="28"/>
        <v>279.38650000000001</v>
      </c>
      <c r="M505" s="6">
        <v>282.99</v>
      </c>
      <c r="N505" s="8">
        <f t="shared" si="29"/>
        <v>-3.6034999999999968</v>
      </c>
      <c r="O505" s="4" t="s">
        <v>40</v>
      </c>
      <c r="P505" s="4" t="s">
        <v>118</v>
      </c>
      <c r="Q505" s="4">
        <v>5</v>
      </c>
      <c r="R505" s="21">
        <f t="shared" si="30"/>
        <v>-1.2897903084078854E-2</v>
      </c>
      <c r="S505" t="str">
        <f t="shared" si="31"/>
        <v>Small</v>
      </c>
    </row>
    <row r="506" spans="1:19" x14ac:dyDescent="0.35">
      <c r="A506" s="4" t="s">
        <v>870</v>
      </c>
      <c r="B506" s="5">
        <v>45839</v>
      </c>
      <c r="C506" s="4" t="s">
        <v>379</v>
      </c>
      <c r="D506" s="4" t="s">
        <v>47</v>
      </c>
      <c r="E506" s="4" t="s">
        <v>87</v>
      </c>
      <c r="F506" s="4" t="s">
        <v>88</v>
      </c>
      <c r="G506" s="4" t="s">
        <v>23</v>
      </c>
      <c r="H506" s="4" t="s">
        <v>44</v>
      </c>
      <c r="I506" s="4">
        <v>2</v>
      </c>
      <c r="J506" s="6">
        <v>99.16</v>
      </c>
      <c r="K506" s="7">
        <v>0</v>
      </c>
      <c r="L506" s="6">
        <f t="shared" si="28"/>
        <v>198.32</v>
      </c>
      <c r="M506" s="6">
        <v>43.49</v>
      </c>
      <c r="N506" s="8">
        <f t="shared" si="29"/>
        <v>111.33999999999999</v>
      </c>
      <c r="O506" s="4" t="s">
        <v>84</v>
      </c>
      <c r="P506" s="4" t="s">
        <v>33</v>
      </c>
      <c r="Q506" s="4">
        <v>4</v>
      </c>
      <c r="R506" s="21">
        <f t="shared" si="30"/>
        <v>0.56141589350544574</v>
      </c>
      <c r="S506" t="str">
        <f t="shared" si="31"/>
        <v>Small</v>
      </c>
    </row>
    <row r="507" spans="1:19" x14ac:dyDescent="0.35">
      <c r="A507" s="4" t="s">
        <v>871</v>
      </c>
      <c r="B507" s="5">
        <v>45839</v>
      </c>
      <c r="C507" s="4" t="s">
        <v>233</v>
      </c>
      <c r="D507" s="4" t="s">
        <v>20</v>
      </c>
      <c r="E507" s="4" t="s">
        <v>87</v>
      </c>
      <c r="F507" s="4" t="s">
        <v>92</v>
      </c>
      <c r="G507" s="4" t="s">
        <v>31</v>
      </c>
      <c r="H507" s="4" t="s">
        <v>125</v>
      </c>
      <c r="I507" s="4">
        <v>6</v>
      </c>
      <c r="J507" s="6">
        <v>129.19999999999999</v>
      </c>
      <c r="K507" s="7">
        <v>0</v>
      </c>
      <c r="L507" s="6">
        <f t="shared" si="28"/>
        <v>775.19999999999993</v>
      </c>
      <c r="M507" s="6">
        <v>71.790000000000006</v>
      </c>
      <c r="N507" s="8">
        <f t="shared" si="29"/>
        <v>344.45999999999992</v>
      </c>
      <c r="O507" s="4" t="s">
        <v>60</v>
      </c>
      <c r="P507" s="4" t="s">
        <v>118</v>
      </c>
      <c r="Q507" s="4">
        <v>1</v>
      </c>
      <c r="R507" s="21">
        <f t="shared" si="30"/>
        <v>0.44434984520123832</v>
      </c>
      <c r="S507" t="str">
        <f t="shared" si="31"/>
        <v>Medium</v>
      </c>
    </row>
    <row r="508" spans="1:19" x14ac:dyDescent="0.35">
      <c r="A508" s="4" t="s">
        <v>872</v>
      </c>
      <c r="B508" s="5">
        <v>45839</v>
      </c>
      <c r="C508" s="4" t="s">
        <v>289</v>
      </c>
      <c r="D508" s="4" t="s">
        <v>20</v>
      </c>
      <c r="E508" s="4" t="s">
        <v>21</v>
      </c>
      <c r="F508" s="4" t="s">
        <v>81</v>
      </c>
      <c r="G508" s="4" t="s">
        <v>31</v>
      </c>
      <c r="H508" s="4" t="s">
        <v>147</v>
      </c>
      <c r="I508" s="4">
        <v>1</v>
      </c>
      <c r="J508" s="6">
        <v>62.45</v>
      </c>
      <c r="K508" s="7">
        <v>0</v>
      </c>
      <c r="L508" s="6">
        <f t="shared" si="28"/>
        <v>62.45</v>
      </c>
      <c r="M508" s="6">
        <v>39.46</v>
      </c>
      <c r="N508" s="8">
        <f t="shared" si="29"/>
        <v>22.990000000000002</v>
      </c>
      <c r="O508" s="4" t="s">
        <v>40</v>
      </c>
      <c r="P508" s="4" t="s">
        <v>26</v>
      </c>
      <c r="Q508" s="4">
        <v>4</v>
      </c>
      <c r="R508" s="21">
        <f t="shared" si="30"/>
        <v>0.3681345076060849</v>
      </c>
      <c r="S508" t="str">
        <f t="shared" si="31"/>
        <v>Small</v>
      </c>
    </row>
    <row r="509" spans="1:19" x14ac:dyDescent="0.35">
      <c r="A509" s="4" t="s">
        <v>873</v>
      </c>
      <c r="B509" s="5">
        <v>45841</v>
      </c>
      <c r="C509" s="4" t="s">
        <v>237</v>
      </c>
      <c r="D509" s="4" t="s">
        <v>47</v>
      </c>
      <c r="E509" s="4" t="s">
        <v>29</v>
      </c>
      <c r="F509" s="4" t="s">
        <v>30</v>
      </c>
      <c r="G509" s="4" t="s">
        <v>67</v>
      </c>
      <c r="H509" s="4" t="s">
        <v>121</v>
      </c>
      <c r="I509" s="4">
        <v>8</v>
      </c>
      <c r="J509" s="6">
        <v>201.89</v>
      </c>
      <c r="K509" s="7">
        <v>0.2</v>
      </c>
      <c r="L509" s="6">
        <f t="shared" si="28"/>
        <v>1292.096</v>
      </c>
      <c r="M509" s="6">
        <v>159.74</v>
      </c>
      <c r="N509" s="8">
        <f t="shared" si="29"/>
        <v>14.175999999999931</v>
      </c>
      <c r="O509" s="4" t="s">
        <v>84</v>
      </c>
      <c r="P509" s="4" t="s">
        <v>75</v>
      </c>
      <c r="Q509" s="4">
        <v>5</v>
      </c>
      <c r="R509" s="21">
        <f t="shared" si="30"/>
        <v>1.0971321016395013E-2</v>
      </c>
      <c r="S509" t="str">
        <f t="shared" si="31"/>
        <v>Medium</v>
      </c>
    </row>
    <row r="510" spans="1:19" x14ac:dyDescent="0.35">
      <c r="A510" s="4" t="s">
        <v>874</v>
      </c>
      <c r="B510" s="5">
        <v>45841</v>
      </c>
      <c r="C510" s="4" t="s">
        <v>739</v>
      </c>
      <c r="D510" s="4" t="s">
        <v>43</v>
      </c>
      <c r="E510" s="4" t="s">
        <v>29</v>
      </c>
      <c r="F510" s="4" t="s">
        <v>54</v>
      </c>
      <c r="G510" s="4" t="s">
        <v>67</v>
      </c>
      <c r="H510" s="4" t="s">
        <v>121</v>
      </c>
      <c r="I510" s="4">
        <v>2</v>
      </c>
      <c r="J510" s="6">
        <v>355.21</v>
      </c>
      <c r="K510" s="7">
        <v>0</v>
      </c>
      <c r="L510" s="6">
        <f t="shared" si="28"/>
        <v>710.42</v>
      </c>
      <c r="M510" s="6">
        <v>245.3</v>
      </c>
      <c r="N510" s="8">
        <f t="shared" si="29"/>
        <v>219.81999999999994</v>
      </c>
      <c r="O510" s="4" t="s">
        <v>60</v>
      </c>
      <c r="P510" s="4" t="s">
        <v>75</v>
      </c>
      <c r="Q510" s="4">
        <v>5</v>
      </c>
      <c r="R510" s="21">
        <f t="shared" si="30"/>
        <v>0.3094225950845978</v>
      </c>
      <c r="S510" t="str">
        <f t="shared" si="31"/>
        <v>Medium</v>
      </c>
    </row>
    <row r="511" spans="1:19" x14ac:dyDescent="0.35">
      <c r="A511" s="4" t="s">
        <v>875</v>
      </c>
      <c r="B511" s="5">
        <v>45842</v>
      </c>
      <c r="C511" s="4" t="s">
        <v>644</v>
      </c>
      <c r="D511" s="4" t="s">
        <v>43</v>
      </c>
      <c r="E511" s="4" t="s">
        <v>87</v>
      </c>
      <c r="F511" s="4" t="s">
        <v>88</v>
      </c>
      <c r="G511" s="4" t="s">
        <v>38</v>
      </c>
      <c r="H511" s="4" t="s">
        <v>96</v>
      </c>
      <c r="I511" s="4">
        <v>1</v>
      </c>
      <c r="J511" s="6">
        <v>306.70999999999998</v>
      </c>
      <c r="K511" s="7">
        <v>0.15</v>
      </c>
      <c r="L511" s="6">
        <f t="shared" si="28"/>
        <v>260.70349999999996</v>
      </c>
      <c r="M511" s="6">
        <v>241.42</v>
      </c>
      <c r="N511" s="8">
        <f t="shared" si="29"/>
        <v>19.283499999999975</v>
      </c>
      <c r="O511" s="4" t="s">
        <v>51</v>
      </c>
      <c r="P511" s="4" t="s">
        <v>61</v>
      </c>
      <c r="Q511" s="4">
        <v>4</v>
      </c>
      <c r="R511" s="21">
        <f t="shared" si="30"/>
        <v>7.3967169600714908E-2</v>
      </c>
      <c r="S511" t="str">
        <f t="shared" si="31"/>
        <v>Small</v>
      </c>
    </row>
    <row r="512" spans="1:19" x14ac:dyDescent="0.35">
      <c r="A512" s="4" t="s">
        <v>876</v>
      </c>
      <c r="B512" s="5">
        <v>45843</v>
      </c>
      <c r="C512" s="4" t="s">
        <v>573</v>
      </c>
      <c r="D512" s="4" t="s">
        <v>43</v>
      </c>
      <c r="E512" s="4" t="s">
        <v>29</v>
      </c>
      <c r="F512" s="4" t="s">
        <v>30</v>
      </c>
      <c r="G512" s="4" t="s">
        <v>38</v>
      </c>
      <c r="H512" s="4" t="s">
        <v>55</v>
      </c>
      <c r="I512" s="4">
        <v>1</v>
      </c>
      <c r="J512" s="6">
        <v>168.42</v>
      </c>
      <c r="K512" s="7">
        <v>0.1</v>
      </c>
      <c r="L512" s="6">
        <f t="shared" si="28"/>
        <v>151.578</v>
      </c>
      <c r="M512" s="6">
        <v>139.21</v>
      </c>
      <c r="N512" s="8">
        <f t="shared" si="29"/>
        <v>12.367999999999995</v>
      </c>
      <c r="O512" s="4" t="s">
        <v>25</v>
      </c>
      <c r="P512" s="4" t="s">
        <v>61</v>
      </c>
      <c r="Q512" s="4">
        <v>4</v>
      </c>
      <c r="R512" s="21">
        <f t="shared" si="30"/>
        <v>8.1594954412909496E-2</v>
      </c>
      <c r="S512" t="str">
        <f t="shared" si="31"/>
        <v>Small</v>
      </c>
    </row>
    <row r="513" spans="1:19" x14ac:dyDescent="0.35">
      <c r="A513" s="4" t="s">
        <v>877</v>
      </c>
      <c r="B513" s="5">
        <v>45843</v>
      </c>
      <c r="C513" s="4" t="s">
        <v>869</v>
      </c>
      <c r="D513" s="4" t="s">
        <v>20</v>
      </c>
      <c r="E513" s="4" t="s">
        <v>87</v>
      </c>
      <c r="F513" s="4" t="s">
        <v>124</v>
      </c>
      <c r="G513" s="4" t="s">
        <v>23</v>
      </c>
      <c r="H513" s="4" t="s">
        <v>135</v>
      </c>
      <c r="I513" s="4">
        <v>3</v>
      </c>
      <c r="J513" s="6">
        <v>21.86</v>
      </c>
      <c r="K513" s="7">
        <v>0</v>
      </c>
      <c r="L513" s="6">
        <f t="shared" si="28"/>
        <v>65.58</v>
      </c>
      <c r="M513" s="6">
        <v>8.89</v>
      </c>
      <c r="N513" s="8">
        <f t="shared" si="29"/>
        <v>38.909999999999997</v>
      </c>
      <c r="O513" s="4" t="s">
        <v>51</v>
      </c>
      <c r="P513" s="4" t="s">
        <v>56</v>
      </c>
      <c r="Q513" s="4">
        <v>3</v>
      </c>
      <c r="R513" s="21">
        <f t="shared" si="30"/>
        <v>0.59332113449222323</v>
      </c>
      <c r="S513" t="str">
        <f t="shared" si="31"/>
        <v>Small</v>
      </c>
    </row>
    <row r="514" spans="1:19" x14ac:dyDescent="0.35">
      <c r="A514" s="4" t="s">
        <v>878</v>
      </c>
      <c r="B514" s="5">
        <v>45843</v>
      </c>
      <c r="C514" s="4" t="s">
        <v>287</v>
      </c>
      <c r="D514" s="4" t="s">
        <v>20</v>
      </c>
      <c r="E514" s="4" t="s">
        <v>36</v>
      </c>
      <c r="F514" s="4" t="s">
        <v>48</v>
      </c>
      <c r="G514" s="4" t="s">
        <v>23</v>
      </c>
      <c r="H514" s="4" t="s">
        <v>44</v>
      </c>
      <c r="I514" s="4">
        <v>2</v>
      </c>
      <c r="J514" s="6">
        <v>76.05</v>
      </c>
      <c r="K514" s="7">
        <v>0</v>
      </c>
      <c r="L514" s="6">
        <f t="shared" ref="L514:L577" si="32">I514*J514*(1-K514)</f>
        <v>152.1</v>
      </c>
      <c r="M514" s="6">
        <v>30.72</v>
      </c>
      <c r="N514" s="8">
        <f t="shared" ref="N514:N577" si="33">L514-I514*M514</f>
        <v>90.66</v>
      </c>
      <c r="O514" s="4" t="s">
        <v>60</v>
      </c>
      <c r="P514" s="4" t="s">
        <v>75</v>
      </c>
      <c r="Q514" s="4">
        <v>4</v>
      </c>
      <c r="R514" s="21">
        <f t="shared" si="30"/>
        <v>0.59605522682445755</v>
      </c>
      <c r="S514" t="str">
        <f t="shared" si="31"/>
        <v>Small</v>
      </c>
    </row>
    <row r="515" spans="1:19" x14ac:dyDescent="0.35">
      <c r="A515" s="4" t="s">
        <v>879</v>
      </c>
      <c r="B515" s="5">
        <v>45843</v>
      </c>
      <c r="C515" s="4" t="s">
        <v>880</v>
      </c>
      <c r="D515" s="4" t="s">
        <v>47</v>
      </c>
      <c r="E515" s="4" t="s">
        <v>36</v>
      </c>
      <c r="F515" s="4" t="s">
        <v>201</v>
      </c>
      <c r="G515" s="4" t="s">
        <v>23</v>
      </c>
      <c r="H515" s="4" t="s">
        <v>44</v>
      </c>
      <c r="I515" s="4">
        <v>1</v>
      </c>
      <c r="J515" s="6">
        <v>51.34</v>
      </c>
      <c r="K515" s="7">
        <v>0</v>
      </c>
      <c r="L515" s="6">
        <f t="shared" si="32"/>
        <v>51.34</v>
      </c>
      <c r="M515" s="6">
        <v>24.89</v>
      </c>
      <c r="N515" s="8">
        <f t="shared" si="33"/>
        <v>26.450000000000003</v>
      </c>
      <c r="O515" s="4" t="s">
        <v>60</v>
      </c>
      <c r="P515" s="4" t="s">
        <v>26</v>
      </c>
      <c r="Q515" s="4">
        <v>3</v>
      </c>
      <c r="R515" s="21">
        <f t="shared" ref="R515:R578" si="34">IF(L515=0,0,N515/L515)</f>
        <v>0.51519283209972733</v>
      </c>
      <c r="S515" t="str">
        <f t="shared" ref="S515:S578" si="35">IF(L515&gt;=2000,"Large",IF(L515&gt;=500,"Medium","Small"))</f>
        <v>Small</v>
      </c>
    </row>
    <row r="516" spans="1:19" x14ac:dyDescent="0.35">
      <c r="A516" s="4" t="s">
        <v>881</v>
      </c>
      <c r="B516" s="5">
        <v>45844</v>
      </c>
      <c r="C516" s="4" t="s">
        <v>713</v>
      </c>
      <c r="D516" s="4" t="s">
        <v>43</v>
      </c>
      <c r="E516" s="4" t="s">
        <v>36</v>
      </c>
      <c r="F516" s="4" t="s">
        <v>201</v>
      </c>
      <c r="G516" s="4" t="s">
        <v>38</v>
      </c>
      <c r="H516" s="4" t="s">
        <v>96</v>
      </c>
      <c r="I516" s="4">
        <v>3</v>
      </c>
      <c r="J516" s="6">
        <v>174.89</v>
      </c>
      <c r="K516" s="7">
        <v>0.05</v>
      </c>
      <c r="L516" s="6">
        <f t="shared" si="32"/>
        <v>498.43649999999991</v>
      </c>
      <c r="M516" s="6">
        <v>146.47999999999999</v>
      </c>
      <c r="N516" s="8">
        <f t="shared" si="33"/>
        <v>58.996499999999969</v>
      </c>
      <c r="O516" s="4" t="s">
        <v>51</v>
      </c>
      <c r="P516" s="4" t="s">
        <v>33</v>
      </c>
      <c r="Q516" s="4">
        <v>4</v>
      </c>
      <c r="R516" s="21">
        <f t="shared" si="34"/>
        <v>0.11836312148087064</v>
      </c>
      <c r="S516" t="str">
        <f t="shared" si="35"/>
        <v>Small</v>
      </c>
    </row>
    <row r="517" spans="1:19" x14ac:dyDescent="0.35">
      <c r="A517" s="4" t="s">
        <v>882</v>
      </c>
      <c r="B517" s="5">
        <v>45844</v>
      </c>
      <c r="C517" s="4" t="s">
        <v>767</v>
      </c>
      <c r="D517" s="4" t="s">
        <v>43</v>
      </c>
      <c r="E517" s="4" t="s">
        <v>36</v>
      </c>
      <c r="F517" s="4" t="s">
        <v>37</v>
      </c>
      <c r="G517" s="4" t="s">
        <v>49</v>
      </c>
      <c r="H517" s="4" t="s">
        <v>128</v>
      </c>
      <c r="I517" s="4">
        <v>1</v>
      </c>
      <c r="J517" s="6">
        <v>51.38</v>
      </c>
      <c r="K517" s="7">
        <v>0.05</v>
      </c>
      <c r="L517" s="6">
        <f t="shared" si="32"/>
        <v>48.811</v>
      </c>
      <c r="M517" s="6">
        <v>37.729999999999997</v>
      </c>
      <c r="N517" s="8">
        <f t="shared" si="33"/>
        <v>11.081000000000003</v>
      </c>
      <c r="O517" s="4" t="s">
        <v>60</v>
      </c>
      <c r="P517" s="4" t="s">
        <v>75</v>
      </c>
      <c r="Q517" s="4">
        <v>3</v>
      </c>
      <c r="R517" s="21">
        <f t="shared" si="34"/>
        <v>0.22701849992829493</v>
      </c>
      <c r="S517" t="str">
        <f t="shared" si="35"/>
        <v>Small</v>
      </c>
    </row>
    <row r="518" spans="1:19" x14ac:dyDescent="0.35">
      <c r="A518" s="4" t="s">
        <v>883</v>
      </c>
      <c r="B518" s="5">
        <v>45844</v>
      </c>
      <c r="C518" s="4" t="s">
        <v>884</v>
      </c>
      <c r="D518" s="4" t="s">
        <v>20</v>
      </c>
      <c r="E518" s="4" t="s">
        <v>29</v>
      </c>
      <c r="F518" s="4" t="s">
        <v>30</v>
      </c>
      <c r="G518" s="4" t="s">
        <v>23</v>
      </c>
      <c r="H518" s="4" t="s">
        <v>44</v>
      </c>
      <c r="I518" s="4">
        <v>3</v>
      </c>
      <c r="J518" s="6">
        <v>144.25</v>
      </c>
      <c r="K518" s="7">
        <v>0.2</v>
      </c>
      <c r="L518" s="6">
        <f t="shared" si="32"/>
        <v>346.20000000000005</v>
      </c>
      <c r="M518" s="6">
        <v>58.93</v>
      </c>
      <c r="N518" s="8">
        <f t="shared" si="33"/>
        <v>169.41000000000005</v>
      </c>
      <c r="O518" s="4" t="s">
        <v>40</v>
      </c>
      <c r="P518" s="4" t="s">
        <v>33</v>
      </c>
      <c r="Q518" s="4">
        <v>2</v>
      </c>
      <c r="R518" s="21">
        <f t="shared" si="34"/>
        <v>0.4893414211438476</v>
      </c>
      <c r="S518" t="str">
        <f t="shared" si="35"/>
        <v>Small</v>
      </c>
    </row>
    <row r="519" spans="1:19" x14ac:dyDescent="0.35">
      <c r="A519" s="4" t="s">
        <v>885</v>
      </c>
      <c r="B519" s="5">
        <v>45846</v>
      </c>
      <c r="C519" s="4" t="s">
        <v>886</v>
      </c>
      <c r="D519" s="4" t="s">
        <v>47</v>
      </c>
      <c r="E519" s="4" t="s">
        <v>87</v>
      </c>
      <c r="F519" s="4" t="s">
        <v>88</v>
      </c>
      <c r="G519" s="4" t="s">
        <v>38</v>
      </c>
      <c r="H519" s="4" t="s">
        <v>109</v>
      </c>
      <c r="I519" s="4">
        <v>1</v>
      </c>
      <c r="J519" s="6">
        <v>389.53</v>
      </c>
      <c r="K519" s="7">
        <v>0.1</v>
      </c>
      <c r="L519" s="6">
        <f t="shared" si="32"/>
        <v>350.577</v>
      </c>
      <c r="M519" s="6">
        <v>349.65</v>
      </c>
      <c r="N519" s="8">
        <f t="shared" si="33"/>
        <v>0.92700000000002092</v>
      </c>
      <c r="O519" s="4" t="s">
        <v>40</v>
      </c>
      <c r="P519" s="4" t="s">
        <v>72</v>
      </c>
      <c r="Q519" s="4">
        <v>2</v>
      </c>
      <c r="R519" s="21">
        <f t="shared" si="34"/>
        <v>2.6442122557955054E-3</v>
      </c>
      <c r="S519" t="str">
        <f t="shared" si="35"/>
        <v>Small</v>
      </c>
    </row>
    <row r="520" spans="1:19" x14ac:dyDescent="0.35">
      <c r="A520" s="4" t="s">
        <v>887</v>
      </c>
      <c r="B520" s="5">
        <v>45846</v>
      </c>
      <c r="C520" s="4" t="s">
        <v>365</v>
      </c>
      <c r="D520" s="4" t="s">
        <v>43</v>
      </c>
      <c r="E520" s="4" t="s">
        <v>87</v>
      </c>
      <c r="F520" s="4" t="s">
        <v>88</v>
      </c>
      <c r="G520" s="4" t="s">
        <v>31</v>
      </c>
      <c r="H520" s="4" t="s">
        <v>125</v>
      </c>
      <c r="I520" s="4">
        <v>4</v>
      </c>
      <c r="J520" s="6">
        <v>110.58</v>
      </c>
      <c r="K520" s="7">
        <v>0.05</v>
      </c>
      <c r="L520" s="6">
        <f t="shared" si="32"/>
        <v>420.20399999999995</v>
      </c>
      <c r="M520" s="6">
        <v>82.45</v>
      </c>
      <c r="N520" s="8">
        <f t="shared" si="33"/>
        <v>90.40399999999994</v>
      </c>
      <c r="O520" s="4" t="s">
        <v>60</v>
      </c>
      <c r="P520" s="4" t="s">
        <v>26</v>
      </c>
      <c r="Q520" s="4">
        <v>4</v>
      </c>
      <c r="R520" s="21">
        <f t="shared" si="34"/>
        <v>0.21514312096029536</v>
      </c>
      <c r="S520" t="str">
        <f t="shared" si="35"/>
        <v>Small</v>
      </c>
    </row>
    <row r="521" spans="1:19" x14ac:dyDescent="0.35">
      <c r="A521" s="4" t="s">
        <v>888</v>
      </c>
      <c r="B521" s="5">
        <v>45847</v>
      </c>
      <c r="C521" s="4" t="s">
        <v>28</v>
      </c>
      <c r="D521" s="4" t="s">
        <v>43</v>
      </c>
      <c r="E521" s="4" t="s">
        <v>36</v>
      </c>
      <c r="F521" s="4" t="s">
        <v>48</v>
      </c>
      <c r="G521" s="4" t="s">
        <v>38</v>
      </c>
      <c r="H521" s="4" t="s">
        <v>39</v>
      </c>
      <c r="I521" s="4">
        <v>1</v>
      </c>
      <c r="J521" s="6">
        <v>386.9</v>
      </c>
      <c r="K521" s="7">
        <v>0.15</v>
      </c>
      <c r="L521" s="6">
        <f t="shared" si="32"/>
        <v>328.86499999999995</v>
      </c>
      <c r="M521" s="6">
        <v>325.48</v>
      </c>
      <c r="N521" s="8">
        <f t="shared" si="33"/>
        <v>3.3849999999999341</v>
      </c>
      <c r="O521" s="4" t="s">
        <v>40</v>
      </c>
      <c r="P521" s="4" t="s">
        <v>33</v>
      </c>
      <c r="Q521" s="4">
        <v>1</v>
      </c>
      <c r="R521" s="21">
        <f t="shared" si="34"/>
        <v>1.0292977361531128E-2</v>
      </c>
      <c r="S521" t="str">
        <f t="shared" si="35"/>
        <v>Small</v>
      </c>
    </row>
    <row r="522" spans="1:19" x14ac:dyDescent="0.35">
      <c r="A522" s="4" t="s">
        <v>889</v>
      </c>
      <c r="B522" s="5">
        <v>45847</v>
      </c>
      <c r="C522" s="4" t="s">
        <v>388</v>
      </c>
      <c r="D522" s="4" t="s">
        <v>20</v>
      </c>
      <c r="E522" s="4" t="s">
        <v>21</v>
      </c>
      <c r="F522" s="4" t="s">
        <v>81</v>
      </c>
      <c r="G522" s="4" t="s">
        <v>67</v>
      </c>
      <c r="H522" s="4" t="s">
        <v>68</v>
      </c>
      <c r="I522" s="4">
        <v>3</v>
      </c>
      <c r="J522" s="6">
        <v>508.72</v>
      </c>
      <c r="K522" s="7">
        <v>0.05</v>
      </c>
      <c r="L522" s="6">
        <f t="shared" si="32"/>
        <v>1449.8520000000001</v>
      </c>
      <c r="M522" s="6">
        <v>400.8</v>
      </c>
      <c r="N522" s="8">
        <f t="shared" si="33"/>
        <v>247.452</v>
      </c>
      <c r="O522" s="4" t="s">
        <v>40</v>
      </c>
      <c r="P522" s="4" t="s">
        <v>26</v>
      </c>
      <c r="Q522" s="4">
        <v>2</v>
      </c>
      <c r="R522" s="21">
        <f t="shared" si="34"/>
        <v>0.17067397223992517</v>
      </c>
      <c r="S522" t="str">
        <f t="shared" si="35"/>
        <v>Medium</v>
      </c>
    </row>
    <row r="523" spans="1:19" x14ac:dyDescent="0.35">
      <c r="A523" s="4" t="s">
        <v>890</v>
      </c>
      <c r="B523" s="5">
        <v>45847</v>
      </c>
      <c r="C523" s="4" t="s">
        <v>891</v>
      </c>
      <c r="D523" s="4" t="s">
        <v>47</v>
      </c>
      <c r="E523" s="4" t="s">
        <v>87</v>
      </c>
      <c r="F523" s="4" t="s">
        <v>92</v>
      </c>
      <c r="G523" s="4" t="s">
        <v>23</v>
      </c>
      <c r="H523" s="4" t="s">
        <v>71</v>
      </c>
      <c r="I523" s="4">
        <v>4</v>
      </c>
      <c r="J523" s="6">
        <v>123.46</v>
      </c>
      <c r="K523" s="7">
        <v>0.05</v>
      </c>
      <c r="L523" s="6">
        <f t="shared" si="32"/>
        <v>469.14799999999997</v>
      </c>
      <c r="M523" s="6">
        <v>66.78</v>
      </c>
      <c r="N523" s="8">
        <f t="shared" si="33"/>
        <v>202.02799999999996</v>
      </c>
      <c r="O523" s="4" t="s">
        <v>51</v>
      </c>
      <c r="P523" s="4" t="s">
        <v>72</v>
      </c>
      <c r="Q523" s="4">
        <v>4</v>
      </c>
      <c r="R523" s="21">
        <f t="shared" si="34"/>
        <v>0.43062743526563041</v>
      </c>
      <c r="S523" t="str">
        <f t="shared" si="35"/>
        <v>Small</v>
      </c>
    </row>
    <row r="524" spans="1:19" x14ac:dyDescent="0.35">
      <c r="A524" s="4" t="s">
        <v>892</v>
      </c>
      <c r="B524" s="5">
        <v>45847</v>
      </c>
      <c r="C524" s="4" t="s">
        <v>644</v>
      </c>
      <c r="D524" s="4" t="s">
        <v>43</v>
      </c>
      <c r="E524" s="4" t="s">
        <v>29</v>
      </c>
      <c r="F524" s="4" t="s">
        <v>30</v>
      </c>
      <c r="G524" s="4" t="s">
        <v>31</v>
      </c>
      <c r="H524" s="4" t="s">
        <v>32</v>
      </c>
      <c r="I524" s="4">
        <v>5</v>
      </c>
      <c r="J524" s="6">
        <v>113.28</v>
      </c>
      <c r="K524" s="7">
        <v>0.1</v>
      </c>
      <c r="L524" s="6">
        <f t="shared" si="32"/>
        <v>509.76</v>
      </c>
      <c r="M524" s="6">
        <v>78.31</v>
      </c>
      <c r="N524" s="8">
        <f t="shared" si="33"/>
        <v>118.20999999999998</v>
      </c>
      <c r="O524" s="4" t="s">
        <v>40</v>
      </c>
      <c r="P524" s="4" t="s">
        <v>61</v>
      </c>
      <c r="Q524" s="4">
        <v>4</v>
      </c>
      <c r="R524" s="21">
        <f t="shared" si="34"/>
        <v>0.23189344005021967</v>
      </c>
      <c r="S524" t="str">
        <f t="shared" si="35"/>
        <v>Medium</v>
      </c>
    </row>
    <row r="525" spans="1:19" x14ac:dyDescent="0.35">
      <c r="A525" s="4" t="s">
        <v>893</v>
      </c>
      <c r="B525" s="5">
        <v>45849</v>
      </c>
      <c r="C525" s="4" t="s">
        <v>115</v>
      </c>
      <c r="D525" s="4" t="s">
        <v>43</v>
      </c>
      <c r="E525" s="4" t="s">
        <v>87</v>
      </c>
      <c r="F525" s="4" t="s">
        <v>88</v>
      </c>
      <c r="G525" s="4" t="s">
        <v>67</v>
      </c>
      <c r="H525" s="4" t="s">
        <v>121</v>
      </c>
      <c r="I525" s="4">
        <v>3</v>
      </c>
      <c r="J525" s="6">
        <v>326.81</v>
      </c>
      <c r="K525" s="7">
        <v>0</v>
      </c>
      <c r="L525" s="6">
        <f t="shared" si="32"/>
        <v>980.43000000000006</v>
      </c>
      <c r="M525" s="6">
        <v>253.01</v>
      </c>
      <c r="N525" s="8">
        <f t="shared" si="33"/>
        <v>221.40000000000009</v>
      </c>
      <c r="O525" s="4" t="s">
        <v>25</v>
      </c>
      <c r="P525" s="4" t="s">
        <v>72</v>
      </c>
      <c r="Q525" s="4">
        <v>3</v>
      </c>
      <c r="R525" s="21">
        <f t="shared" si="34"/>
        <v>0.22581928337566179</v>
      </c>
      <c r="S525" t="str">
        <f t="shared" si="35"/>
        <v>Medium</v>
      </c>
    </row>
    <row r="526" spans="1:19" x14ac:dyDescent="0.35">
      <c r="A526" s="4" t="s">
        <v>894</v>
      </c>
      <c r="B526" s="5">
        <v>45849</v>
      </c>
      <c r="C526" s="4" t="s">
        <v>626</v>
      </c>
      <c r="D526" s="4" t="s">
        <v>47</v>
      </c>
      <c r="E526" s="4" t="s">
        <v>87</v>
      </c>
      <c r="F526" s="4" t="s">
        <v>88</v>
      </c>
      <c r="G526" s="4" t="s">
        <v>38</v>
      </c>
      <c r="H526" s="4" t="s">
        <v>89</v>
      </c>
      <c r="I526" s="4">
        <v>5</v>
      </c>
      <c r="J526" s="6">
        <v>919.09</v>
      </c>
      <c r="K526" s="7">
        <v>0.15</v>
      </c>
      <c r="L526" s="6">
        <f t="shared" si="32"/>
        <v>3906.1324999999997</v>
      </c>
      <c r="M526" s="6">
        <v>791.23</v>
      </c>
      <c r="N526" s="8">
        <f t="shared" si="33"/>
        <v>-50.017500000000382</v>
      </c>
      <c r="O526" s="4" t="s">
        <v>25</v>
      </c>
      <c r="P526" s="4" t="s">
        <v>97</v>
      </c>
      <c r="Q526" s="4">
        <v>2</v>
      </c>
      <c r="R526" s="21">
        <f t="shared" si="34"/>
        <v>-1.2804865170344423E-2</v>
      </c>
      <c r="S526" t="str">
        <f t="shared" si="35"/>
        <v>Large</v>
      </c>
    </row>
    <row r="527" spans="1:19" x14ac:dyDescent="0.35">
      <c r="A527" s="4" t="s">
        <v>895</v>
      </c>
      <c r="B527" s="5">
        <v>45850</v>
      </c>
      <c r="C527" s="4" t="s">
        <v>320</v>
      </c>
      <c r="D527" s="4" t="s">
        <v>43</v>
      </c>
      <c r="E527" s="4" t="s">
        <v>36</v>
      </c>
      <c r="F527" s="4" t="s">
        <v>201</v>
      </c>
      <c r="G527" s="4" t="s">
        <v>38</v>
      </c>
      <c r="H527" s="4" t="s">
        <v>39</v>
      </c>
      <c r="I527" s="4">
        <v>4</v>
      </c>
      <c r="J527" s="6">
        <v>162.91999999999999</v>
      </c>
      <c r="K527" s="7">
        <v>0.1</v>
      </c>
      <c r="L527" s="6">
        <f t="shared" si="32"/>
        <v>586.51199999999994</v>
      </c>
      <c r="M527" s="6">
        <v>140.33000000000001</v>
      </c>
      <c r="N527" s="8">
        <f t="shared" si="33"/>
        <v>25.191999999999894</v>
      </c>
      <c r="O527" s="4" t="s">
        <v>84</v>
      </c>
      <c r="P527" s="4" t="s">
        <v>56</v>
      </c>
      <c r="Q527" s="4">
        <v>5</v>
      </c>
      <c r="R527" s="21">
        <f t="shared" si="34"/>
        <v>4.2952232861390556E-2</v>
      </c>
      <c r="S527" t="str">
        <f t="shared" si="35"/>
        <v>Medium</v>
      </c>
    </row>
    <row r="528" spans="1:19" x14ac:dyDescent="0.35">
      <c r="A528" s="4" t="s">
        <v>896</v>
      </c>
      <c r="B528" s="5">
        <v>45851</v>
      </c>
      <c r="C528" s="4" t="s">
        <v>897</v>
      </c>
      <c r="D528" s="4" t="s">
        <v>20</v>
      </c>
      <c r="E528" s="4" t="s">
        <v>21</v>
      </c>
      <c r="F528" s="4" t="s">
        <v>22</v>
      </c>
      <c r="G528" s="4" t="s">
        <v>49</v>
      </c>
      <c r="H528" s="4" t="s">
        <v>187</v>
      </c>
      <c r="I528" s="4">
        <v>4</v>
      </c>
      <c r="J528" s="6">
        <v>149.85</v>
      </c>
      <c r="K528" s="7">
        <v>0.1</v>
      </c>
      <c r="L528" s="6">
        <f t="shared" si="32"/>
        <v>539.46</v>
      </c>
      <c r="M528" s="6">
        <v>83.54</v>
      </c>
      <c r="N528" s="8">
        <f t="shared" si="33"/>
        <v>205.3</v>
      </c>
      <c r="O528" s="4" t="s">
        <v>60</v>
      </c>
      <c r="P528" s="4" t="s">
        <v>56</v>
      </c>
      <c r="Q528" s="4">
        <v>3</v>
      </c>
      <c r="R528" s="21">
        <f t="shared" si="34"/>
        <v>0.38056575093612133</v>
      </c>
      <c r="S528" t="str">
        <f t="shared" si="35"/>
        <v>Medium</v>
      </c>
    </row>
    <row r="529" spans="1:19" x14ac:dyDescent="0.35">
      <c r="A529" s="4" t="s">
        <v>898</v>
      </c>
      <c r="B529" s="5">
        <v>45852</v>
      </c>
      <c r="C529" s="4" t="s">
        <v>899</v>
      </c>
      <c r="D529" s="4" t="s">
        <v>47</v>
      </c>
      <c r="E529" s="4" t="s">
        <v>36</v>
      </c>
      <c r="F529" s="4" t="s">
        <v>37</v>
      </c>
      <c r="G529" s="4" t="s">
        <v>38</v>
      </c>
      <c r="H529" s="4" t="s">
        <v>109</v>
      </c>
      <c r="I529" s="4">
        <v>2</v>
      </c>
      <c r="J529" s="6">
        <v>1028.79</v>
      </c>
      <c r="K529" s="7">
        <v>0.05</v>
      </c>
      <c r="L529" s="6">
        <f t="shared" si="32"/>
        <v>1954.7009999999998</v>
      </c>
      <c r="M529" s="6">
        <v>901.68</v>
      </c>
      <c r="N529" s="8">
        <f t="shared" si="33"/>
        <v>151.34099999999989</v>
      </c>
      <c r="O529" s="4" t="s">
        <v>84</v>
      </c>
      <c r="P529" s="4" t="s">
        <v>118</v>
      </c>
      <c r="Q529" s="4">
        <v>4</v>
      </c>
      <c r="R529" s="21">
        <f t="shared" si="34"/>
        <v>7.7424117550459082E-2</v>
      </c>
      <c r="S529" t="str">
        <f t="shared" si="35"/>
        <v>Medium</v>
      </c>
    </row>
    <row r="530" spans="1:19" x14ac:dyDescent="0.35">
      <c r="A530" s="4" t="s">
        <v>900</v>
      </c>
      <c r="B530" s="5">
        <v>45852</v>
      </c>
      <c r="C530" s="4" t="s">
        <v>446</v>
      </c>
      <c r="D530" s="4" t="s">
        <v>20</v>
      </c>
      <c r="E530" s="4" t="s">
        <v>21</v>
      </c>
      <c r="F530" s="4" t="s">
        <v>22</v>
      </c>
      <c r="G530" s="4" t="s">
        <v>38</v>
      </c>
      <c r="H530" s="4" t="s">
        <v>109</v>
      </c>
      <c r="I530" s="4">
        <v>5</v>
      </c>
      <c r="J530" s="6">
        <v>651.29</v>
      </c>
      <c r="K530" s="7">
        <v>0.05</v>
      </c>
      <c r="L530" s="6">
        <f t="shared" si="32"/>
        <v>3093.6274999999996</v>
      </c>
      <c r="M530" s="6">
        <v>545.54</v>
      </c>
      <c r="N530" s="8">
        <f t="shared" si="33"/>
        <v>365.92749999999978</v>
      </c>
      <c r="O530" s="4" t="s">
        <v>84</v>
      </c>
      <c r="P530" s="4" t="s">
        <v>56</v>
      </c>
      <c r="Q530" s="4">
        <v>3</v>
      </c>
      <c r="R530" s="21">
        <f t="shared" si="34"/>
        <v>0.11828427953914937</v>
      </c>
      <c r="S530" t="str">
        <f t="shared" si="35"/>
        <v>Large</v>
      </c>
    </row>
    <row r="531" spans="1:19" x14ac:dyDescent="0.35">
      <c r="A531" s="4" t="s">
        <v>901</v>
      </c>
      <c r="B531" s="5">
        <v>45852</v>
      </c>
      <c r="C531" s="4" t="s">
        <v>367</v>
      </c>
      <c r="D531" s="4" t="s">
        <v>43</v>
      </c>
      <c r="E531" s="4" t="s">
        <v>87</v>
      </c>
      <c r="F531" s="4" t="s">
        <v>124</v>
      </c>
      <c r="G531" s="4" t="s">
        <v>31</v>
      </c>
      <c r="H531" s="4" t="s">
        <v>32</v>
      </c>
      <c r="I531" s="4">
        <v>2</v>
      </c>
      <c r="J531" s="6">
        <v>189.01</v>
      </c>
      <c r="K531" s="7">
        <v>0</v>
      </c>
      <c r="L531" s="6">
        <f t="shared" si="32"/>
        <v>378.02</v>
      </c>
      <c r="M531" s="6">
        <v>116.62</v>
      </c>
      <c r="N531" s="8">
        <f t="shared" si="33"/>
        <v>144.77999999999997</v>
      </c>
      <c r="O531" s="4" t="s">
        <v>40</v>
      </c>
      <c r="P531" s="4" t="s">
        <v>26</v>
      </c>
      <c r="Q531" s="4">
        <v>5</v>
      </c>
      <c r="R531" s="21">
        <f t="shared" si="34"/>
        <v>0.38299560869795246</v>
      </c>
      <c r="S531" t="str">
        <f t="shared" si="35"/>
        <v>Small</v>
      </c>
    </row>
    <row r="532" spans="1:19" x14ac:dyDescent="0.35">
      <c r="A532" s="4" t="s">
        <v>902</v>
      </c>
      <c r="B532" s="5">
        <v>45852</v>
      </c>
      <c r="C532" s="4" t="s">
        <v>139</v>
      </c>
      <c r="D532" s="4" t="s">
        <v>43</v>
      </c>
      <c r="E532" s="4" t="s">
        <v>21</v>
      </c>
      <c r="F532" s="4" t="s">
        <v>59</v>
      </c>
      <c r="G532" s="4" t="s">
        <v>23</v>
      </c>
      <c r="H532" s="4" t="s">
        <v>71</v>
      </c>
      <c r="I532" s="4">
        <v>5</v>
      </c>
      <c r="J532" s="6">
        <v>210.15</v>
      </c>
      <c r="K532" s="7">
        <v>0.2</v>
      </c>
      <c r="L532" s="6">
        <f t="shared" si="32"/>
        <v>840.6</v>
      </c>
      <c r="M532" s="6">
        <v>113.35</v>
      </c>
      <c r="N532" s="8">
        <f t="shared" si="33"/>
        <v>273.85000000000002</v>
      </c>
      <c r="O532" s="4" t="s">
        <v>25</v>
      </c>
      <c r="P532" s="4" t="s">
        <v>97</v>
      </c>
      <c r="Q532" s="4">
        <v>5</v>
      </c>
      <c r="R532" s="21">
        <f t="shared" si="34"/>
        <v>0.32577920532952653</v>
      </c>
      <c r="S532" t="str">
        <f t="shared" si="35"/>
        <v>Medium</v>
      </c>
    </row>
    <row r="533" spans="1:19" x14ac:dyDescent="0.35">
      <c r="A533" s="4" t="s">
        <v>903</v>
      </c>
      <c r="B533" s="5">
        <v>45852</v>
      </c>
      <c r="C533" s="4" t="s">
        <v>904</v>
      </c>
      <c r="D533" s="4" t="s">
        <v>20</v>
      </c>
      <c r="E533" s="4" t="s">
        <v>87</v>
      </c>
      <c r="F533" s="4" t="s">
        <v>124</v>
      </c>
      <c r="G533" s="4" t="s">
        <v>38</v>
      </c>
      <c r="H533" s="4" t="s">
        <v>89</v>
      </c>
      <c r="I533" s="4">
        <v>1</v>
      </c>
      <c r="J533" s="6">
        <v>944.95</v>
      </c>
      <c r="K533" s="7">
        <v>0.1</v>
      </c>
      <c r="L533" s="6">
        <f t="shared" si="32"/>
        <v>850.45500000000004</v>
      </c>
      <c r="M533" s="6">
        <v>845.2</v>
      </c>
      <c r="N533" s="8">
        <f t="shared" si="33"/>
        <v>5.2549999999999955</v>
      </c>
      <c r="O533" s="4" t="s">
        <v>51</v>
      </c>
      <c r="P533" s="4" t="s">
        <v>33</v>
      </c>
      <c r="Q533" s="4">
        <v>4</v>
      </c>
      <c r="R533" s="21">
        <f t="shared" si="34"/>
        <v>6.1790453345562024E-3</v>
      </c>
      <c r="S533" t="str">
        <f t="shared" si="35"/>
        <v>Medium</v>
      </c>
    </row>
    <row r="534" spans="1:19" x14ac:dyDescent="0.35">
      <c r="A534" s="4" t="s">
        <v>905</v>
      </c>
      <c r="B534" s="5">
        <v>45852</v>
      </c>
      <c r="C534" s="4" t="s">
        <v>262</v>
      </c>
      <c r="D534" s="4" t="s">
        <v>47</v>
      </c>
      <c r="E534" s="4" t="s">
        <v>36</v>
      </c>
      <c r="F534" s="4" t="s">
        <v>48</v>
      </c>
      <c r="G534" s="4" t="s">
        <v>49</v>
      </c>
      <c r="H534" s="4" t="s">
        <v>78</v>
      </c>
      <c r="I534" s="4">
        <v>5</v>
      </c>
      <c r="J534" s="6">
        <v>619.01</v>
      </c>
      <c r="K534" s="7">
        <v>0.15</v>
      </c>
      <c r="L534" s="6">
        <f t="shared" si="32"/>
        <v>2630.7925</v>
      </c>
      <c r="M534" s="6">
        <v>425.42</v>
      </c>
      <c r="N534" s="8">
        <f t="shared" si="33"/>
        <v>503.69250000000011</v>
      </c>
      <c r="O534" s="4" t="s">
        <v>40</v>
      </c>
      <c r="P534" s="4" t="s">
        <v>26</v>
      </c>
      <c r="Q534" s="4">
        <v>4</v>
      </c>
      <c r="R534" s="21">
        <f t="shared" si="34"/>
        <v>0.19146036793095619</v>
      </c>
      <c r="S534" t="str">
        <f t="shared" si="35"/>
        <v>Large</v>
      </c>
    </row>
    <row r="535" spans="1:19" x14ac:dyDescent="0.35">
      <c r="A535" s="4" t="s">
        <v>906</v>
      </c>
      <c r="B535" s="5">
        <v>45852</v>
      </c>
      <c r="C535" s="4" t="s">
        <v>352</v>
      </c>
      <c r="D535" s="4" t="s">
        <v>43</v>
      </c>
      <c r="E535" s="4" t="s">
        <v>29</v>
      </c>
      <c r="F535" s="4" t="s">
        <v>54</v>
      </c>
      <c r="G535" s="4" t="s">
        <v>49</v>
      </c>
      <c r="H535" s="4" t="s">
        <v>187</v>
      </c>
      <c r="I535" s="4">
        <v>6</v>
      </c>
      <c r="J535" s="6">
        <v>134.62</v>
      </c>
      <c r="K535" s="7">
        <v>0</v>
      </c>
      <c r="L535" s="6">
        <f t="shared" si="32"/>
        <v>807.72</v>
      </c>
      <c r="M535" s="6">
        <v>77.069999999999993</v>
      </c>
      <c r="N535" s="8">
        <f t="shared" si="33"/>
        <v>345.30000000000007</v>
      </c>
      <c r="O535" s="4" t="s">
        <v>40</v>
      </c>
      <c r="P535" s="4" t="s">
        <v>61</v>
      </c>
      <c r="Q535" s="4">
        <v>4</v>
      </c>
      <c r="R535" s="21">
        <f t="shared" si="34"/>
        <v>0.42749962858416291</v>
      </c>
      <c r="S535" t="str">
        <f t="shared" si="35"/>
        <v>Medium</v>
      </c>
    </row>
    <row r="536" spans="1:19" x14ac:dyDescent="0.35">
      <c r="A536" s="4" t="s">
        <v>907</v>
      </c>
      <c r="B536" s="5">
        <v>45852</v>
      </c>
      <c r="C536" s="4" t="s">
        <v>313</v>
      </c>
      <c r="D536" s="4" t="s">
        <v>20</v>
      </c>
      <c r="E536" s="4" t="s">
        <v>36</v>
      </c>
      <c r="F536" s="4" t="s">
        <v>37</v>
      </c>
      <c r="G536" s="4" t="s">
        <v>23</v>
      </c>
      <c r="H536" s="4" t="s">
        <v>24</v>
      </c>
      <c r="I536" s="4">
        <v>1</v>
      </c>
      <c r="J536" s="6">
        <v>31.03</v>
      </c>
      <c r="K536" s="7">
        <v>0</v>
      </c>
      <c r="L536" s="6">
        <f t="shared" si="32"/>
        <v>31.03</v>
      </c>
      <c r="M536" s="6">
        <v>15.89</v>
      </c>
      <c r="N536" s="8">
        <f t="shared" si="33"/>
        <v>15.14</v>
      </c>
      <c r="O536" s="4" t="s">
        <v>25</v>
      </c>
      <c r="P536" s="4" t="s">
        <v>72</v>
      </c>
      <c r="Q536" s="4">
        <v>5</v>
      </c>
      <c r="R536" s="21">
        <f t="shared" si="34"/>
        <v>0.4879149210441508</v>
      </c>
      <c r="S536" t="str">
        <f t="shared" si="35"/>
        <v>Small</v>
      </c>
    </row>
    <row r="537" spans="1:19" x14ac:dyDescent="0.35">
      <c r="A537" s="4" t="s">
        <v>908</v>
      </c>
      <c r="B537" s="5">
        <v>45852</v>
      </c>
      <c r="C537" s="4" t="s">
        <v>377</v>
      </c>
      <c r="D537" s="4" t="s">
        <v>47</v>
      </c>
      <c r="E537" s="4" t="s">
        <v>21</v>
      </c>
      <c r="F537" s="4" t="s">
        <v>81</v>
      </c>
      <c r="G537" s="4" t="s">
        <v>67</v>
      </c>
      <c r="H537" s="4" t="s">
        <v>68</v>
      </c>
      <c r="I537" s="4">
        <v>1</v>
      </c>
      <c r="J537" s="6">
        <v>1188.26</v>
      </c>
      <c r="K537" s="7">
        <v>0.05</v>
      </c>
      <c r="L537" s="6">
        <f t="shared" si="32"/>
        <v>1128.847</v>
      </c>
      <c r="M537" s="6">
        <v>924.36</v>
      </c>
      <c r="N537" s="8">
        <f t="shared" si="33"/>
        <v>204.48699999999997</v>
      </c>
      <c r="O537" s="4" t="s">
        <v>60</v>
      </c>
      <c r="P537" s="4" t="s">
        <v>26</v>
      </c>
      <c r="Q537" s="4">
        <v>3</v>
      </c>
      <c r="R537" s="21">
        <f t="shared" si="34"/>
        <v>0.18114678074176568</v>
      </c>
      <c r="S537" t="str">
        <f t="shared" si="35"/>
        <v>Medium</v>
      </c>
    </row>
    <row r="538" spans="1:19" x14ac:dyDescent="0.35">
      <c r="A538" s="4" t="s">
        <v>909</v>
      </c>
      <c r="B538" s="5">
        <v>45852</v>
      </c>
      <c r="C538" s="4" t="s">
        <v>910</v>
      </c>
      <c r="D538" s="4" t="s">
        <v>20</v>
      </c>
      <c r="E538" s="4" t="s">
        <v>87</v>
      </c>
      <c r="F538" s="4" t="s">
        <v>92</v>
      </c>
      <c r="G538" s="4" t="s">
        <v>31</v>
      </c>
      <c r="H538" s="4" t="s">
        <v>32</v>
      </c>
      <c r="I538" s="4">
        <v>1</v>
      </c>
      <c r="J538" s="6">
        <v>181.86</v>
      </c>
      <c r="K538" s="7">
        <v>0.1</v>
      </c>
      <c r="L538" s="6">
        <f t="shared" si="32"/>
        <v>163.67400000000001</v>
      </c>
      <c r="M538" s="6">
        <v>127.81</v>
      </c>
      <c r="N538" s="8">
        <f t="shared" si="33"/>
        <v>35.864000000000004</v>
      </c>
      <c r="O538" s="4" t="s">
        <v>84</v>
      </c>
      <c r="P538" s="4" t="s">
        <v>97</v>
      </c>
      <c r="Q538" s="4">
        <v>4</v>
      </c>
      <c r="R538" s="21">
        <f t="shared" si="34"/>
        <v>0.21911849163581268</v>
      </c>
      <c r="S538" t="str">
        <f t="shared" si="35"/>
        <v>Small</v>
      </c>
    </row>
    <row r="539" spans="1:19" x14ac:dyDescent="0.35">
      <c r="A539" s="4" t="s">
        <v>911</v>
      </c>
      <c r="B539" s="5">
        <v>45853</v>
      </c>
      <c r="C539" s="4" t="s">
        <v>912</v>
      </c>
      <c r="D539" s="4" t="s">
        <v>47</v>
      </c>
      <c r="E539" s="4" t="s">
        <v>36</v>
      </c>
      <c r="F539" s="4" t="s">
        <v>201</v>
      </c>
      <c r="G539" s="4" t="s">
        <v>38</v>
      </c>
      <c r="H539" s="4" t="s">
        <v>55</v>
      </c>
      <c r="I539" s="4">
        <v>1</v>
      </c>
      <c r="J539" s="6">
        <v>169.44</v>
      </c>
      <c r="K539" s="7">
        <v>0.1</v>
      </c>
      <c r="L539" s="6">
        <f t="shared" si="32"/>
        <v>152.49600000000001</v>
      </c>
      <c r="M539" s="6">
        <v>147.6</v>
      </c>
      <c r="N539" s="8">
        <f t="shared" si="33"/>
        <v>4.896000000000015</v>
      </c>
      <c r="O539" s="4" t="s">
        <v>60</v>
      </c>
      <c r="P539" s="4" t="s">
        <v>75</v>
      </c>
      <c r="Q539" s="4">
        <v>4</v>
      </c>
      <c r="R539" s="21">
        <f t="shared" si="34"/>
        <v>3.210576015108603E-2</v>
      </c>
      <c r="S539" t="str">
        <f t="shared" si="35"/>
        <v>Small</v>
      </c>
    </row>
    <row r="540" spans="1:19" x14ac:dyDescent="0.35">
      <c r="A540" s="4" t="s">
        <v>913</v>
      </c>
      <c r="B540" s="5">
        <v>45853</v>
      </c>
      <c r="C540" s="4" t="s">
        <v>521</v>
      </c>
      <c r="D540" s="4" t="s">
        <v>20</v>
      </c>
      <c r="E540" s="4" t="s">
        <v>29</v>
      </c>
      <c r="F540" s="4" t="s">
        <v>108</v>
      </c>
      <c r="G540" s="4" t="s">
        <v>38</v>
      </c>
      <c r="H540" s="4" t="s">
        <v>109</v>
      </c>
      <c r="I540" s="4">
        <v>3</v>
      </c>
      <c r="J540" s="6">
        <v>656.93</v>
      </c>
      <c r="K540" s="7">
        <v>0.1</v>
      </c>
      <c r="L540" s="6">
        <f t="shared" si="32"/>
        <v>1773.711</v>
      </c>
      <c r="M540" s="6">
        <v>554.85</v>
      </c>
      <c r="N540" s="8">
        <f t="shared" si="33"/>
        <v>109.16099999999983</v>
      </c>
      <c r="O540" s="4" t="s">
        <v>40</v>
      </c>
      <c r="P540" s="4" t="s">
        <v>97</v>
      </c>
      <c r="Q540" s="4">
        <v>5</v>
      </c>
      <c r="R540" s="21">
        <f t="shared" si="34"/>
        <v>6.1543847898558351E-2</v>
      </c>
      <c r="S540" t="str">
        <f t="shared" si="35"/>
        <v>Medium</v>
      </c>
    </row>
    <row r="541" spans="1:19" x14ac:dyDescent="0.35">
      <c r="A541" s="4" t="s">
        <v>914</v>
      </c>
      <c r="B541" s="5">
        <v>45854</v>
      </c>
      <c r="C541" s="4" t="s">
        <v>505</v>
      </c>
      <c r="D541" s="4" t="s">
        <v>47</v>
      </c>
      <c r="E541" s="4" t="s">
        <v>87</v>
      </c>
      <c r="F541" s="4" t="s">
        <v>88</v>
      </c>
      <c r="G541" s="4" t="s">
        <v>31</v>
      </c>
      <c r="H541" s="4" t="s">
        <v>32</v>
      </c>
      <c r="I541" s="4">
        <v>2</v>
      </c>
      <c r="J541" s="6">
        <v>311.47000000000003</v>
      </c>
      <c r="K541" s="7">
        <v>0.05</v>
      </c>
      <c r="L541" s="6">
        <f t="shared" si="32"/>
        <v>591.79300000000001</v>
      </c>
      <c r="M541" s="6">
        <v>207.63</v>
      </c>
      <c r="N541" s="8">
        <f t="shared" si="33"/>
        <v>176.53300000000002</v>
      </c>
      <c r="O541" s="4" t="s">
        <v>51</v>
      </c>
      <c r="P541" s="4" t="s">
        <v>56</v>
      </c>
      <c r="Q541" s="4">
        <v>4</v>
      </c>
      <c r="R541" s="21">
        <f t="shared" si="34"/>
        <v>0.29830194003646548</v>
      </c>
      <c r="S541" t="str">
        <f t="shared" si="35"/>
        <v>Medium</v>
      </c>
    </row>
    <row r="542" spans="1:19" x14ac:dyDescent="0.35">
      <c r="A542" s="4" t="s">
        <v>915</v>
      </c>
      <c r="B542" s="5">
        <v>45854</v>
      </c>
      <c r="C542" s="4" t="s">
        <v>392</v>
      </c>
      <c r="D542" s="4" t="s">
        <v>43</v>
      </c>
      <c r="E542" s="4" t="s">
        <v>36</v>
      </c>
      <c r="F542" s="4" t="s">
        <v>48</v>
      </c>
      <c r="G542" s="4" t="s">
        <v>23</v>
      </c>
      <c r="H542" s="4" t="s">
        <v>135</v>
      </c>
      <c r="I542" s="4">
        <v>3</v>
      </c>
      <c r="J542" s="6">
        <v>28.16</v>
      </c>
      <c r="K542" s="7">
        <v>0.05</v>
      </c>
      <c r="L542" s="6">
        <f t="shared" si="32"/>
        <v>80.256</v>
      </c>
      <c r="M542" s="6">
        <v>11.66</v>
      </c>
      <c r="N542" s="8">
        <f t="shared" si="33"/>
        <v>45.275999999999996</v>
      </c>
      <c r="O542" s="4" t="s">
        <v>51</v>
      </c>
      <c r="P542" s="4" t="s">
        <v>33</v>
      </c>
      <c r="Q542" s="4">
        <v>2</v>
      </c>
      <c r="R542" s="21">
        <f t="shared" si="34"/>
        <v>0.5641447368421052</v>
      </c>
      <c r="S542" t="str">
        <f t="shared" si="35"/>
        <v>Small</v>
      </c>
    </row>
    <row r="543" spans="1:19" x14ac:dyDescent="0.35">
      <c r="A543" s="4" t="s">
        <v>916</v>
      </c>
      <c r="B543" s="5">
        <v>45855</v>
      </c>
      <c r="C543" s="4" t="s">
        <v>917</v>
      </c>
      <c r="D543" s="4" t="s">
        <v>43</v>
      </c>
      <c r="E543" s="4" t="s">
        <v>36</v>
      </c>
      <c r="F543" s="4" t="s">
        <v>201</v>
      </c>
      <c r="G543" s="4" t="s">
        <v>38</v>
      </c>
      <c r="H543" s="4" t="s">
        <v>55</v>
      </c>
      <c r="I543" s="4">
        <v>1</v>
      </c>
      <c r="J543" s="6">
        <v>112.33</v>
      </c>
      <c r="K543" s="7">
        <v>0</v>
      </c>
      <c r="L543" s="6">
        <f t="shared" si="32"/>
        <v>112.33</v>
      </c>
      <c r="M543" s="6">
        <v>94.79</v>
      </c>
      <c r="N543" s="8">
        <f t="shared" si="33"/>
        <v>17.539999999999992</v>
      </c>
      <c r="O543" s="4" t="s">
        <v>60</v>
      </c>
      <c r="P543" s="4" t="s">
        <v>33</v>
      </c>
      <c r="Q543" s="4">
        <v>5</v>
      </c>
      <c r="R543" s="21">
        <f t="shared" si="34"/>
        <v>0.15614706667853639</v>
      </c>
      <c r="S543" t="str">
        <f t="shared" si="35"/>
        <v>Small</v>
      </c>
    </row>
    <row r="544" spans="1:19" x14ac:dyDescent="0.35">
      <c r="A544" s="4" t="s">
        <v>918</v>
      </c>
      <c r="B544" s="5">
        <v>45855</v>
      </c>
      <c r="C544" s="4" t="s">
        <v>919</v>
      </c>
      <c r="D544" s="4" t="s">
        <v>43</v>
      </c>
      <c r="E544" s="4" t="s">
        <v>21</v>
      </c>
      <c r="F544" s="4" t="s">
        <v>22</v>
      </c>
      <c r="G544" s="4" t="s">
        <v>38</v>
      </c>
      <c r="H544" s="4" t="s">
        <v>96</v>
      </c>
      <c r="I544" s="4">
        <v>2</v>
      </c>
      <c r="J544" s="6">
        <v>151.15</v>
      </c>
      <c r="K544" s="7">
        <v>0.05</v>
      </c>
      <c r="L544" s="6">
        <f t="shared" si="32"/>
        <v>287.185</v>
      </c>
      <c r="M544" s="6">
        <v>123.62</v>
      </c>
      <c r="N544" s="8">
        <f t="shared" si="33"/>
        <v>39.944999999999993</v>
      </c>
      <c r="O544" s="4" t="s">
        <v>25</v>
      </c>
      <c r="P544" s="4" t="s">
        <v>97</v>
      </c>
      <c r="Q544" s="4">
        <v>4</v>
      </c>
      <c r="R544" s="21">
        <f t="shared" si="34"/>
        <v>0.13909152636802058</v>
      </c>
      <c r="S544" t="str">
        <f t="shared" si="35"/>
        <v>Small</v>
      </c>
    </row>
    <row r="545" spans="1:19" x14ac:dyDescent="0.35">
      <c r="A545" s="4" t="s">
        <v>920</v>
      </c>
      <c r="B545" s="5">
        <v>45857</v>
      </c>
      <c r="C545" s="4" t="s">
        <v>609</v>
      </c>
      <c r="D545" s="4" t="s">
        <v>43</v>
      </c>
      <c r="E545" s="4" t="s">
        <v>29</v>
      </c>
      <c r="F545" s="4" t="s">
        <v>30</v>
      </c>
      <c r="G545" s="4" t="s">
        <v>31</v>
      </c>
      <c r="H545" s="4" t="s">
        <v>125</v>
      </c>
      <c r="I545" s="4">
        <v>3</v>
      </c>
      <c r="J545" s="6">
        <v>159.53</v>
      </c>
      <c r="K545" s="7">
        <v>0</v>
      </c>
      <c r="L545" s="6">
        <f t="shared" si="32"/>
        <v>478.59000000000003</v>
      </c>
      <c r="M545" s="6">
        <v>103.54</v>
      </c>
      <c r="N545" s="8">
        <f t="shared" si="33"/>
        <v>167.97000000000003</v>
      </c>
      <c r="O545" s="4" t="s">
        <v>60</v>
      </c>
      <c r="P545" s="4" t="s">
        <v>97</v>
      </c>
      <c r="Q545" s="4">
        <v>4</v>
      </c>
      <c r="R545" s="21">
        <f t="shared" si="34"/>
        <v>0.35096846988027336</v>
      </c>
      <c r="S545" t="str">
        <f t="shared" si="35"/>
        <v>Small</v>
      </c>
    </row>
    <row r="546" spans="1:19" x14ac:dyDescent="0.35">
      <c r="A546" s="4" t="s">
        <v>921</v>
      </c>
      <c r="B546" s="5">
        <v>45857</v>
      </c>
      <c r="C546" s="4" t="s">
        <v>375</v>
      </c>
      <c r="D546" s="4" t="s">
        <v>20</v>
      </c>
      <c r="E546" s="4" t="s">
        <v>29</v>
      </c>
      <c r="F546" s="4" t="s">
        <v>108</v>
      </c>
      <c r="G546" s="4" t="s">
        <v>49</v>
      </c>
      <c r="H546" s="4" t="s">
        <v>78</v>
      </c>
      <c r="I546" s="4">
        <v>1</v>
      </c>
      <c r="J546" s="6">
        <v>501.65</v>
      </c>
      <c r="K546" s="7">
        <v>0</v>
      </c>
      <c r="L546" s="6">
        <f t="shared" si="32"/>
        <v>501.65</v>
      </c>
      <c r="M546" s="6">
        <v>280.11</v>
      </c>
      <c r="N546" s="8">
        <f t="shared" si="33"/>
        <v>221.53999999999996</v>
      </c>
      <c r="O546" s="4" t="s">
        <v>60</v>
      </c>
      <c r="P546" s="4" t="s">
        <v>33</v>
      </c>
      <c r="Q546" s="4">
        <v>4</v>
      </c>
      <c r="R546" s="21">
        <f t="shared" si="34"/>
        <v>0.44162264527060696</v>
      </c>
      <c r="S546" t="str">
        <f t="shared" si="35"/>
        <v>Medium</v>
      </c>
    </row>
    <row r="547" spans="1:19" x14ac:dyDescent="0.35">
      <c r="A547" s="4" t="s">
        <v>922</v>
      </c>
      <c r="B547" s="5">
        <v>45857</v>
      </c>
      <c r="C547" s="4" t="s">
        <v>880</v>
      </c>
      <c r="D547" s="4" t="s">
        <v>47</v>
      </c>
      <c r="E547" s="4" t="s">
        <v>21</v>
      </c>
      <c r="F547" s="4" t="s">
        <v>59</v>
      </c>
      <c r="G547" s="4" t="s">
        <v>38</v>
      </c>
      <c r="H547" s="4" t="s">
        <v>39</v>
      </c>
      <c r="I547" s="4">
        <v>2</v>
      </c>
      <c r="J547" s="6">
        <v>111.51</v>
      </c>
      <c r="K547" s="7">
        <v>0.1</v>
      </c>
      <c r="L547" s="6">
        <f t="shared" si="32"/>
        <v>200.71800000000002</v>
      </c>
      <c r="M547" s="6">
        <v>84.38</v>
      </c>
      <c r="N547" s="8">
        <f t="shared" si="33"/>
        <v>31.958000000000027</v>
      </c>
      <c r="O547" s="4" t="s">
        <v>60</v>
      </c>
      <c r="P547" s="4" t="s">
        <v>61</v>
      </c>
      <c r="Q547" s="4">
        <v>5</v>
      </c>
      <c r="R547" s="21">
        <f t="shared" si="34"/>
        <v>0.1592184059227375</v>
      </c>
      <c r="S547" t="str">
        <f t="shared" si="35"/>
        <v>Small</v>
      </c>
    </row>
    <row r="548" spans="1:19" x14ac:dyDescent="0.35">
      <c r="A548" s="4" t="s">
        <v>923</v>
      </c>
      <c r="B548" s="5">
        <v>45857</v>
      </c>
      <c r="C548" s="4" t="s">
        <v>331</v>
      </c>
      <c r="D548" s="4" t="s">
        <v>20</v>
      </c>
      <c r="E548" s="4" t="s">
        <v>29</v>
      </c>
      <c r="F548" s="4" t="s">
        <v>54</v>
      </c>
      <c r="G548" s="4" t="s">
        <v>67</v>
      </c>
      <c r="H548" s="4" t="s">
        <v>93</v>
      </c>
      <c r="I548" s="4">
        <v>5</v>
      </c>
      <c r="J548" s="6">
        <v>237.74</v>
      </c>
      <c r="K548" s="7">
        <v>0.1</v>
      </c>
      <c r="L548" s="6">
        <f t="shared" si="32"/>
        <v>1069.8300000000002</v>
      </c>
      <c r="M548" s="6">
        <v>156.63999999999999</v>
      </c>
      <c r="N548" s="8">
        <f t="shared" si="33"/>
        <v>286.63000000000022</v>
      </c>
      <c r="O548" s="4" t="s">
        <v>60</v>
      </c>
      <c r="P548" s="4" t="s">
        <v>26</v>
      </c>
      <c r="Q548" s="4">
        <v>5</v>
      </c>
      <c r="R548" s="21">
        <f t="shared" si="34"/>
        <v>0.26792107157211908</v>
      </c>
      <c r="S548" t="str">
        <f t="shared" si="35"/>
        <v>Medium</v>
      </c>
    </row>
    <row r="549" spans="1:19" x14ac:dyDescent="0.35">
      <c r="A549" s="4" t="s">
        <v>924</v>
      </c>
      <c r="B549" s="5">
        <v>45859</v>
      </c>
      <c r="C549" s="4" t="s">
        <v>117</v>
      </c>
      <c r="D549" s="4" t="s">
        <v>20</v>
      </c>
      <c r="E549" s="4" t="s">
        <v>36</v>
      </c>
      <c r="F549" s="4" t="s">
        <v>201</v>
      </c>
      <c r="G549" s="4" t="s">
        <v>38</v>
      </c>
      <c r="H549" s="4" t="s">
        <v>96</v>
      </c>
      <c r="I549" s="4">
        <v>1</v>
      </c>
      <c r="J549" s="6">
        <v>249.28</v>
      </c>
      <c r="K549" s="7">
        <v>0</v>
      </c>
      <c r="L549" s="6">
        <f t="shared" si="32"/>
        <v>249.28</v>
      </c>
      <c r="M549" s="6">
        <v>223.45</v>
      </c>
      <c r="N549" s="8">
        <f t="shared" si="33"/>
        <v>25.830000000000013</v>
      </c>
      <c r="O549" s="4" t="s">
        <v>84</v>
      </c>
      <c r="P549" s="4" t="s">
        <v>33</v>
      </c>
      <c r="Q549" s="4">
        <v>3</v>
      </c>
      <c r="R549" s="21">
        <f t="shared" si="34"/>
        <v>0.10361842105263162</v>
      </c>
      <c r="S549" t="str">
        <f t="shared" si="35"/>
        <v>Small</v>
      </c>
    </row>
    <row r="550" spans="1:19" x14ac:dyDescent="0.35">
      <c r="A550" s="4" t="s">
        <v>925</v>
      </c>
      <c r="B550" s="5">
        <v>45860</v>
      </c>
      <c r="C550" s="4" t="s">
        <v>463</v>
      </c>
      <c r="D550" s="4" t="s">
        <v>20</v>
      </c>
      <c r="E550" s="4" t="s">
        <v>87</v>
      </c>
      <c r="F550" s="4" t="s">
        <v>88</v>
      </c>
      <c r="G550" s="4" t="s">
        <v>67</v>
      </c>
      <c r="H550" s="4" t="s">
        <v>121</v>
      </c>
      <c r="I550" s="4">
        <v>3</v>
      </c>
      <c r="J550" s="6">
        <v>137.06</v>
      </c>
      <c r="K550" s="7">
        <v>0</v>
      </c>
      <c r="L550" s="6">
        <f t="shared" si="32"/>
        <v>411.18</v>
      </c>
      <c r="M550" s="6">
        <v>83.55</v>
      </c>
      <c r="N550" s="8">
        <f t="shared" si="33"/>
        <v>160.53000000000003</v>
      </c>
      <c r="O550" s="4" t="s">
        <v>60</v>
      </c>
      <c r="P550" s="4" t="s">
        <v>33</v>
      </c>
      <c r="Q550" s="4">
        <v>4</v>
      </c>
      <c r="R550" s="21">
        <f t="shared" si="34"/>
        <v>0.39041295782868823</v>
      </c>
      <c r="S550" t="str">
        <f t="shared" si="35"/>
        <v>Small</v>
      </c>
    </row>
    <row r="551" spans="1:19" x14ac:dyDescent="0.35">
      <c r="A551" s="4" t="s">
        <v>926</v>
      </c>
      <c r="B551" s="5">
        <v>45860</v>
      </c>
      <c r="C551" s="4" t="s">
        <v>66</v>
      </c>
      <c r="D551" s="4" t="s">
        <v>47</v>
      </c>
      <c r="E551" s="4" t="s">
        <v>21</v>
      </c>
      <c r="F551" s="4" t="s">
        <v>22</v>
      </c>
      <c r="G551" s="4" t="s">
        <v>67</v>
      </c>
      <c r="H551" s="4" t="s">
        <v>68</v>
      </c>
      <c r="I551" s="4">
        <v>1</v>
      </c>
      <c r="J551" s="6">
        <v>1103.71</v>
      </c>
      <c r="K551" s="7">
        <v>0.1</v>
      </c>
      <c r="L551" s="6">
        <f t="shared" si="32"/>
        <v>993.33900000000006</v>
      </c>
      <c r="M551" s="6">
        <v>826.03</v>
      </c>
      <c r="N551" s="8">
        <f t="shared" si="33"/>
        <v>167.30900000000008</v>
      </c>
      <c r="O551" s="4" t="s">
        <v>40</v>
      </c>
      <c r="P551" s="4" t="s">
        <v>97</v>
      </c>
      <c r="Q551" s="4">
        <v>5</v>
      </c>
      <c r="R551" s="21">
        <f t="shared" si="34"/>
        <v>0.16843091834711019</v>
      </c>
      <c r="S551" t="str">
        <f t="shared" si="35"/>
        <v>Medium</v>
      </c>
    </row>
    <row r="552" spans="1:19" x14ac:dyDescent="0.35">
      <c r="A552" s="4" t="s">
        <v>927</v>
      </c>
      <c r="B552" s="5">
        <v>45861</v>
      </c>
      <c r="C552" s="4" t="s">
        <v>928</v>
      </c>
      <c r="D552" s="4" t="s">
        <v>43</v>
      </c>
      <c r="E552" s="4" t="s">
        <v>29</v>
      </c>
      <c r="F552" s="4" t="s">
        <v>54</v>
      </c>
      <c r="G552" s="4" t="s">
        <v>67</v>
      </c>
      <c r="H552" s="4" t="s">
        <v>140</v>
      </c>
      <c r="I552" s="4">
        <v>2</v>
      </c>
      <c r="J552" s="6">
        <v>148.32</v>
      </c>
      <c r="K552" s="7">
        <v>0</v>
      </c>
      <c r="L552" s="6">
        <f t="shared" si="32"/>
        <v>296.64</v>
      </c>
      <c r="M552" s="6">
        <v>106.58</v>
      </c>
      <c r="N552" s="8">
        <f t="shared" si="33"/>
        <v>83.47999999999999</v>
      </c>
      <c r="O552" s="4" t="s">
        <v>51</v>
      </c>
      <c r="P552" s="4" t="s">
        <v>56</v>
      </c>
      <c r="Q552" s="4">
        <v>3</v>
      </c>
      <c r="R552" s="21">
        <f t="shared" si="34"/>
        <v>0.28141855447680686</v>
      </c>
      <c r="S552" t="str">
        <f t="shared" si="35"/>
        <v>Small</v>
      </c>
    </row>
    <row r="553" spans="1:19" x14ac:dyDescent="0.35">
      <c r="A553" s="4" t="s">
        <v>929</v>
      </c>
      <c r="B553" s="5">
        <v>45862</v>
      </c>
      <c r="C553" s="4" t="s">
        <v>650</v>
      </c>
      <c r="D553" s="4" t="s">
        <v>43</v>
      </c>
      <c r="E553" s="4" t="s">
        <v>21</v>
      </c>
      <c r="F553" s="4" t="s">
        <v>59</v>
      </c>
      <c r="G553" s="4" t="s">
        <v>23</v>
      </c>
      <c r="H553" s="4" t="s">
        <v>24</v>
      </c>
      <c r="I553" s="4">
        <v>2</v>
      </c>
      <c r="J553" s="6">
        <v>44.8</v>
      </c>
      <c r="K553" s="7">
        <v>0.1</v>
      </c>
      <c r="L553" s="6">
        <f t="shared" si="32"/>
        <v>80.64</v>
      </c>
      <c r="M553" s="6">
        <v>24.56</v>
      </c>
      <c r="N553" s="8">
        <f t="shared" si="33"/>
        <v>31.520000000000003</v>
      </c>
      <c r="O553" s="4" t="s">
        <v>51</v>
      </c>
      <c r="P553" s="4" t="s">
        <v>61</v>
      </c>
      <c r="Q553" s="4">
        <v>5</v>
      </c>
      <c r="R553" s="21">
        <f t="shared" si="34"/>
        <v>0.39087301587301593</v>
      </c>
      <c r="S553" t="str">
        <f t="shared" si="35"/>
        <v>Small</v>
      </c>
    </row>
    <row r="554" spans="1:19" x14ac:dyDescent="0.35">
      <c r="A554" s="4" t="s">
        <v>930</v>
      </c>
      <c r="B554" s="5">
        <v>45862</v>
      </c>
      <c r="C554" s="4" t="s">
        <v>111</v>
      </c>
      <c r="D554" s="4" t="s">
        <v>43</v>
      </c>
      <c r="E554" s="4" t="s">
        <v>21</v>
      </c>
      <c r="F554" s="4" t="s">
        <v>22</v>
      </c>
      <c r="G554" s="4" t="s">
        <v>23</v>
      </c>
      <c r="H554" s="4" t="s">
        <v>44</v>
      </c>
      <c r="I554" s="4">
        <v>5</v>
      </c>
      <c r="J554" s="6">
        <v>155.36000000000001</v>
      </c>
      <c r="K554" s="7">
        <v>0.2</v>
      </c>
      <c r="L554" s="6">
        <f t="shared" si="32"/>
        <v>621.44000000000005</v>
      </c>
      <c r="M554" s="6">
        <v>79.42</v>
      </c>
      <c r="N554" s="8">
        <f t="shared" si="33"/>
        <v>224.34000000000003</v>
      </c>
      <c r="O554" s="4" t="s">
        <v>84</v>
      </c>
      <c r="P554" s="4" t="s">
        <v>75</v>
      </c>
      <c r="Q554" s="4">
        <v>2</v>
      </c>
      <c r="R554" s="21">
        <f t="shared" si="34"/>
        <v>0.36100025746652936</v>
      </c>
      <c r="S554" t="str">
        <f t="shared" si="35"/>
        <v>Medium</v>
      </c>
    </row>
    <row r="555" spans="1:19" x14ac:dyDescent="0.35">
      <c r="A555" s="4" t="s">
        <v>931</v>
      </c>
      <c r="B555" s="5">
        <v>45862</v>
      </c>
      <c r="C555" s="4" t="s">
        <v>335</v>
      </c>
      <c r="D555" s="4" t="s">
        <v>43</v>
      </c>
      <c r="E555" s="4" t="s">
        <v>29</v>
      </c>
      <c r="F555" s="4" t="s">
        <v>30</v>
      </c>
      <c r="G555" s="4" t="s">
        <v>49</v>
      </c>
      <c r="H555" s="4" t="s">
        <v>78</v>
      </c>
      <c r="I555" s="4">
        <v>5</v>
      </c>
      <c r="J555" s="6">
        <v>538.61</v>
      </c>
      <c r="K555" s="7">
        <v>0</v>
      </c>
      <c r="L555" s="6">
        <f t="shared" si="32"/>
        <v>2693.05</v>
      </c>
      <c r="M555" s="6">
        <v>313.52999999999997</v>
      </c>
      <c r="N555" s="8">
        <f t="shared" si="33"/>
        <v>1125.4000000000003</v>
      </c>
      <c r="O555" s="4" t="s">
        <v>60</v>
      </c>
      <c r="P555" s="4" t="s">
        <v>61</v>
      </c>
      <c r="Q555" s="4">
        <v>5</v>
      </c>
      <c r="R555" s="21">
        <f t="shared" si="34"/>
        <v>0.41789049590612881</v>
      </c>
      <c r="S555" t="str">
        <f t="shared" si="35"/>
        <v>Large</v>
      </c>
    </row>
    <row r="556" spans="1:19" x14ac:dyDescent="0.35">
      <c r="A556" s="4" t="s">
        <v>932</v>
      </c>
      <c r="B556" s="5">
        <v>45862</v>
      </c>
      <c r="C556" s="4" t="s">
        <v>28</v>
      </c>
      <c r="D556" s="4" t="s">
        <v>47</v>
      </c>
      <c r="E556" s="4" t="s">
        <v>87</v>
      </c>
      <c r="F556" s="4" t="s">
        <v>124</v>
      </c>
      <c r="G556" s="4" t="s">
        <v>23</v>
      </c>
      <c r="H556" s="4" t="s">
        <v>71</v>
      </c>
      <c r="I556" s="4">
        <v>3</v>
      </c>
      <c r="J556" s="6">
        <v>60.7</v>
      </c>
      <c r="K556" s="7">
        <v>0</v>
      </c>
      <c r="L556" s="6">
        <f t="shared" si="32"/>
        <v>182.10000000000002</v>
      </c>
      <c r="M556" s="6">
        <v>28.86</v>
      </c>
      <c r="N556" s="8">
        <f t="shared" si="33"/>
        <v>95.520000000000024</v>
      </c>
      <c r="O556" s="4" t="s">
        <v>51</v>
      </c>
      <c r="P556" s="4" t="s">
        <v>118</v>
      </c>
      <c r="Q556" s="4">
        <v>5</v>
      </c>
      <c r="R556" s="21">
        <f t="shared" si="34"/>
        <v>0.52454695222405279</v>
      </c>
      <c r="S556" t="str">
        <f t="shared" si="35"/>
        <v>Small</v>
      </c>
    </row>
    <row r="557" spans="1:19" x14ac:dyDescent="0.35">
      <c r="A557" s="4" t="s">
        <v>933</v>
      </c>
      <c r="B557" s="5">
        <v>45862</v>
      </c>
      <c r="C557" s="4" t="s">
        <v>694</v>
      </c>
      <c r="D557" s="4" t="s">
        <v>43</v>
      </c>
      <c r="E557" s="4" t="s">
        <v>36</v>
      </c>
      <c r="F557" s="4" t="s">
        <v>48</v>
      </c>
      <c r="G557" s="4" t="s">
        <v>49</v>
      </c>
      <c r="H557" s="4" t="s">
        <v>78</v>
      </c>
      <c r="I557" s="4">
        <v>3</v>
      </c>
      <c r="J557" s="6">
        <v>786.77</v>
      </c>
      <c r="K557" s="7">
        <v>0</v>
      </c>
      <c r="L557" s="6">
        <f t="shared" si="32"/>
        <v>2360.31</v>
      </c>
      <c r="M557" s="6">
        <v>478.71</v>
      </c>
      <c r="N557" s="8">
        <f t="shared" si="33"/>
        <v>924.18000000000006</v>
      </c>
      <c r="O557" s="4" t="s">
        <v>51</v>
      </c>
      <c r="P557" s="4" t="s">
        <v>118</v>
      </c>
      <c r="Q557" s="4">
        <v>1</v>
      </c>
      <c r="R557" s="21">
        <f t="shared" si="34"/>
        <v>0.39155026246552366</v>
      </c>
      <c r="S557" t="str">
        <f t="shared" si="35"/>
        <v>Large</v>
      </c>
    </row>
    <row r="558" spans="1:19" x14ac:dyDescent="0.35">
      <c r="A558" s="4" t="s">
        <v>934</v>
      </c>
      <c r="B558" s="5">
        <v>45863</v>
      </c>
      <c r="C558" s="4" t="s">
        <v>450</v>
      </c>
      <c r="D558" s="4" t="s">
        <v>20</v>
      </c>
      <c r="E558" s="4" t="s">
        <v>21</v>
      </c>
      <c r="F558" s="4" t="s">
        <v>59</v>
      </c>
      <c r="G558" s="4" t="s">
        <v>31</v>
      </c>
      <c r="H558" s="4" t="s">
        <v>147</v>
      </c>
      <c r="I558" s="4">
        <v>1</v>
      </c>
      <c r="J558" s="6">
        <v>82.83</v>
      </c>
      <c r="K558" s="7">
        <v>0.05</v>
      </c>
      <c r="L558" s="6">
        <f t="shared" si="32"/>
        <v>78.688499999999991</v>
      </c>
      <c r="M558" s="6">
        <v>62.05</v>
      </c>
      <c r="N558" s="8">
        <f t="shared" si="33"/>
        <v>16.638499999999993</v>
      </c>
      <c r="O558" s="4" t="s">
        <v>40</v>
      </c>
      <c r="P558" s="4" t="s">
        <v>97</v>
      </c>
      <c r="Q558" s="4">
        <v>4</v>
      </c>
      <c r="R558" s="21">
        <f t="shared" si="34"/>
        <v>0.21144767024406355</v>
      </c>
      <c r="S558" t="str">
        <f t="shared" si="35"/>
        <v>Small</v>
      </c>
    </row>
    <row r="559" spans="1:19" x14ac:dyDescent="0.35">
      <c r="A559" s="4" t="s">
        <v>935</v>
      </c>
      <c r="B559" s="5">
        <v>45863</v>
      </c>
      <c r="C559" s="4" t="s">
        <v>795</v>
      </c>
      <c r="D559" s="4" t="s">
        <v>20</v>
      </c>
      <c r="E559" s="4" t="s">
        <v>29</v>
      </c>
      <c r="F559" s="4" t="s">
        <v>108</v>
      </c>
      <c r="G559" s="4" t="s">
        <v>31</v>
      </c>
      <c r="H559" s="4" t="s">
        <v>147</v>
      </c>
      <c r="I559" s="4">
        <v>1</v>
      </c>
      <c r="J559" s="6">
        <v>76.17</v>
      </c>
      <c r="K559" s="7">
        <v>0.2</v>
      </c>
      <c r="L559" s="6">
        <f t="shared" si="32"/>
        <v>60.936000000000007</v>
      </c>
      <c r="M559" s="6">
        <v>43.53</v>
      </c>
      <c r="N559" s="8">
        <f t="shared" si="33"/>
        <v>17.406000000000006</v>
      </c>
      <c r="O559" s="4" t="s">
        <v>25</v>
      </c>
      <c r="P559" s="4" t="s">
        <v>97</v>
      </c>
      <c r="Q559" s="4">
        <v>3</v>
      </c>
      <c r="R559" s="21">
        <f t="shared" si="34"/>
        <v>0.2856439543127216</v>
      </c>
      <c r="S559" t="str">
        <f t="shared" si="35"/>
        <v>Small</v>
      </c>
    </row>
    <row r="560" spans="1:19" x14ac:dyDescent="0.35">
      <c r="A560" s="4" t="s">
        <v>936</v>
      </c>
      <c r="B560" s="5">
        <v>45863</v>
      </c>
      <c r="C560" s="4" t="s">
        <v>488</v>
      </c>
      <c r="D560" s="4" t="s">
        <v>43</v>
      </c>
      <c r="E560" s="4" t="s">
        <v>87</v>
      </c>
      <c r="F560" s="4" t="s">
        <v>92</v>
      </c>
      <c r="G560" s="4" t="s">
        <v>31</v>
      </c>
      <c r="H560" s="4" t="s">
        <v>147</v>
      </c>
      <c r="I560" s="4">
        <v>1</v>
      </c>
      <c r="J560" s="6">
        <v>36.85</v>
      </c>
      <c r="K560" s="7">
        <v>0.1</v>
      </c>
      <c r="L560" s="6">
        <f t="shared" si="32"/>
        <v>33.164999999999999</v>
      </c>
      <c r="M560" s="6">
        <v>24.91</v>
      </c>
      <c r="N560" s="8">
        <f t="shared" si="33"/>
        <v>8.254999999999999</v>
      </c>
      <c r="O560" s="4" t="s">
        <v>25</v>
      </c>
      <c r="P560" s="4" t="s">
        <v>72</v>
      </c>
      <c r="Q560" s="4">
        <v>2</v>
      </c>
      <c r="R560" s="21">
        <f t="shared" si="34"/>
        <v>0.24890698025026381</v>
      </c>
      <c r="S560" t="str">
        <f t="shared" si="35"/>
        <v>Small</v>
      </c>
    </row>
    <row r="561" spans="1:19" x14ac:dyDescent="0.35">
      <c r="A561" s="4" t="s">
        <v>937</v>
      </c>
      <c r="B561" s="5">
        <v>45864</v>
      </c>
      <c r="C561" s="4" t="s">
        <v>211</v>
      </c>
      <c r="D561" s="4" t="s">
        <v>20</v>
      </c>
      <c r="E561" s="4" t="s">
        <v>29</v>
      </c>
      <c r="F561" s="4" t="s">
        <v>30</v>
      </c>
      <c r="G561" s="4" t="s">
        <v>23</v>
      </c>
      <c r="H561" s="4" t="s">
        <v>71</v>
      </c>
      <c r="I561" s="4">
        <v>1</v>
      </c>
      <c r="J561" s="6">
        <v>186.47</v>
      </c>
      <c r="K561" s="7">
        <v>0.05</v>
      </c>
      <c r="L561" s="6">
        <f t="shared" si="32"/>
        <v>177.1465</v>
      </c>
      <c r="M561" s="6">
        <v>110.9</v>
      </c>
      <c r="N561" s="8">
        <f t="shared" si="33"/>
        <v>66.246499999999997</v>
      </c>
      <c r="O561" s="4" t="s">
        <v>51</v>
      </c>
      <c r="P561" s="4" t="s">
        <v>72</v>
      </c>
      <c r="Q561" s="4">
        <v>1</v>
      </c>
      <c r="R561" s="21">
        <f t="shared" si="34"/>
        <v>0.37396448702062979</v>
      </c>
      <c r="S561" t="str">
        <f t="shared" si="35"/>
        <v>Small</v>
      </c>
    </row>
    <row r="562" spans="1:19" x14ac:dyDescent="0.35">
      <c r="A562" s="4" t="s">
        <v>938</v>
      </c>
      <c r="B562" s="5">
        <v>45864</v>
      </c>
      <c r="C562" s="4" t="s">
        <v>919</v>
      </c>
      <c r="D562" s="4" t="s">
        <v>20</v>
      </c>
      <c r="E562" s="4" t="s">
        <v>29</v>
      </c>
      <c r="F562" s="4" t="s">
        <v>54</v>
      </c>
      <c r="G562" s="4" t="s">
        <v>49</v>
      </c>
      <c r="H562" s="4" t="s">
        <v>187</v>
      </c>
      <c r="I562" s="4">
        <v>3</v>
      </c>
      <c r="J562" s="6">
        <v>46.64</v>
      </c>
      <c r="K562" s="7">
        <v>0.1</v>
      </c>
      <c r="L562" s="6">
        <f t="shared" si="32"/>
        <v>125.92800000000001</v>
      </c>
      <c r="M562" s="6">
        <v>32.39</v>
      </c>
      <c r="N562" s="8">
        <f t="shared" si="33"/>
        <v>28.75800000000001</v>
      </c>
      <c r="O562" s="4" t="s">
        <v>51</v>
      </c>
      <c r="P562" s="4" t="s">
        <v>61</v>
      </c>
      <c r="Q562" s="4">
        <v>2</v>
      </c>
      <c r="R562" s="21">
        <f t="shared" si="34"/>
        <v>0.22836859157613881</v>
      </c>
      <c r="S562" t="str">
        <f t="shared" si="35"/>
        <v>Small</v>
      </c>
    </row>
    <row r="563" spans="1:19" x14ac:dyDescent="0.35">
      <c r="A563" s="4" t="s">
        <v>939</v>
      </c>
      <c r="B563" s="5">
        <v>45864</v>
      </c>
      <c r="C563" s="4" t="s">
        <v>101</v>
      </c>
      <c r="D563" s="4" t="s">
        <v>47</v>
      </c>
      <c r="E563" s="4" t="s">
        <v>87</v>
      </c>
      <c r="F563" s="4" t="s">
        <v>124</v>
      </c>
      <c r="G563" s="4" t="s">
        <v>38</v>
      </c>
      <c r="H563" s="4" t="s">
        <v>89</v>
      </c>
      <c r="I563" s="4">
        <v>4</v>
      </c>
      <c r="J563" s="6">
        <v>745.57</v>
      </c>
      <c r="K563" s="7">
        <v>0</v>
      </c>
      <c r="L563" s="6">
        <f t="shared" si="32"/>
        <v>2982.28</v>
      </c>
      <c r="M563" s="6">
        <v>566.61</v>
      </c>
      <c r="N563" s="8">
        <f t="shared" si="33"/>
        <v>715.84000000000015</v>
      </c>
      <c r="O563" s="4" t="s">
        <v>51</v>
      </c>
      <c r="P563" s="4" t="s">
        <v>33</v>
      </c>
      <c r="Q563" s="4">
        <v>4</v>
      </c>
      <c r="R563" s="21">
        <f t="shared" si="34"/>
        <v>0.24003111713185887</v>
      </c>
      <c r="S563" t="str">
        <f t="shared" si="35"/>
        <v>Large</v>
      </c>
    </row>
    <row r="564" spans="1:19" x14ac:dyDescent="0.35">
      <c r="A564" s="4" t="s">
        <v>940</v>
      </c>
      <c r="B564" s="5">
        <v>45865</v>
      </c>
      <c r="C564" s="4" t="s">
        <v>99</v>
      </c>
      <c r="D564" s="4" t="s">
        <v>47</v>
      </c>
      <c r="E564" s="4" t="s">
        <v>21</v>
      </c>
      <c r="F564" s="4" t="s">
        <v>81</v>
      </c>
      <c r="G564" s="4" t="s">
        <v>49</v>
      </c>
      <c r="H564" s="4" t="s">
        <v>50</v>
      </c>
      <c r="I564" s="4">
        <v>2</v>
      </c>
      <c r="J564" s="6">
        <v>47.64</v>
      </c>
      <c r="K564" s="7">
        <v>0.2</v>
      </c>
      <c r="L564" s="6">
        <f t="shared" si="32"/>
        <v>76.224000000000004</v>
      </c>
      <c r="M564" s="6">
        <v>29.62</v>
      </c>
      <c r="N564" s="8">
        <f t="shared" si="33"/>
        <v>16.984000000000002</v>
      </c>
      <c r="O564" s="4" t="s">
        <v>51</v>
      </c>
      <c r="P564" s="4" t="s">
        <v>26</v>
      </c>
      <c r="Q564" s="4">
        <v>4</v>
      </c>
      <c r="R564" s="21">
        <f t="shared" si="34"/>
        <v>0.22281696053736358</v>
      </c>
      <c r="S564" t="str">
        <f t="shared" si="35"/>
        <v>Small</v>
      </c>
    </row>
    <row r="565" spans="1:19" x14ac:dyDescent="0.35">
      <c r="A565" s="4" t="s">
        <v>941</v>
      </c>
      <c r="B565" s="5">
        <v>45865</v>
      </c>
      <c r="C565" s="4" t="s">
        <v>942</v>
      </c>
      <c r="D565" s="4" t="s">
        <v>47</v>
      </c>
      <c r="E565" s="4" t="s">
        <v>36</v>
      </c>
      <c r="F565" s="4" t="s">
        <v>201</v>
      </c>
      <c r="G565" s="4" t="s">
        <v>23</v>
      </c>
      <c r="H565" s="4" t="s">
        <v>135</v>
      </c>
      <c r="I565" s="4">
        <v>2</v>
      </c>
      <c r="J565" s="6">
        <v>31.86</v>
      </c>
      <c r="K565" s="7">
        <v>0</v>
      </c>
      <c r="L565" s="6">
        <f t="shared" si="32"/>
        <v>63.72</v>
      </c>
      <c r="M565" s="6">
        <v>18.920000000000002</v>
      </c>
      <c r="N565" s="8">
        <f t="shared" si="33"/>
        <v>25.879999999999995</v>
      </c>
      <c r="O565" s="4" t="s">
        <v>25</v>
      </c>
      <c r="P565" s="4" t="s">
        <v>56</v>
      </c>
      <c r="Q565" s="4">
        <v>5</v>
      </c>
      <c r="R565" s="21">
        <f t="shared" si="34"/>
        <v>0.40615191462649081</v>
      </c>
      <c r="S565" t="str">
        <f t="shared" si="35"/>
        <v>Small</v>
      </c>
    </row>
    <row r="566" spans="1:19" x14ac:dyDescent="0.35">
      <c r="A566" s="4" t="s">
        <v>943</v>
      </c>
      <c r="B566" s="5">
        <v>45865</v>
      </c>
      <c r="C566" s="4" t="s">
        <v>550</v>
      </c>
      <c r="D566" s="4" t="s">
        <v>20</v>
      </c>
      <c r="E566" s="4" t="s">
        <v>21</v>
      </c>
      <c r="F566" s="4" t="s">
        <v>22</v>
      </c>
      <c r="G566" s="4" t="s">
        <v>31</v>
      </c>
      <c r="H566" s="4" t="s">
        <v>125</v>
      </c>
      <c r="I566" s="4">
        <v>1</v>
      </c>
      <c r="J566" s="6">
        <v>196.28</v>
      </c>
      <c r="K566" s="7">
        <v>0</v>
      </c>
      <c r="L566" s="6">
        <f t="shared" si="32"/>
        <v>196.28</v>
      </c>
      <c r="M566" s="6">
        <v>130.57</v>
      </c>
      <c r="N566" s="8">
        <f t="shared" si="33"/>
        <v>65.710000000000008</v>
      </c>
      <c r="O566" s="4" t="s">
        <v>60</v>
      </c>
      <c r="P566" s="4" t="s">
        <v>75</v>
      </c>
      <c r="Q566" s="4">
        <v>4</v>
      </c>
      <c r="R566" s="21">
        <f t="shared" si="34"/>
        <v>0.33477684939881808</v>
      </c>
      <c r="S566" t="str">
        <f t="shared" si="35"/>
        <v>Small</v>
      </c>
    </row>
    <row r="567" spans="1:19" x14ac:dyDescent="0.35">
      <c r="A567" s="4" t="s">
        <v>944</v>
      </c>
      <c r="B567" s="5">
        <v>45866</v>
      </c>
      <c r="C567" s="4" t="s">
        <v>655</v>
      </c>
      <c r="D567" s="4" t="s">
        <v>20</v>
      </c>
      <c r="E567" s="4" t="s">
        <v>29</v>
      </c>
      <c r="F567" s="4" t="s">
        <v>54</v>
      </c>
      <c r="G567" s="4" t="s">
        <v>31</v>
      </c>
      <c r="H567" s="4" t="s">
        <v>64</v>
      </c>
      <c r="I567" s="4">
        <v>8</v>
      </c>
      <c r="J567" s="6">
        <v>216.51</v>
      </c>
      <c r="K567" s="7">
        <v>0.15</v>
      </c>
      <c r="L567" s="6">
        <f t="shared" si="32"/>
        <v>1472.2679999999998</v>
      </c>
      <c r="M567" s="6">
        <v>151.68</v>
      </c>
      <c r="N567" s="8">
        <f t="shared" si="33"/>
        <v>258.82799999999975</v>
      </c>
      <c r="O567" s="4" t="s">
        <v>84</v>
      </c>
      <c r="P567" s="4" t="s">
        <v>56</v>
      </c>
      <c r="Q567" s="4">
        <v>5</v>
      </c>
      <c r="R567" s="21">
        <f t="shared" si="34"/>
        <v>0.17580223165890979</v>
      </c>
      <c r="S567" t="str">
        <f t="shared" si="35"/>
        <v>Medium</v>
      </c>
    </row>
    <row r="568" spans="1:19" x14ac:dyDescent="0.35">
      <c r="A568" s="4" t="s">
        <v>945</v>
      </c>
      <c r="B568" s="5">
        <v>45866</v>
      </c>
      <c r="C568" s="4" t="s">
        <v>703</v>
      </c>
      <c r="D568" s="4" t="s">
        <v>47</v>
      </c>
      <c r="E568" s="4" t="s">
        <v>21</v>
      </c>
      <c r="F568" s="4" t="s">
        <v>22</v>
      </c>
      <c r="G568" s="4" t="s">
        <v>23</v>
      </c>
      <c r="H568" s="4" t="s">
        <v>135</v>
      </c>
      <c r="I568" s="4">
        <v>6</v>
      </c>
      <c r="J568" s="6">
        <v>24.88</v>
      </c>
      <c r="K568" s="7">
        <v>0</v>
      </c>
      <c r="L568" s="6">
        <f t="shared" si="32"/>
        <v>149.28</v>
      </c>
      <c r="M568" s="6">
        <v>12.57</v>
      </c>
      <c r="N568" s="8">
        <f t="shared" si="33"/>
        <v>73.86</v>
      </c>
      <c r="O568" s="4" t="s">
        <v>84</v>
      </c>
      <c r="P568" s="4" t="s">
        <v>75</v>
      </c>
      <c r="Q568" s="4">
        <v>5</v>
      </c>
      <c r="R568" s="21">
        <f t="shared" si="34"/>
        <v>0.49477491961414788</v>
      </c>
      <c r="S568" t="str">
        <f t="shared" si="35"/>
        <v>Small</v>
      </c>
    </row>
    <row r="569" spans="1:19" x14ac:dyDescent="0.35">
      <c r="A569" s="4" t="s">
        <v>946</v>
      </c>
      <c r="B569" s="5">
        <v>45866</v>
      </c>
      <c r="C569" s="4" t="s">
        <v>711</v>
      </c>
      <c r="D569" s="4" t="s">
        <v>43</v>
      </c>
      <c r="E569" s="4" t="s">
        <v>21</v>
      </c>
      <c r="F569" s="4" t="s">
        <v>59</v>
      </c>
      <c r="G569" s="4" t="s">
        <v>23</v>
      </c>
      <c r="H569" s="4" t="s">
        <v>71</v>
      </c>
      <c r="I569" s="4">
        <v>1</v>
      </c>
      <c r="J569" s="6">
        <v>151.88</v>
      </c>
      <c r="K569" s="7">
        <v>0</v>
      </c>
      <c r="L569" s="6">
        <f t="shared" si="32"/>
        <v>151.88</v>
      </c>
      <c r="M569" s="6">
        <v>82.33</v>
      </c>
      <c r="N569" s="8">
        <f t="shared" si="33"/>
        <v>69.55</v>
      </c>
      <c r="O569" s="4" t="s">
        <v>60</v>
      </c>
      <c r="P569" s="4" t="s">
        <v>97</v>
      </c>
      <c r="Q569" s="4">
        <v>3</v>
      </c>
      <c r="R569" s="21">
        <f t="shared" si="34"/>
        <v>0.45792731103502765</v>
      </c>
      <c r="S569" t="str">
        <f t="shared" si="35"/>
        <v>Small</v>
      </c>
    </row>
    <row r="570" spans="1:19" x14ac:dyDescent="0.35">
      <c r="A570" s="4" t="s">
        <v>947</v>
      </c>
      <c r="B570" s="5">
        <v>45866</v>
      </c>
      <c r="C570" s="4" t="s">
        <v>774</v>
      </c>
      <c r="D570" s="4" t="s">
        <v>47</v>
      </c>
      <c r="E570" s="4" t="s">
        <v>29</v>
      </c>
      <c r="F570" s="4" t="s">
        <v>108</v>
      </c>
      <c r="G570" s="4" t="s">
        <v>23</v>
      </c>
      <c r="H570" s="4" t="s">
        <v>135</v>
      </c>
      <c r="I570" s="4">
        <v>3</v>
      </c>
      <c r="J570" s="6">
        <v>20.239999999999998</v>
      </c>
      <c r="K570" s="7">
        <v>0</v>
      </c>
      <c r="L570" s="6">
        <f t="shared" si="32"/>
        <v>60.72</v>
      </c>
      <c r="M570" s="6">
        <v>10.81</v>
      </c>
      <c r="N570" s="8">
        <f t="shared" si="33"/>
        <v>28.29</v>
      </c>
      <c r="O570" s="4" t="s">
        <v>40</v>
      </c>
      <c r="P570" s="4" t="s">
        <v>118</v>
      </c>
      <c r="Q570" s="4">
        <v>4</v>
      </c>
      <c r="R570" s="21">
        <f t="shared" si="34"/>
        <v>0.46590909090909088</v>
      </c>
      <c r="S570" t="str">
        <f t="shared" si="35"/>
        <v>Small</v>
      </c>
    </row>
    <row r="571" spans="1:19" x14ac:dyDescent="0.35">
      <c r="A571" s="4" t="s">
        <v>948</v>
      </c>
      <c r="B571" s="5">
        <v>45866</v>
      </c>
      <c r="C571" s="4" t="s">
        <v>333</v>
      </c>
      <c r="D571" s="4" t="s">
        <v>43</v>
      </c>
      <c r="E571" s="4" t="s">
        <v>87</v>
      </c>
      <c r="F571" s="4" t="s">
        <v>124</v>
      </c>
      <c r="G571" s="4" t="s">
        <v>38</v>
      </c>
      <c r="H571" s="4" t="s">
        <v>89</v>
      </c>
      <c r="I571" s="4">
        <v>1</v>
      </c>
      <c r="J571" s="6">
        <v>1096.3800000000001</v>
      </c>
      <c r="K571" s="7">
        <v>0.05</v>
      </c>
      <c r="L571" s="6">
        <f t="shared" si="32"/>
        <v>1041.5610000000001</v>
      </c>
      <c r="M571" s="6">
        <v>975.63</v>
      </c>
      <c r="N571" s="8">
        <f t="shared" si="33"/>
        <v>65.931000000000154</v>
      </c>
      <c r="O571" s="4" t="s">
        <v>40</v>
      </c>
      <c r="P571" s="4" t="s">
        <v>26</v>
      </c>
      <c r="Q571" s="4">
        <v>3</v>
      </c>
      <c r="R571" s="21">
        <f t="shared" si="34"/>
        <v>6.3300181170378056E-2</v>
      </c>
      <c r="S571" t="str">
        <f t="shared" si="35"/>
        <v>Medium</v>
      </c>
    </row>
    <row r="572" spans="1:19" x14ac:dyDescent="0.35">
      <c r="A572" s="4" t="s">
        <v>949</v>
      </c>
      <c r="B572" s="5">
        <v>45867</v>
      </c>
      <c r="C572" s="4" t="s">
        <v>659</v>
      </c>
      <c r="D572" s="4" t="s">
        <v>20</v>
      </c>
      <c r="E572" s="4" t="s">
        <v>29</v>
      </c>
      <c r="F572" s="4" t="s">
        <v>108</v>
      </c>
      <c r="G572" s="4" t="s">
        <v>38</v>
      </c>
      <c r="H572" s="4" t="s">
        <v>89</v>
      </c>
      <c r="I572" s="4">
        <v>8</v>
      </c>
      <c r="J572" s="6">
        <v>695.37</v>
      </c>
      <c r="K572" s="7">
        <v>0.1</v>
      </c>
      <c r="L572" s="6">
        <f t="shared" si="32"/>
        <v>5006.6639999999998</v>
      </c>
      <c r="M572" s="6">
        <v>593.32000000000005</v>
      </c>
      <c r="N572" s="8">
        <f t="shared" si="33"/>
        <v>260.10399999999936</v>
      </c>
      <c r="O572" s="4" t="s">
        <v>51</v>
      </c>
      <c r="P572" s="4" t="s">
        <v>61</v>
      </c>
      <c r="Q572" s="4">
        <v>3</v>
      </c>
      <c r="R572" s="21">
        <f t="shared" si="34"/>
        <v>5.1951558962215032E-2</v>
      </c>
      <c r="S572" t="str">
        <f t="shared" si="35"/>
        <v>Large</v>
      </c>
    </row>
    <row r="573" spans="1:19" x14ac:dyDescent="0.35">
      <c r="A573" s="4" t="s">
        <v>950</v>
      </c>
      <c r="B573" s="5">
        <v>45867</v>
      </c>
      <c r="C573" s="4" t="s">
        <v>341</v>
      </c>
      <c r="D573" s="4" t="s">
        <v>47</v>
      </c>
      <c r="E573" s="4" t="s">
        <v>87</v>
      </c>
      <c r="F573" s="4" t="s">
        <v>88</v>
      </c>
      <c r="G573" s="4" t="s">
        <v>67</v>
      </c>
      <c r="H573" s="4" t="s">
        <v>140</v>
      </c>
      <c r="I573" s="4">
        <v>1</v>
      </c>
      <c r="J573" s="6">
        <v>115.3</v>
      </c>
      <c r="K573" s="7">
        <v>0.15</v>
      </c>
      <c r="L573" s="6">
        <f t="shared" si="32"/>
        <v>98.004999999999995</v>
      </c>
      <c r="M573" s="6">
        <v>69.87</v>
      </c>
      <c r="N573" s="8">
        <f t="shared" si="33"/>
        <v>28.134999999999991</v>
      </c>
      <c r="O573" s="4" t="s">
        <v>40</v>
      </c>
      <c r="P573" s="4" t="s">
        <v>118</v>
      </c>
      <c r="Q573" s="4">
        <v>3</v>
      </c>
      <c r="R573" s="21">
        <f t="shared" si="34"/>
        <v>0.28707718993928871</v>
      </c>
      <c r="S573" t="str">
        <f t="shared" si="35"/>
        <v>Small</v>
      </c>
    </row>
    <row r="574" spans="1:19" x14ac:dyDescent="0.35">
      <c r="A574" s="4" t="s">
        <v>951</v>
      </c>
      <c r="B574" s="5">
        <v>45868</v>
      </c>
      <c r="C574" s="4" t="s">
        <v>180</v>
      </c>
      <c r="D574" s="4" t="s">
        <v>43</v>
      </c>
      <c r="E574" s="4" t="s">
        <v>29</v>
      </c>
      <c r="F574" s="4" t="s">
        <v>108</v>
      </c>
      <c r="G574" s="4" t="s">
        <v>38</v>
      </c>
      <c r="H574" s="4" t="s">
        <v>109</v>
      </c>
      <c r="I574" s="4">
        <v>3</v>
      </c>
      <c r="J574" s="6">
        <v>928.21</v>
      </c>
      <c r="K574" s="7">
        <v>0.05</v>
      </c>
      <c r="L574" s="6">
        <f t="shared" si="32"/>
        <v>2645.3984999999998</v>
      </c>
      <c r="M574" s="6">
        <v>787.83</v>
      </c>
      <c r="N574" s="8">
        <f t="shared" si="33"/>
        <v>281.90849999999955</v>
      </c>
      <c r="O574" s="4" t="s">
        <v>51</v>
      </c>
      <c r="P574" s="4" t="s">
        <v>118</v>
      </c>
      <c r="Q574" s="4">
        <v>4</v>
      </c>
      <c r="R574" s="21">
        <f t="shared" si="34"/>
        <v>0.1065656081682966</v>
      </c>
      <c r="S574" t="str">
        <f t="shared" si="35"/>
        <v>Large</v>
      </c>
    </row>
    <row r="575" spans="1:19" x14ac:dyDescent="0.35">
      <c r="A575" s="4" t="s">
        <v>952</v>
      </c>
      <c r="B575" s="5">
        <v>45868</v>
      </c>
      <c r="C575" s="4" t="s">
        <v>547</v>
      </c>
      <c r="D575" s="4" t="s">
        <v>20</v>
      </c>
      <c r="E575" s="4" t="s">
        <v>21</v>
      </c>
      <c r="F575" s="4" t="s">
        <v>81</v>
      </c>
      <c r="G575" s="4" t="s">
        <v>23</v>
      </c>
      <c r="H575" s="4" t="s">
        <v>24</v>
      </c>
      <c r="I575" s="4">
        <v>1</v>
      </c>
      <c r="J575" s="6">
        <v>31.82</v>
      </c>
      <c r="K575" s="7">
        <v>0</v>
      </c>
      <c r="L575" s="6">
        <f t="shared" si="32"/>
        <v>31.82</v>
      </c>
      <c r="M575" s="6">
        <v>13.71</v>
      </c>
      <c r="N575" s="8">
        <f t="shared" si="33"/>
        <v>18.11</v>
      </c>
      <c r="O575" s="4" t="s">
        <v>84</v>
      </c>
      <c r="P575" s="4" t="s">
        <v>26</v>
      </c>
      <c r="Q575" s="4">
        <v>4</v>
      </c>
      <c r="R575" s="21">
        <f t="shared" si="34"/>
        <v>0.56913890634820863</v>
      </c>
      <c r="S575" t="str">
        <f t="shared" si="35"/>
        <v>Small</v>
      </c>
    </row>
    <row r="576" spans="1:19" x14ac:dyDescent="0.35">
      <c r="A576" s="4" t="s">
        <v>953</v>
      </c>
      <c r="B576" s="5">
        <v>45869</v>
      </c>
      <c r="C576" s="4" t="s">
        <v>640</v>
      </c>
      <c r="D576" s="4" t="s">
        <v>47</v>
      </c>
      <c r="E576" s="4" t="s">
        <v>29</v>
      </c>
      <c r="F576" s="4" t="s">
        <v>54</v>
      </c>
      <c r="G576" s="4" t="s">
        <v>38</v>
      </c>
      <c r="H576" s="4" t="s">
        <v>55</v>
      </c>
      <c r="I576" s="4">
        <v>5</v>
      </c>
      <c r="J576" s="6">
        <v>247.96</v>
      </c>
      <c r="K576" s="7">
        <v>0</v>
      </c>
      <c r="L576" s="6">
        <f t="shared" si="32"/>
        <v>1239.8</v>
      </c>
      <c r="M576" s="6">
        <v>209.18</v>
      </c>
      <c r="N576" s="8">
        <f t="shared" si="33"/>
        <v>193.89999999999986</v>
      </c>
      <c r="O576" s="4" t="s">
        <v>25</v>
      </c>
      <c r="P576" s="4" t="s">
        <v>75</v>
      </c>
      <c r="Q576" s="4">
        <v>4</v>
      </c>
      <c r="R576" s="21">
        <f t="shared" si="34"/>
        <v>0.15639619293434415</v>
      </c>
      <c r="S576" t="str">
        <f t="shared" si="35"/>
        <v>Medium</v>
      </c>
    </row>
    <row r="577" spans="1:19" x14ac:dyDescent="0.35">
      <c r="A577" s="4" t="s">
        <v>954</v>
      </c>
      <c r="B577" s="5">
        <v>45870</v>
      </c>
      <c r="C577" s="4" t="s">
        <v>379</v>
      </c>
      <c r="D577" s="4" t="s">
        <v>47</v>
      </c>
      <c r="E577" s="4" t="s">
        <v>36</v>
      </c>
      <c r="F577" s="4" t="s">
        <v>48</v>
      </c>
      <c r="G577" s="4" t="s">
        <v>38</v>
      </c>
      <c r="H577" s="4" t="s">
        <v>96</v>
      </c>
      <c r="I577" s="4">
        <v>10</v>
      </c>
      <c r="J577" s="6">
        <v>256.92</v>
      </c>
      <c r="K577" s="7">
        <v>0</v>
      </c>
      <c r="L577" s="6">
        <f t="shared" si="32"/>
        <v>2569.2000000000003</v>
      </c>
      <c r="M577" s="6">
        <v>208.66</v>
      </c>
      <c r="N577" s="8">
        <f t="shared" si="33"/>
        <v>482.60000000000036</v>
      </c>
      <c r="O577" s="4" t="s">
        <v>84</v>
      </c>
      <c r="P577" s="4" t="s">
        <v>33</v>
      </c>
      <c r="Q577" s="4">
        <v>5</v>
      </c>
      <c r="R577" s="21">
        <f t="shared" si="34"/>
        <v>0.18784057294099343</v>
      </c>
      <c r="S577" t="str">
        <f t="shared" si="35"/>
        <v>Large</v>
      </c>
    </row>
    <row r="578" spans="1:19" x14ac:dyDescent="0.35">
      <c r="A578" s="4" t="s">
        <v>955</v>
      </c>
      <c r="B578" s="5">
        <v>45870</v>
      </c>
      <c r="C578" s="4" t="s">
        <v>80</v>
      </c>
      <c r="D578" s="4" t="s">
        <v>20</v>
      </c>
      <c r="E578" s="4" t="s">
        <v>36</v>
      </c>
      <c r="F578" s="4" t="s">
        <v>48</v>
      </c>
      <c r="G578" s="4" t="s">
        <v>67</v>
      </c>
      <c r="H578" s="4" t="s">
        <v>93</v>
      </c>
      <c r="I578" s="4">
        <v>1</v>
      </c>
      <c r="J578" s="6">
        <v>205.7</v>
      </c>
      <c r="K578" s="7">
        <v>0.1</v>
      </c>
      <c r="L578" s="6">
        <f t="shared" ref="L578:L641" si="36">I578*J578*(1-K578)</f>
        <v>185.13</v>
      </c>
      <c r="M578" s="6">
        <v>163.68</v>
      </c>
      <c r="N578" s="8">
        <f t="shared" ref="N578:N641" si="37">L578-I578*M578</f>
        <v>21.449999999999989</v>
      </c>
      <c r="O578" s="4" t="s">
        <v>60</v>
      </c>
      <c r="P578" s="4" t="s">
        <v>118</v>
      </c>
      <c r="Q578" s="4">
        <v>5</v>
      </c>
      <c r="R578" s="21">
        <f t="shared" si="34"/>
        <v>0.11586452762923345</v>
      </c>
      <c r="S578" t="str">
        <f t="shared" si="35"/>
        <v>Small</v>
      </c>
    </row>
    <row r="579" spans="1:19" x14ac:dyDescent="0.35">
      <c r="A579" s="4" t="s">
        <v>956</v>
      </c>
      <c r="B579" s="5">
        <v>45870</v>
      </c>
      <c r="C579" s="4" t="s">
        <v>205</v>
      </c>
      <c r="D579" s="4" t="s">
        <v>20</v>
      </c>
      <c r="E579" s="4" t="s">
        <v>87</v>
      </c>
      <c r="F579" s="4" t="s">
        <v>124</v>
      </c>
      <c r="G579" s="4" t="s">
        <v>67</v>
      </c>
      <c r="H579" s="4" t="s">
        <v>93</v>
      </c>
      <c r="I579" s="4">
        <v>10</v>
      </c>
      <c r="J579" s="6">
        <v>297.43</v>
      </c>
      <c r="K579" s="7">
        <v>0.2</v>
      </c>
      <c r="L579" s="6">
        <f t="shared" si="36"/>
        <v>2379.44</v>
      </c>
      <c r="M579" s="6">
        <v>215.79</v>
      </c>
      <c r="N579" s="8">
        <f t="shared" si="37"/>
        <v>221.53999999999996</v>
      </c>
      <c r="O579" s="4" t="s">
        <v>60</v>
      </c>
      <c r="P579" s="4" t="s">
        <v>56</v>
      </c>
      <c r="Q579" s="4">
        <v>3</v>
      </c>
      <c r="R579" s="21">
        <f t="shared" ref="R579:R642" si="38">IF(L579=0,0,N579/L579)</f>
        <v>9.3105940893655634E-2</v>
      </c>
      <c r="S579" t="str">
        <f t="shared" ref="S579:S642" si="39">IF(L579&gt;=2000,"Large",IF(L579&gt;=500,"Medium","Small"))</f>
        <v>Large</v>
      </c>
    </row>
    <row r="580" spans="1:19" x14ac:dyDescent="0.35">
      <c r="A580" s="4" t="s">
        <v>957</v>
      </c>
      <c r="B580" s="5">
        <v>45871</v>
      </c>
      <c r="C580" s="4" t="s">
        <v>958</v>
      </c>
      <c r="D580" s="4" t="s">
        <v>47</v>
      </c>
      <c r="E580" s="4" t="s">
        <v>36</v>
      </c>
      <c r="F580" s="4" t="s">
        <v>201</v>
      </c>
      <c r="G580" s="4" t="s">
        <v>49</v>
      </c>
      <c r="H580" s="4" t="s">
        <v>128</v>
      </c>
      <c r="I580" s="4">
        <v>3</v>
      </c>
      <c r="J580" s="6">
        <v>48.96</v>
      </c>
      <c r="K580" s="7">
        <v>0.2</v>
      </c>
      <c r="L580" s="6">
        <f t="shared" si="36"/>
        <v>117.504</v>
      </c>
      <c r="M580" s="6">
        <v>33.020000000000003</v>
      </c>
      <c r="N580" s="8">
        <f t="shared" si="37"/>
        <v>18.444000000000003</v>
      </c>
      <c r="O580" s="4" t="s">
        <v>51</v>
      </c>
      <c r="P580" s="4" t="s">
        <v>72</v>
      </c>
      <c r="Q580" s="4">
        <v>5</v>
      </c>
      <c r="R580" s="21">
        <f t="shared" si="38"/>
        <v>0.15696486928104578</v>
      </c>
      <c r="S580" t="str">
        <f t="shared" si="39"/>
        <v>Small</v>
      </c>
    </row>
    <row r="581" spans="1:19" x14ac:dyDescent="0.35">
      <c r="A581" s="4" t="s">
        <v>959</v>
      </c>
      <c r="B581" s="5">
        <v>45872</v>
      </c>
      <c r="C581" s="4" t="s">
        <v>960</v>
      </c>
      <c r="D581" s="4" t="s">
        <v>47</v>
      </c>
      <c r="E581" s="4" t="s">
        <v>36</v>
      </c>
      <c r="F581" s="4" t="s">
        <v>48</v>
      </c>
      <c r="G581" s="4" t="s">
        <v>67</v>
      </c>
      <c r="H581" s="4" t="s">
        <v>93</v>
      </c>
      <c r="I581" s="4">
        <v>5</v>
      </c>
      <c r="J581" s="6">
        <v>277.29000000000002</v>
      </c>
      <c r="K581" s="7">
        <v>0.2</v>
      </c>
      <c r="L581" s="6">
        <f t="shared" si="36"/>
        <v>1109.1600000000001</v>
      </c>
      <c r="M581" s="6">
        <v>218.88</v>
      </c>
      <c r="N581" s="8">
        <f t="shared" si="37"/>
        <v>14.759999999999991</v>
      </c>
      <c r="O581" s="4" t="s">
        <v>60</v>
      </c>
      <c r="P581" s="4" t="s">
        <v>26</v>
      </c>
      <c r="Q581" s="4">
        <v>5</v>
      </c>
      <c r="R581" s="21">
        <f t="shared" si="38"/>
        <v>1.3307367737747475E-2</v>
      </c>
      <c r="S581" t="str">
        <f t="shared" si="39"/>
        <v>Medium</v>
      </c>
    </row>
    <row r="582" spans="1:19" x14ac:dyDescent="0.35">
      <c r="A582" s="4" t="s">
        <v>961</v>
      </c>
      <c r="B582" s="5">
        <v>45872</v>
      </c>
      <c r="C582" s="4" t="s">
        <v>134</v>
      </c>
      <c r="D582" s="4" t="s">
        <v>43</v>
      </c>
      <c r="E582" s="4" t="s">
        <v>36</v>
      </c>
      <c r="F582" s="4" t="s">
        <v>201</v>
      </c>
      <c r="G582" s="4" t="s">
        <v>23</v>
      </c>
      <c r="H582" s="4" t="s">
        <v>24</v>
      </c>
      <c r="I582" s="4">
        <v>2</v>
      </c>
      <c r="J582" s="6">
        <v>58.06</v>
      </c>
      <c r="K582" s="7">
        <v>0</v>
      </c>
      <c r="L582" s="6">
        <f t="shared" si="36"/>
        <v>116.12</v>
      </c>
      <c r="M582" s="6">
        <v>26.83</v>
      </c>
      <c r="N582" s="8">
        <f t="shared" si="37"/>
        <v>62.460000000000008</v>
      </c>
      <c r="O582" s="4" t="s">
        <v>51</v>
      </c>
      <c r="P582" s="4" t="s">
        <v>26</v>
      </c>
      <c r="Q582" s="4">
        <v>5</v>
      </c>
      <c r="R582" s="21">
        <f t="shared" si="38"/>
        <v>0.53789183603169144</v>
      </c>
      <c r="S582" t="str">
        <f t="shared" si="39"/>
        <v>Small</v>
      </c>
    </row>
    <row r="583" spans="1:19" x14ac:dyDescent="0.35">
      <c r="A583" s="4" t="s">
        <v>962</v>
      </c>
      <c r="B583" s="5">
        <v>45872</v>
      </c>
      <c r="C583" s="4" t="s">
        <v>840</v>
      </c>
      <c r="D583" s="4" t="s">
        <v>43</v>
      </c>
      <c r="E583" s="4" t="s">
        <v>21</v>
      </c>
      <c r="F583" s="4" t="s">
        <v>22</v>
      </c>
      <c r="G583" s="4" t="s">
        <v>23</v>
      </c>
      <c r="H583" s="4" t="s">
        <v>71</v>
      </c>
      <c r="I583" s="4">
        <v>1</v>
      </c>
      <c r="J583" s="6">
        <v>146.71</v>
      </c>
      <c r="K583" s="7">
        <v>0</v>
      </c>
      <c r="L583" s="6">
        <f t="shared" si="36"/>
        <v>146.71</v>
      </c>
      <c r="M583" s="6">
        <v>71.959999999999994</v>
      </c>
      <c r="N583" s="8">
        <f t="shared" si="37"/>
        <v>74.750000000000014</v>
      </c>
      <c r="O583" s="4" t="s">
        <v>84</v>
      </c>
      <c r="P583" s="4" t="s">
        <v>33</v>
      </c>
      <c r="Q583" s="4">
        <v>4</v>
      </c>
      <c r="R583" s="21">
        <f t="shared" si="38"/>
        <v>0.50950855429077779</v>
      </c>
      <c r="S583" t="str">
        <f t="shared" si="39"/>
        <v>Small</v>
      </c>
    </row>
    <row r="584" spans="1:19" x14ac:dyDescent="0.35">
      <c r="A584" s="4" t="s">
        <v>963</v>
      </c>
      <c r="B584" s="5">
        <v>45873</v>
      </c>
      <c r="C584" s="4" t="s">
        <v>964</v>
      </c>
      <c r="D584" s="4" t="s">
        <v>43</v>
      </c>
      <c r="E584" s="4" t="s">
        <v>21</v>
      </c>
      <c r="F584" s="4" t="s">
        <v>22</v>
      </c>
      <c r="G584" s="4" t="s">
        <v>67</v>
      </c>
      <c r="H584" s="4" t="s">
        <v>93</v>
      </c>
      <c r="I584" s="4">
        <v>4</v>
      </c>
      <c r="J584" s="6">
        <v>569.04</v>
      </c>
      <c r="K584" s="7">
        <v>0</v>
      </c>
      <c r="L584" s="6">
        <f t="shared" si="36"/>
        <v>2276.16</v>
      </c>
      <c r="M584" s="6">
        <v>412.66</v>
      </c>
      <c r="N584" s="8">
        <f t="shared" si="37"/>
        <v>625.51999999999975</v>
      </c>
      <c r="O584" s="4" t="s">
        <v>84</v>
      </c>
      <c r="P584" s="4" t="s">
        <v>75</v>
      </c>
      <c r="Q584" s="4">
        <v>4</v>
      </c>
      <c r="R584" s="21">
        <f t="shared" si="38"/>
        <v>0.27481372135526494</v>
      </c>
      <c r="S584" t="str">
        <f t="shared" si="39"/>
        <v>Large</v>
      </c>
    </row>
    <row r="585" spans="1:19" x14ac:dyDescent="0.35">
      <c r="A585" s="4" t="s">
        <v>965</v>
      </c>
      <c r="B585" s="5">
        <v>45873</v>
      </c>
      <c r="C585" s="4" t="s">
        <v>670</v>
      </c>
      <c r="D585" s="4" t="s">
        <v>43</v>
      </c>
      <c r="E585" s="4" t="s">
        <v>36</v>
      </c>
      <c r="F585" s="4" t="s">
        <v>201</v>
      </c>
      <c r="G585" s="4" t="s">
        <v>23</v>
      </c>
      <c r="H585" s="4" t="s">
        <v>44</v>
      </c>
      <c r="I585" s="4">
        <v>2</v>
      </c>
      <c r="J585" s="6">
        <v>94.14</v>
      </c>
      <c r="K585" s="7">
        <v>0</v>
      </c>
      <c r="L585" s="6">
        <f t="shared" si="36"/>
        <v>188.28</v>
      </c>
      <c r="M585" s="6">
        <v>51.01</v>
      </c>
      <c r="N585" s="8">
        <f t="shared" si="37"/>
        <v>86.26</v>
      </c>
      <c r="O585" s="4" t="s">
        <v>84</v>
      </c>
      <c r="P585" s="4" t="s">
        <v>33</v>
      </c>
      <c r="Q585" s="4">
        <v>4</v>
      </c>
      <c r="R585" s="21">
        <f t="shared" si="38"/>
        <v>0.45814743998300406</v>
      </c>
      <c r="S585" t="str">
        <f t="shared" si="39"/>
        <v>Small</v>
      </c>
    </row>
    <row r="586" spans="1:19" x14ac:dyDescent="0.35">
      <c r="A586" s="4" t="s">
        <v>966</v>
      </c>
      <c r="B586" s="5">
        <v>45873</v>
      </c>
      <c r="C586" s="4" t="s">
        <v>594</v>
      </c>
      <c r="D586" s="4" t="s">
        <v>43</v>
      </c>
      <c r="E586" s="4" t="s">
        <v>21</v>
      </c>
      <c r="F586" s="4" t="s">
        <v>81</v>
      </c>
      <c r="G586" s="4" t="s">
        <v>67</v>
      </c>
      <c r="H586" s="4" t="s">
        <v>121</v>
      </c>
      <c r="I586" s="4">
        <v>6</v>
      </c>
      <c r="J586" s="6">
        <v>188.97</v>
      </c>
      <c r="K586" s="7">
        <v>0</v>
      </c>
      <c r="L586" s="6">
        <f t="shared" si="36"/>
        <v>1133.82</v>
      </c>
      <c r="M586" s="6">
        <v>132.21</v>
      </c>
      <c r="N586" s="8">
        <f t="shared" si="37"/>
        <v>340.55999999999995</v>
      </c>
      <c r="O586" s="4" t="s">
        <v>60</v>
      </c>
      <c r="P586" s="4" t="s">
        <v>72</v>
      </c>
      <c r="Q586" s="4">
        <v>4</v>
      </c>
      <c r="R586" s="21">
        <f t="shared" si="38"/>
        <v>0.30036513732338466</v>
      </c>
      <c r="S586" t="str">
        <f t="shared" si="39"/>
        <v>Medium</v>
      </c>
    </row>
    <row r="587" spans="1:19" x14ac:dyDescent="0.35">
      <c r="A587" s="4" t="s">
        <v>967</v>
      </c>
      <c r="B587" s="5">
        <v>45873</v>
      </c>
      <c r="C587" s="4" t="s">
        <v>769</v>
      </c>
      <c r="D587" s="4" t="s">
        <v>20</v>
      </c>
      <c r="E587" s="4" t="s">
        <v>36</v>
      </c>
      <c r="F587" s="4" t="s">
        <v>48</v>
      </c>
      <c r="G587" s="4" t="s">
        <v>31</v>
      </c>
      <c r="H587" s="4" t="s">
        <v>64</v>
      </c>
      <c r="I587" s="4">
        <v>4</v>
      </c>
      <c r="J587" s="6">
        <v>103.57</v>
      </c>
      <c r="K587" s="7">
        <v>0.2</v>
      </c>
      <c r="L587" s="6">
        <f t="shared" si="36"/>
        <v>331.42399999999998</v>
      </c>
      <c r="M587" s="6">
        <v>60.78</v>
      </c>
      <c r="N587" s="8">
        <f t="shared" si="37"/>
        <v>88.303999999999974</v>
      </c>
      <c r="O587" s="4" t="s">
        <v>51</v>
      </c>
      <c r="P587" s="4" t="s">
        <v>33</v>
      </c>
      <c r="Q587" s="4">
        <v>1</v>
      </c>
      <c r="R587" s="21">
        <f t="shared" si="38"/>
        <v>0.26643815776769331</v>
      </c>
      <c r="S587" t="str">
        <f t="shared" si="39"/>
        <v>Small</v>
      </c>
    </row>
    <row r="588" spans="1:19" x14ac:dyDescent="0.35">
      <c r="A588" s="4" t="s">
        <v>968</v>
      </c>
      <c r="B588" s="5">
        <v>45874</v>
      </c>
      <c r="C588" s="4" t="s">
        <v>235</v>
      </c>
      <c r="D588" s="4" t="s">
        <v>20</v>
      </c>
      <c r="E588" s="4" t="s">
        <v>29</v>
      </c>
      <c r="F588" s="4" t="s">
        <v>108</v>
      </c>
      <c r="G588" s="4" t="s">
        <v>67</v>
      </c>
      <c r="H588" s="4" t="s">
        <v>140</v>
      </c>
      <c r="I588" s="4">
        <v>4</v>
      </c>
      <c r="J588" s="6">
        <v>208.79</v>
      </c>
      <c r="K588" s="7">
        <v>0</v>
      </c>
      <c r="L588" s="6">
        <f t="shared" si="36"/>
        <v>835.16</v>
      </c>
      <c r="M588" s="6">
        <v>150.16999999999999</v>
      </c>
      <c r="N588" s="8">
        <f t="shared" si="37"/>
        <v>234.48000000000002</v>
      </c>
      <c r="O588" s="4" t="s">
        <v>84</v>
      </c>
      <c r="P588" s="4" t="s">
        <v>97</v>
      </c>
      <c r="Q588" s="4">
        <v>3</v>
      </c>
      <c r="R588" s="21">
        <f t="shared" si="38"/>
        <v>0.280760572824369</v>
      </c>
      <c r="S588" t="str">
        <f t="shared" si="39"/>
        <v>Medium</v>
      </c>
    </row>
    <row r="589" spans="1:19" x14ac:dyDescent="0.35">
      <c r="A589" s="4" t="s">
        <v>969</v>
      </c>
      <c r="B589" s="5">
        <v>45874</v>
      </c>
      <c r="C589" s="4" t="s">
        <v>139</v>
      </c>
      <c r="D589" s="4" t="s">
        <v>43</v>
      </c>
      <c r="E589" s="4" t="s">
        <v>29</v>
      </c>
      <c r="F589" s="4" t="s">
        <v>108</v>
      </c>
      <c r="G589" s="4" t="s">
        <v>31</v>
      </c>
      <c r="H589" s="4" t="s">
        <v>125</v>
      </c>
      <c r="I589" s="4">
        <v>5</v>
      </c>
      <c r="J589" s="6">
        <v>110.65</v>
      </c>
      <c r="K589" s="7">
        <v>0</v>
      </c>
      <c r="L589" s="6">
        <f t="shared" si="36"/>
        <v>553.25</v>
      </c>
      <c r="M589" s="6">
        <v>71.569999999999993</v>
      </c>
      <c r="N589" s="8">
        <f t="shared" si="37"/>
        <v>195.40000000000003</v>
      </c>
      <c r="O589" s="4" t="s">
        <v>84</v>
      </c>
      <c r="P589" s="4" t="s">
        <v>97</v>
      </c>
      <c r="Q589" s="4">
        <v>5</v>
      </c>
      <c r="R589" s="21">
        <f t="shared" si="38"/>
        <v>0.35318572074107552</v>
      </c>
      <c r="S589" t="str">
        <f t="shared" si="39"/>
        <v>Medium</v>
      </c>
    </row>
    <row r="590" spans="1:19" x14ac:dyDescent="0.35">
      <c r="A590" s="4" t="s">
        <v>970</v>
      </c>
      <c r="B590" s="5">
        <v>45874</v>
      </c>
      <c r="C590" s="4" t="s">
        <v>782</v>
      </c>
      <c r="D590" s="4" t="s">
        <v>20</v>
      </c>
      <c r="E590" s="4" t="s">
        <v>21</v>
      </c>
      <c r="F590" s="4" t="s">
        <v>81</v>
      </c>
      <c r="G590" s="4" t="s">
        <v>31</v>
      </c>
      <c r="H590" s="4" t="s">
        <v>125</v>
      </c>
      <c r="I590" s="4">
        <v>1</v>
      </c>
      <c r="J590" s="6">
        <v>104.58</v>
      </c>
      <c r="K590" s="7">
        <v>0.15</v>
      </c>
      <c r="L590" s="6">
        <f t="shared" si="36"/>
        <v>88.893000000000001</v>
      </c>
      <c r="M590" s="6">
        <v>60.59</v>
      </c>
      <c r="N590" s="8">
        <f t="shared" si="37"/>
        <v>28.302999999999997</v>
      </c>
      <c r="O590" s="4" t="s">
        <v>60</v>
      </c>
      <c r="P590" s="4" t="s">
        <v>26</v>
      </c>
      <c r="Q590" s="4">
        <v>5</v>
      </c>
      <c r="R590" s="21">
        <f t="shared" si="38"/>
        <v>0.3183940242763772</v>
      </c>
      <c r="S590" t="str">
        <f t="shared" si="39"/>
        <v>Small</v>
      </c>
    </row>
    <row r="591" spans="1:19" x14ac:dyDescent="0.35">
      <c r="A591" s="4" t="s">
        <v>971</v>
      </c>
      <c r="B591" s="5">
        <v>45874</v>
      </c>
      <c r="C591" s="4" t="s">
        <v>972</v>
      </c>
      <c r="D591" s="4" t="s">
        <v>20</v>
      </c>
      <c r="E591" s="4" t="s">
        <v>29</v>
      </c>
      <c r="F591" s="4" t="s">
        <v>108</v>
      </c>
      <c r="G591" s="4" t="s">
        <v>31</v>
      </c>
      <c r="H591" s="4" t="s">
        <v>64</v>
      </c>
      <c r="I591" s="4">
        <v>2</v>
      </c>
      <c r="J591" s="6">
        <v>87.35</v>
      </c>
      <c r="K591" s="7">
        <v>0</v>
      </c>
      <c r="L591" s="6">
        <f t="shared" si="36"/>
        <v>174.7</v>
      </c>
      <c r="M591" s="6">
        <v>58.08</v>
      </c>
      <c r="N591" s="8">
        <f t="shared" si="37"/>
        <v>58.539999999999992</v>
      </c>
      <c r="O591" s="4" t="s">
        <v>60</v>
      </c>
      <c r="P591" s="4" t="s">
        <v>61</v>
      </c>
      <c r="Q591" s="4">
        <v>3</v>
      </c>
      <c r="R591" s="21">
        <f t="shared" si="38"/>
        <v>0.33508872352604463</v>
      </c>
      <c r="S591" t="str">
        <f t="shared" si="39"/>
        <v>Small</v>
      </c>
    </row>
    <row r="592" spans="1:19" x14ac:dyDescent="0.35">
      <c r="A592" s="4" t="s">
        <v>973</v>
      </c>
      <c r="B592" s="5">
        <v>45874</v>
      </c>
      <c r="C592" s="4" t="s">
        <v>465</v>
      </c>
      <c r="D592" s="4" t="s">
        <v>43</v>
      </c>
      <c r="E592" s="4" t="s">
        <v>29</v>
      </c>
      <c r="F592" s="4" t="s">
        <v>30</v>
      </c>
      <c r="G592" s="4" t="s">
        <v>49</v>
      </c>
      <c r="H592" s="4" t="s">
        <v>78</v>
      </c>
      <c r="I592" s="4">
        <v>1</v>
      </c>
      <c r="J592" s="6">
        <v>519.32000000000005</v>
      </c>
      <c r="K592" s="7">
        <v>0</v>
      </c>
      <c r="L592" s="6">
        <f t="shared" si="36"/>
        <v>519.32000000000005</v>
      </c>
      <c r="M592" s="6">
        <v>306.49</v>
      </c>
      <c r="N592" s="8">
        <f t="shared" si="37"/>
        <v>212.83000000000004</v>
      </c>
      <c r="O592" s="4" t="s">
        <v>84</v>
      </c>
      <c r="P592" s="4" t="s">
        <v>26</v>
      </c>
      <c r="Q592" s="4">
        <v>2</v>
      </c>
      <c r="R592" s="21">
        <f t="shared" si="38"/>
        <v>0.4098243857351922</v>
      </c>
      <c r="S592" t="str">
        <f t="shared" si="39"/>
        <v>Medium</v>
      </c>
    </row>
    <row r="593" spans="1:19" x14ac:dyDescent="0.35">
      <c r="A593" s="4" t="s">
        <v>974</v>
      </c>
      <c r="B593" s="5">
        <v>45874</v>
      </c>
      <c r="C593" s="4" t="s">
        <v>809</v>
      </c>
      <c r="D593" s="4" t="s">
        <v>20</v>
      </c>
      <c r="E593" s="4" t="s">
        <v>87</v>
      </c>
      <c r="F593" s="4" t="s">
        <v>88</v>
      </c>
      <c r="G593" s="4" t="s">
        <v>23</v>
      </c>
      <c r="H593" s="4" t="s">
        <v>44</v>
      </c>
      <c r="I593" s="4">
        <v>3</v>
      </c>
      <c r="J593" s="6">
        <v>116.68</v>
      </c>
      <c r="K593" s="7">
        <v>0</v>
      </c>
      <c r="L593" s="6">
        <f t="shared" si="36"/>
        <v>350.04</v>
      </c>
      <c r="M593" s="6">
        <v>66.959999999999994</v>
      </c>
      <c r="N593" s="8">
        <f t="shared" si="37"/>
        <v>149.16000000000003</v>
      </c>
      <c r="O593" s="4" t="s">
        <v>40</v>
      </c>
      <c r="P593" s="4" t="s">
        <v>75</v>
      </c>
      <c r="Q593" s="4">
        <v>3</v>
      </c>
      <c r="R593" s="21">
        <f t="shared" si="38"/>
        <v>0.42612272883099078</v>
      </c>
      <c r="S593" t="str">
        <f t="shared" si="39"/>
        <v>Small</v>
      </c>
    </row>
    <row r="594" spans="1:19" x14ac:dyDescent="0.35">
      <c r="A594" s="4" t="s">
        <v>975</v>
      </c>
      <c r="B594" s="5">
        <v>45874</v>
      </c>
      <c r="C594" s="4" t="s">
        <v>976</v>
      </c>
      <c r="D594" s="4" t="s">
        <v>43</v>
      </c>
      <c r="E594" s="4" t="s">
        <v>21</v>
      </c>
      <c r="F594" s="4" t="s">
        <v>81</v>
      </c>
      <c r="G594" s="4" t="s">
        <v>38</v>
      </c>
      <c r="H594" s="4" t="s">
        <v>96</v>
      </c>
      <c r="I594" s="4">
        <v>1</v>
      </c>
      <c r="J594" s="6">
        <v>306.10000000000002</v>
      </c>
      <c r="K594" s="7">
        <v>0.05</v>
      </c>
      <c r="L594" s="6">
        <f t="shared" si="36"/>
        <v>290.79500000000002</v>
      </c>
      <c r="M594" s="6">
        <v>264.79000000000002</v>
      </c>
      <c r="N594" s="8">
        <f t="shared" si="37"/>
        <v>26.004999999999995</v>
      </c>
      <c r="O594" s="4" t="s">
        <v>40</v>
      </c>
      <c r="P594" s="4" t="s">
        <v>97</v>
      </c>
      <c r="Q594" s="4">
        <v>3</v>
      </c>
      <c r="R594" s="21">
        <f t="shared" si="38"/>
        <v>8.9427259753434532E-2</v>
      </c>
      <c r="S594" t="str">
        <f t="shared" si="39"/>
        <v>Small</v>
      </c>
    </row>
    <row r="595" spans="1:19" x14ac:dyDescent="0.35">
      <c r="A595" s="4" t="s">
        <v>977</v>
      </c>
      <c r="B595" s="5">
        <v>45874</v>
      </c>
      <c r="C595" s="4" t="s">
        <v>28</v>
      </c>
      <c r="D595" s="4" t="s">
        <v>20</v>
      </c>
      <c r="E595" s="4" t="s">
        <v>29</v>
      </c>
      <c r="F595" s="4" t="s">
        <v>54</v>
      </c>
      <c r="G595" s="4" t="s">
        <v>38</v>
      </c>
      <c r="H595" s="4" t="s">
        <v>39</v>
      </c>
      <c r="I595" s="4">
        <v>1</v>
      </c>
      <c r="J595" s="6">
        <v>234.81</v>
      </c>
      <c r="K595" s="7">
        <v>0</v>
      </c>
      <c r="L595" s="6">
        <f t="shared" si="36"/>
        <v>234.81</v>
      </c>
      <c r="M595" s="6">
        <v>185.15</v>
      </c>
      <c r="N595" s="8">
        <f t="shared" si="37"/>
        <v>49.66</v>
      </c>
      <c r="O595" s="4" t="s">
        <v>40</v>
      </c>
      <c r="P595" s="4" t="s">
        <v>61</v>
      </c>
      <c r="Q595" s="4">
        <v>4</v>
      </c>
      <c r="R595" s="21">
        <f t="shared" si="38"/>
        <v>0.21149014096503554</v>
      </c>
      <c r="S595" t="str">
        <f t="shared" si="39"/>
        <v>Small</v>
      </c>
    </row>
    <row r="596" spans="1:19" x14ac:dyDescent="0.35">
      <c r="A596" s="4" t="s">
        <v>978</v>
      </c>
      <c r="B596" s="5">
        <v>45875</v>
      </c>
      <c r="C596" s="4" t="s">
        <v>550</v>
      </c>
      <c r="D596" s="4" t="s">
        <v>43</v>
      </c>
      <c r="E596" s="4" t="s">
        <v>36</v>
      </c>
      <c r="F596" s="4" t="s">
        <v>48</v>
      </c>
      <c r="G596" s="4" t="s">
        <v>49</v>
      </c>
      <c r="H596" s="4" t="s">
        <v>128</v>
      </c>
      <c r="I596" s="4">
        <v>1</v>
      </c>
      <c r="J596" s="6">
        <v>87.81</v>
      </c>
      <c r="K596" s="7">
        <v>0</v>
      </c>
      <c r="L596" s="6">
        <f t="shared" si="36"/>
        <v>87.81</v>
      </c>
      <c r="M596" s="6">
        <v>53.83</v>
      </c>
      <c r="N596" s="8">
        <f t="shared" si="37"/>
        <v>33.980000000000004</v>
      </c>
      <c r="O596" s="4" t="s">
        <v>51</v>
      </c>
      <c r="P596" s="4" t="s">
        <v>72</v>
      </c>
      <c r="Q596" s="4">
        <v>4</v>
      </c>
      <c r="R596" s="21">
        <f t="shared" si="38"/>
        <v>0.38697187108529785</v>
      </c>
      <c r="S596" t="str">
        <f t="shared" si="39"/>
        <v>Small</v>
      </c>
    </row>
    <row r="597" spans="1:19" x14ac:dyDescent="0.35">
      <c r="A597" s="4" t="s">
        <v>979</v>
      </c>
      <c r="B597" s="5">
        <v>45875</v>
      </c>
      <c r="C597" s="4" t="s">
        <v>427</v>
      </c>
      <c r="D597" s="4" t="s">
        <v>20</v>
      </c>
      <c r="E597" s="4" t="s">
        <v>21</v>
      </c>
      <c r="F597" s="4" t="s">
        <v>81</v>
      </c>
      <c r="G597" s="4" t="s">
        <v>49</v>
      </c>
      <c r="H597" s="4" t="s">
        <v>187</v>
      </c>
      <c r="I597" s="4">
        <v>3</v>
      </c>
      <c r="J597" s="6">
        <v>99.03</v>
      </c>
      <c r="K597" s="7">
        <v>0.15</v>
      </c>
      <c r="L597" s="6">
        <f t="shared" si="36"/>
        <v>252.52650000000003</v>
      </c>
      <c r="M597" s="6">
        <v>62.86</v>
      </c>
      <c r="N597" s="8">
        <f t="shared" si="37"/>
        <v>63.946500000000043</v>
      </c>
      <c r="O597" s="4" t="s">
        <v>25</v>
      </c>
      <c r="P597" s="4" t="s">
        <v>97</v>
      </c>
      <c r="Q597" s="4">
        <v>4</v>
      </c>
      <c r="R597" s="21">
        <f t="shared" si="38"/>
        <v>0.25322688905916818</v>
      </c>
      <c r="S597" t="str">
        <f t="shared" si="39"/>
        <v>Small</v>
      </c>
    </row>
    <row r="598" spans="1:19" x14ac:dyDescent="0.35">
      <c r="A598" s="4" t="s">
        <v>980</v>
      </c>
      <c r="B598" s="5">
        <v>45875</v>
      </c>
      <c r="C598" s="4" t="s">
        <v>363</v>
      </c>
      <c r="D598" s="4" t="s">
        <v>20</v>
      </c>
      <c r="E598" s="4" t="s">
        <v>29</v>
      </c>
      <c r="F598" s="4" t="s">
        <v>30</v>
      </c>
      <c r="G598" s="4" t="s">
        <v>31</v>
      </c>
      <c r="H598" s="4" t="s">
        <v>125</v>
      </c>
      <c r="I598" s="4">
        <v>2</v>
      </c>
      <c r="J598" s="6">
        <v>100.56</v>
      </c>
      <c r="K598" s="7">
        <v>0.1</v>
      </c>
      <c r="L598" s="6">
        <f t="shared" si="36"/>
        <v>181.00800000000001</v>
      </c>
      <c r="M598" s="6">
        <v>71.81</v>
      </c>
      <c r="N598" s="8">
        <f t="shared" si="37"/>
        <v>37.388000000000005</v>
      </c>
      <c r="O598" s="4" t="s">
        <v>60</v>
      </c>
      <c r="P598" s="4" t="s">
        <v>97</v>
      </c>
      <c r="Q598" s="4">
        <v>4</v>
      </c>
      <c r="R598" s="21">
        <f t="shared" si="38"/>
        <v>0.20655440643507472</v>
      </c>
      <c r="S598" t="str">
        <f t="shared" si="39"/>
        <v>Small</v>
      </c>
    </row>
    <row r="599" spans="1:19" x14ac:dyDescent="0.35">
      <c r="A599" s="4" t="s">
        <v>981</v>
      </c>
      <c r="B599" s="5">
        <v>45876</v>
      </c>
      <c r="C599" s="4" t="s">
        <v>77</v>
      </c>
      <c r="D599" s="4" t="s">
        <v>47</v>
      </c>
      <c r="E599" s="4" t="s">
        <v>36</v>
      </c>
      <c r="F599" s="4" t="s">
        <v>37</v>
      </c>
      <c r="G599" s="4" t="s">
        <v>38</v>
      </c>
      <c r="H599" s="4" t="s">
        <v>109</v>
      </c>
      <c r="I599" s="4">
        <v>6</v>
      </c>
      <c r="J599" s="6">
        <v>519.02</v>
      </c>
      <c r="K599" s="7">
        <v>0.1</v>
      </c>
      <c r="L599" s="6">
        <f t="shared" si="36"/>
        <v>2802.7080000000001</v>
      </c>
      <c r="M599" s="6">
        <v>418.22</v>
      </c>
      <c r="N599" s="8">
        <f t="shared" si="37"/>
        <v>293.38799999999992</v>
      </c>
      <c r="O599" s="4" t="s">
        <v>40</v>
      </c>
      <c r="P599" s="4" t="s">
        <v>97</v>
      </c>
      <c r="Q599" s="4">
        <v>5</v>
      </c>
      <c r="R599" s="21">
        <f t="shared" si="38"/>
        <v>0.10468018787544044</v>
      </c>
      <c r="S599" t="str">
        <f t="shared" si="39"/>
        <v>Large</v>
      </c>
    </row>
    <row r="600" spans="1:19" x14ac:dyDescent="0.35">
      <c r="A600" s="4" t="s">
        <v>982</v>
      </c>
      <c r="B600" s="5">
        <v>45876</v>
      </c>
      <c r="C600" s="4" t="s">
        <v>545</v>
      </c>
      <c r="D600" s="4" t="s">
        <v>47</v>
      </c>
      <c r="E600" s="4" t="s">
        <v>36</v>
      </c>
      <c r="F600" s="4" t="s">
        <v>201</v>
      </c>
      <c r="G600" s="4" t="s">
        <v>23</v>
      </c>
      <c r="H600" s="4" t="s">
        <v>71</v>
      </c>
      <c r="I600" s="4">
        <v>2</v>
      </c>
      <c r="J600" s="6">
        <v>58.39</v>
      </c>
      <c r="K600" s="7">
        <v>0</v>
      </c>
      <c r="L600" s="6">
        <f t="shared" si="36"/>
        <v>116.78</v>
      </c>
      <c r="M600" s="6">
        <v>36.42</v>
      </c>
      <c r="N600" s="8">
        <f t="shared" si="37"/>
        <v>43.94</v>
      </c>
      <c r="O600" s="4" t="s">
        <v>40</v>
      </c>
      <c r="P600" s="4" t="s">
        <v>75</v>
      </c>
      <c r="Q600" s="4">
        <v>2</v>
      </c>
      <c r="R600" s="21">
        <f t="shared" si="38"/>
        <v>0.37626305874293542</v>
      </c>
      <c r="S600" t="str">
        <f t="shared" si="39"/>
        <v>Small</v>
      </c>
    </row>
    <row r="601" spans="1:19" x14ac:dyDescent="0.35">
      <c r="A601" s="4" t="s">
        <v>983</v>
      </c>
      <c r="B601" s="5">
        <v>45877</v>
      </c>
      <c r="C601" s="4" t="s">
        <v>653</v>
      </c>
      <c r="D601" s="4" t="s">
        <v>47</v>
      </c>
      <c r="E601" s="4" t="s">
        <v>87</v>
      </c>
      <c r="F601" s="4" t="s">
        <v>92</v>
      </c>
      <c r="G601" s="4" t="s">
        <v>31</v>
      </c>
      <c r="H601" s="4" t="s">
        <v>32</v>
      </c>
      <c r="I601" s="4">
        <v>1</v>
      </c>
      <c r="J601" s="6">
        <v>195.78</v>
      </c>
      <c r="K601" s="7">
        <v>0</v>
      </c>
      <c r="L601" s="6">
        <f t="shared" si="36"/>
        <v>195.78</v>
      </c>
      <c r="M601" s="6">
        <v>117.63</v>
      </c>
      <c r="N601" s="8">
        <f t="shared" si="37"/>
        <v>78.150000000000006</v>
      </c>
      <c r="O601" s="4" t="s">
        <v>25</v>
      </c>
      <c r="P601" s="4" t="s">
        <v>26</v>
      </c>
      <c r="Q601" s="4">
        <v>4</v>
      </c>
      <c r="R601" s="21">
        <f t="shared" si="38"/>
        <v>0.39917254060680357</v>
      </c>
      <c r="S601" t="str">
        <f t="shared" si="39"/>
        <v>Small</v>
      </c>
    </row>
    <row r="602" spans="1:19" x14ac:dyDescent="0.35">
      <c r="A602" s="4" t="s">
        <v>984</v>
      </c>
      <c r="B602" s="5">
        <v>45877</v>
      </c>
      <c r="C602" s="4" t="s">
        <v>42</v>
      </c>
      <c r="D602" s="4" t="s">
        <v>47</v>
      </c>
      <c r="E602" s="4" t="s">
        <v>29</v>
      </c>
      <c r="F602" s="4" t="s">
        <v>54</v>
      </c>
      <c r="G602" s="4" t="s">
        <v>38</v>
      </c>
      <c r="H602" s="4" t="s">
        <v>39</v>
      </c>
      <c r="I602" s="4">
        <v>2</v>
      </c>
      <c r="J602" s="6">
        <v>323.10000000000002</v>
      </c>
      <c r="K602" s="7">
        <v>0</v>
      </c>
      <c r="L602" s="6">
        <f t="shared" si="36"/>
        <v>646.20000000000005</v>
      </c>
      <c r="M602" s="6">
        <v>256.20999999999998</v>
      </c>
      <c r="N602" s="8">
        <f t="shared" si="37"/>
        <v>133.78000000000009</v>
      </c>
      <c r="O602" s="4" t="s">
        <v>60</v>
      </c>
      <c r="P602" s="4" t="s">
        <v>56</v>
      </c>
      <c r="Q602" s="4">
        <v>3</v>
      </c>
      <c r="R602" s="21">
        <f t="shared" si="38"/>
        <v>0.20702568864128765</v>
      </c>
      <c r="S602" t="str">
        <f t="shared" si="39"/>
        <v>Medium</v>
      </c>
    </row>
    <row r="603" spans="1:19" x14ac:dyDescent="0.35">
      <c r="A603" s="4" t="s">
        <v>985</v>
      </c>
      <c r="B603" s="5">
        <v>45877</v>
      </c>
      <c r="C603" s="4" t="s">
        <v>670</v>
      </c>
      <c r="D603" s="4" t="s">
        <v>47</v>
      </c>
      <c r="E603" s="4" t="s">
        <v>21</v>
      </c>
      <c r="F603" s="4" t="s">
        <v>59</v>
      </c>
      <c r="G603" s="4" t="s">
        <v>38</v>
      </c>
      <c r="H603" s="4" t="s">
        <v>96</v>
      </c>
      <c r="I603" s="4">
        <v>1</v>
      </c>
      <c r="J603" s="6">
        <v>242.65</v>
      </c>
      <c r="K603" s="7">
        <v>0.05</v>
      </c>
      <c r="L603" s="6">
        <f t="shared" si="36"/>
        <v>230.51749999999998</v>
      </c>
      <c r="M603" s="6">
        <v>193.95</v>
      </c>
      <c r="N603" s="8">
        <f t="shared" si="37"/>
        <v>36.567499999999995</v>
      </c>
      <c r="O603" s="4" t="s">
        <v>60</v>
      </c>
      <c r="P603" s="4" t="s">
        <v>72</v>
      </c>
      <c r="Q603" s="4">
        <v>4</v>
      </c>
      <c r="R603" s="21">
        <f t="shared" si="38"/>
        <v>0.15863220796685717</v>
      </c>
      <c r="S603" t="str">
        <f t="shared" si="39"/>
        <v>Small</v>
      </c>
    </row>
    <row r="604" spans="1:19" x14ac:dyDescent="0.35">
      <c r="A604" s="4" t="s">
        <v>986</v>
      </c>
      <c r="B604" s="5">
        <v>45877</v>
      </c>
      <c r="C604" s="4" t="s">
        <v>732</v>
      </c>
      <c r="D604" s="4" t="s">
        <v>47</v>
      </c>
      <c r="E604" s="4" t="s">
        <v>21</v>
      </c>
      <c r="F604" s="4" t="s">
        <v>81</v>
      </c>
      <c r="G604" s="4" t="s">
        <v>38</v>
      </c>
      <c r="H604" s="4" t="s">
        <v>39</v>
      </c>
      <c r="I604" s="4">
        <v>3</v>
      </c>
      <c r="J604" s="6">
        <v>317.17</v>
      </c>
      <c r="K604" s="7">
        <v>0.05</v>
      </c>
      <c r="L604" s="6">
        <f t="shared" si="36"/>
        <v>903.93449999999996</v>
      </c>
      <c r="M604" s="6">
        <v>251.37</v>
      </c>
      <c r="N604" s="8">
        <f t="shared" si="37"/>
        <v>149.82449999999994</v>
      </c>
      <c r="O604" s="4" t="s">
        <v>60</v>
      </c>
      <c r="P604" s="4" t="s">
        <v>97</v>
      </c>
      <c r="Q604" s="4">
        <v>5</v>
      </c>
      <c r="R604" s="21">
        <f t="shared" si="38"/>
        <v>0.16574707570072827</v>
      </c>
      <c r="S604" t="str">
        <f t="shared" si="39"/>
        <v>Medium</v>
      </c>
    </row>
    <row r="605" spans="1:19" x14ac:dyDescent="0.35">
      <c r="A605" s="4" t="s">
        <v>987</v>
      </c>
      <c r="B605" s="5">
        <v>45878</v>
      </c>
      <c r="C605" s="4" t="s">
        <v>260</v>
      </c>
      <c r="D605" s="4" t="s">
        <v>20</v>
      </c>
      <c r="E605" s="4" t="s">
        <v>21</v>
      </c>
      <c r="F605" s="4" t="s">
        <v>81</v>
      </c>
      <c r="G605" s="4" t="s">
        <v>49</v>
      </c>
      <c r="H605" s="4" t="s">
        <v>78</v>
      </c>
      <c r="I605" s="4">
        <v>1</v>
      </c>
      <c r="J605" s="6">
        <v>740.69</v>
      </c>
      <c r="K605" s="7">
        <v>0</v>
      </c>
      <c r="L605" s="6">
        <f t="shared" si="36"/>
        <v>740.69</v>
      </c>
      <c r="M605" s="6">
        <v>525.89</v>
      </c>
      <c r="N605" s="8">
        <f t="shared" si="37"/>
        <v>214.80000000000007</v>
      </c>
      <c r="O605" s="4" t="s">
        <v>60</v>
      </c>
      <c r="P605" s="4" t="s">
        <v>72</v>
      </c>
      <c r="Q605" s="4">
        <v>5</v>
      </c>
      <c r="R605" s="21">
        <f t="shared" si="38"/>
        <v>0.28999986499075192</v>
      </c>
      <c r="S605" t="str">
        <f t="shared" si="39"/>
        <v>Medium</v>
      </c>
    </row>
    <row r="606" spans="1:19" x14ac:dyDescent="0.35">
      <c r="A606" s="4" t="s">
        <v>988</v>
      </c>
      <c r="B606" s="5">
        <v>45878</v>
      </c>
      <c r="C606" s="4" t="s">
        <v>989</v>
      </c>
      <c r="D606" s="4" t="s">
        <v>47</v>
      </c>
      <c r="E606" s="4" t="s">
        <v>21</v>
      </c>
      <c r="F606" s="4" t="s">
        <v>81</v>
      </c>
      <c r="G606" s="4" t="s">
        <v>38</v>
      </c>
      <c r="H606" s="4" t="s">
        <v>109</v>
      </c>
      <c r="I606" s="4">
        <v>2</v>
      </c>
      <c r="J606" s="6">
        <v>879.21</v>
      </c>
      <c r="K606" s="7">
        <v>0.1</v>
      </c>
      <c r="L606" s="6">
        <f t="shared" si="36"/>
        <v>1582.5780000000002</v>
      </c>
      <c r="M606" s="6">
        <v>785.48</v>
      </c>
      <c r="N606" s="8">
        <f t="shared" si="37"/>
        <v>11.618000000000166</v>
      </c>
      <c r="O606" s="4" t="s">
        <v>51</v>
      </c>
      <c r="P606" s="4" t="s">
        <v>97</v>
      </c>
      <c r="Q606" s="4">
        <v>5</v>
      </c>
      <c r="R606" s="21">
        <f t="shared" si="38"/>
        <v>7.3411863427901587E-3</v>
      </c>
      <c r="S606" t="str">
        <f t="shared" si="39"/>
        <v>Medium</v>
      </c>
    </row>
    <row r="607" spans="1:19" x14ac:dyDescent="0.35">
      <c r="A607" s="4" t="s">
        <v>990</v>
      </c>
      <c r="B607" s="5">
        <v>45878</v>
      </c>
      <c r="C607" s="4" t="s">
        <v>452</v>
      </c>
      <c r="D607" s="4" t="s">
        <v>43</v>
      </c>
      <c r="E607" s="4" t="s">
        <v>21</v>
      </c>
      <c r="F607" s="4" t="s">
        <v>81</v>
      </c>
      <c r="G607" s="4" t="s">
        <v>38</v>
      </c>
      <c r="H607" s="4" t="s">
        <v>109</v>
      </c>
      <c r="I607" s="4">
        <v>3</v>
      </c>
      <c r="J607" s="6">
        <v>384.71</v>
      </c>
      <c r="K607" s="7">
        <v>0</v>
      </c>
      <c r="L607" s="6">
        <f t="shared" si="36"/>
        <v>1154.1299999999999</v>
      </c>
      <c r="M607" s="6">
        <v>327.58</v>
      </c>
      <c r="N607" s="8">
        <f t="shared" si="37"/>
        <v>171.38999999999987</v>
      </c>
      <c r="O607" s="4" t="s">
        <v>84</v>
      </c>
      <c r="P607" s="4" t="s">
        <v>56</v>
      </c>
      <c r="Q607" s="4">
        <v>4</v>
      </c>
      <c r="R607" s="21">
        <f t="shared" si="38"/>
        <v>0.14850146863871477</v>
      </c>
      <c r="S607" t="str">
        <f t="shared" si="39"/>
        <v>Medium</v>
      </c>
    </row>
    <row r="608" spans="1:19" x14ac:dyDescent="0.35">
      <c r="A608" s="4" t="s">
        <v>991</v>
      </c>
      <c r="B608" s="5">
        <v>45878</v>
      </c>
      <c r="C608" s="4" t="s">
        <v>897</v>
      </c>
      <c r="D608" s="4" t="s">
        <v>20</v>
      </c>
      <c r="E608" s="4" t="s">
        <v>29</v>
      </c>
      <c r="F608" s="4" t="s">
        <v>30</v>
      </c>
      <c r="G608" s="4" t="s">
        <v>67</v>
      </c>
      <c r="H608" s="4" t="s">
        <v>140</v>
      </c>
      <c r="I608" s="4">
        <v>4</v>
      </c>
      <c r="J608" s="6">
        <v>68.349999999999994</v>
      </c>
      <c r="K608" s="7">
        <v>0.05</v>
      </c>
      <c r="L608" s="6">
        <f t="shared" si="36"/>
        <v>259.72999999999996</v>
      </c>
      <c r="M608" s="6">
        <v>42.58</v>
      </c>
      <c r="N608" s="8">
        <f t="shared" si="37"/>
        <v>89.409999999999968</v>
      </c>
      <c r="O608" s="4" t="s">
        <v>51</v>
      </c>
      <c r="P608" s="4" t="s">
        <v>61</v>
      </c>
      <c r="Q608" s="4">
        <v>3</v>
      </c>
      <c r="R608" s="21">
        <f t="shared" si="38"/>
        <v>0.34424209756285368</v>
      </c>
      <c r="S608" t="str">
        <f t="shared" si="39"/>
        <v>Small</v>
      </c>
    </row>
    <row r="609" spans="1:19" x14ac:dyDescent="0.35">
      <c r="A609" s="4" t="s">
        <v>992</v>
      </c>
      <c r="B609" s="5">
        <v>45879</v>
      </c>
      <c r="C609" s="4" t="s">
        <v>809</v>
      </c>
      <c r="D609" s="4" t="s">
        <v>43</v>
      </c>
      <c r="E609" s="4" t="s">
        <v>87</v>
      </c>
      <c r="F609" s="4" t="s">
        <v>92</v>
      </c>
      <c r="G609" s="4" t="s">
        <v>38</v>
      </c>
      <c r="H609" s="4" t="s">
        <v>55</v>
      </c>
      <c r="I609" s="4">
        <v>1</v>
      </c>
      <c r="J609" s="6">
        <v>294.98</v>
      </c>
      <c r="K609" s="7">
        <v>0.1</v>
      </c>
      <c r="L609" s="6">
        <f t="shared" si="36"/>
        <v>265.48200000000003</v>
      </c>
      <c r="M609" s="6">
        <v>234.67</v>
      </c>
      <c r="N609" s="8">
        <f t="shared" si="37"/>
        <v>30.81200000000004</v>
      </c>
      <c r="O609" s="4" t="s">
        <v>40</v>
      </c>
      <c r="P609" s="4" t="s">
        <v>56</v>
      </c>
      <c r="Q609" s="4">
        <v>4</v>
      </c>
      <c r="R609" s="21">
        <f t="shared" si="38"/>
        <v>0.11606059921199945</v>
      </c>
      <c r="S609" t="str">
        <f t="shared" si="39"/>
        <v>Small</v>
      </c>
    </row>
    <row r="610" spans="1:19" x14ac:dyDescent="0.35">
      <c r="A610" s="4" t="s">
        <v>993</v>
      </c>
      <c r="B610" s="5">
        <v>45880</v>
      </c>
      <c r="C610" s="4" t="s">
        <v>283</v>
      </c>
      <c r="D610" s="4" t="s">
        <v>47</v>
      </c>
      <c r="E610" s="4" t="s">
        <v>87</v>
      </c>
      <c r="F610" s="4" t="s">
        <v>124</v>
      </c>
      <c r="G610" s="4" t="s">
        <v>23</v>
      </c>
      <c r="H610" s="4" t="s">
        <v>44</v>
      </c>
      <c r="I610" s="4">
        <v>3</v>
      </c>
      <c r="J610" s="6">
        <v>85.88</v>
      </c>
      <c r="K610" s="7">
        <v>0.2</v>
      </c>
      <c r="L610" s="6">
        <f t="shared" si="36"/>
        <v>206.11199999999999</v>
      </c>
      <c r="M610" s="6">
        <v>42.07</v>
      </c>
      <c r="N610" s="8">
        <f t="shared" si="37"/>
        <v>79.901999999999987</v>
      </c>
      <c r="O610" s="4" t="s">
        <v>51</v>
      </c>
      <c r="P610" s="4" t="s">
        <v>56</v>
      </c>
      <c r="Q610" s="4">
        <v>3</v>
      </c>
      <c r="R610" s="21">
        <f t="shared" si="38"/>
        <v>0.38766301816488119</v>
      </c>
      <c r="S610" t="str">
        <f t="shared" si="39"/>
        <v>Small</v>
      </c>
    </row>
    <row r="611" spans="1:19" x14ac:dyDescent="0.35">
      <c r="A611" s="4" t="s">
        <v>994</v>
      </c>
      <c r="B611" s="5">
        <v>45880</v>
      </c>
      <c r="C611" s="4" t="s">
        <v>995</v>
      </c>
      <c r="D611" s="4" t="s">
        <v>20</v>
      </c>
      <c r="E611" s="4" t="s">
        <v>36</v>
      </c>
      <c r="F611" s="4" t="s">
        <v>201</v>
      </c>
      <c r="G611" s="4" t="s">
        <v>31</v>
      </c>
      <c r="H611" s="4" t="s">
        <v>125</v>
      </c>
      <c r="I611" s="4">
        <v>1</v>
      </c>
      <c r="J611" s="6">
        <v>135.36000000000001</v>
      </c>
      <c r="K611" s="7">
        <v>0</v>
      </c>
      <c r="L611" s="6">
        <f t="shared" si="36"/>
        <v>135.36000000000001</v>
      </c>
      <c r="M611" s="6">
        <v>99.9</v>
      </c>
      <c r="N611" s="8">
        <f t="shared" si="37"/>
        <v>35.460000000000008</v>
      </c>
      <c r="O611" s="4" t="s">
        <v>60</v>
      </c>
      <c r="P611" s="4" t="s">
        <v>72</v>
      </c>
      <c r="Q611" s="4">
        <v>5</v>
      </c>
      <c r="R611" s="21">
        <f t="shared" si="38"/>
        <v>0.26196808510638303</v>
      </c>
      <c r="S611" t="str">
        <f t="shared" si="39"/>
        <v>Small</v>
      </c>
    </row>
    <row r="612" spans="1:19" x14ac:dyDescent="0.35">
      <c r="A612" s="4" t="s">
        <v>996</v>
      </c>
      <c r="B612" s="5">
        <v>45880</v>
      </c>
      <c r="C612" s="4" t="s">
        <v>481</v>
      </c>
      <c r="D612" s="4" t="s">
        <v>43</v>
      </c>
      <c r="E612" s="4" t="s">
        <v>36</v>
      </c>
      <c r="F612" s="4" t="s">
        <v>201</v>
      </c>
      <c r="G612" s="4" t="s">
        <v>23</v>
      </c>
      <c r="H612" s="4" t="s">
        <v>44</v>
      </c>
      <c r="I612" s="4">
        <v>3</v>
      </c>
      <c r="J612" s="6">
        <v>128.71</v>
      </c>
      <c r="K612" s="7">
        <v>0.1</v>
      </c>
      <c r="L612" s="6">
        <f t="shared" si="36"/>
        <v>347.517</v>
      </c>
      <c r="M612" s="6">
        <v>73.09</v>
      </c>
      <c r="N612" s="8">
        <f t="shared" si="37"/>
        <v>128.24699999999999</v>
      </c>
      <c r="O612" s="4" t="s">
        <v>25</v>
      </c>
      <c r="P612" s="4" t="s">
        <v>75</v>
      </c>
      <c r="Q612" s="4">
        <v>3</v>
      </c>
      <c r="R612" s="21">
        <f t="shared" si="38"/>
        <v>0.36903806144735363</v>
      </c>
      <c r="S612" t="str">
        <f t="shared" si="39"/>
        <v>Small</v>
      </c>
    </row>
    <row r="613" spans="1:19" x14ac:dyDescent="0.35">
      <c r="A613" s="4" t="s">
        <v>997</v>
      </c>
      <c r="B613" s="5">
        <v>45881</v>
      </c>
      <c r="C613" s="4" t="s">
        <v>711</v>
      </c>
      <c r="D613" s="4" t="s">
        <v>20</v>
      </c>
      <c r="E613" s="4" t="s">
        <v>87</v>
      </c>
      <c r="F613" s="4" t="s">
        <v>124</v>
      </c>
      <c r="G613" s="4" t="s">
        <v>31</v>
      </c>
      <c r="H613" s="4" t="s">
        <v>64</v>
      </c>
      <c r="I613" s="4">
        <v>3</v>
      </c>
      <c r="J613" s="6">
        <v>90.87</v>
      </c>
      <c r="K613" s="7">
        <v>0</v>
      </c>
      <c r="L613" s="6">
        <f t="shared" si="36"/>
        <v>272.61</v>
      </c>
      <c r="M613" s="6">
        <v>58.35</v>
      </c>
      <c r="N613" s="8">
        <f t="shared" si="37"/>
        <v>97.56</v>
      </c>
      <c r="O613" s="4" t="s">
        <v>25</v>
      </c>
      <c r="P613" s="4" t="s">
        <v>61</v>
      </c>
      <c r="Q613" s="4">
        <v>4</v>
      </c>
      <c r="R613" s="21">
        <f t="shared" si="38"/>
        <v>0.35787388577088147</v>
      </c>
      <c r="S613" t="str">
        <f t="shared" si="39"/>
        <v>Small</v>
      </c>
    </row>
    <row r="614" spans="1:19" x14ac:dyDescent="0.35">
      <c r="A614" s="4" t="s">
        <v>998</v>
      </c>
      <c r="B614" s="5">
        <v>45881</v>
      </c>
      <c r="C614" s="4" t="s">
        <v>709</v>
      </c>
      <c r="D614" s="4" t="s">
        <v>47</v>
      </c>
      <c r="E614" s="4" t="s">
        <v>87</v>
      </c>
      <c r="F614" s="4" t="s">
        <v>88</v>
      </c>
      <c r="G614" s="4" t="s">
        <v>38</v>
      </c>
      <c r="H614" s="4" t="s">
        <v>96</v>
      </c>
      <c r="I614" s="4">
        <v>1</v>
      </c>
      <c r="J614" s="6">
        <v>188.49</v>
      </c>
      <c r="K614" s="7">
        <v>0</v>
      </c>
      <c r="L614" s="6">
        <f t="shared" si="36"/>
        <v>188.49</v>
      </c>
      <c r="M614" s="6">
        <v>164.2</v>
      </c>
      <c r="N614" s="8">
        <f t="shared" si="37"/>
        <v>24.29000000000002</v>
      </c>
      <c r="O614" s="4" t="s">
        <v>84</v>
      </c>
      <c r="P614" s="4" t="s">
        <v>56</v>
      </c>
      <c r="Q614" s="4">
        <v>4</v>
      </c>
      <c r="R614" s="21">
        <f t="shared" si="38"/>
        <v>0.12886625285161027</v>
      </c>
      <c r="S614" t="str">
        <f t="shared" si="39"/>
        <v>Small</v>
      </c>
    </row>
    <row r="615" spans="1:19" x14ac:dyDescent="0.35">
      <c r="A615" s="4" t="s">
        <v>999</v>
      </c>
      <c r="B615" s="5">
        <v>45881</v>
      </c>
      <c r="C615" s="4" t="s">
        <v>497</v>
      </c>
      <c r="D615" s="4" t="s">
        <v>20</v>
      </c>
      <c r="E615" s="4" t="s">
        <v>87</v>
      </c>
      <c r="F615" s="4" t="s">
        <v>124</v>
      </c>
      <c r="G615" s="4" t="s">
        <v>23</v>
      </c>
      <c r="H615" s="4" t="s">
        <v>24</v>
      </c>
      <c r="I615" s="4">
        <v>1</v>
      </c>
      <c r="J615" s="6">
        <v>71.91</v>
      </c>
      <c r="K615" s="7">
        <v>0</v>
      </c>
      <c r="L615" s="6">
        <f t="shared" si="36"/>
        <v>71.91</v>
      </c>
      <c r="M615" s="6">
        <v>42.34</v>
      </c>
      <c r="N615" s="8">
        <f t="shared" si="37"/>
        <v>29.569999999999993</v>
      </c>
      <c r="O615" s="4" t="s">
        <v>84</v>
      </c>
      <c r="P615" s="4" t="s">
        <v>33</v>
      </c>
      <c r="Q615" s="4">
        <v>5</v>
      </c>
      <c r="R615" s="21">
        <f t="shared" si="38"/>
        <v>0.41120845501321091</v>
      </c>
      <c r="S615" t="str">
        <f t="shared" si="39"/>
        <v>Small</v>
      </c>
    </row>
    <row r="616" spans="1:19" x14ac:dyDescent="0.35">
      <c r="A616" s="4" t="s">
        <v>1000</v>
      </c>
      <c r="B616" s="5">
        <v>45881</v>
      </c>
      <c r="C616" s="4" t="s">
        <v>296</v>
      </c>
      <c r="D616" s="4" t="s">
        <v>47</v>
      </c>
      <c r="E616" s="4" t="s">
        <v>29</v>
      </c>
      <c r="F616" s="4" t="s">
        <v>30</v>
      </c>
      <c r="G616" s="4" t="s">
        <v>23</v>
      </c>
      <c r="H616" s="4" t="s">
        <v>71</v>
      </c>
      <c r="I616" s="4">
        <v>2</v>
      </c>
      <c r="J616" s="6">
        <v>114.69</v>
      </c>
      <c r="K616" s="7">
        <v>0.1</v>
      </c>
      <c r="L616" s="6">
        <f t="shared" si="36"/>
        <v>206.44200000000001</v>
      </c>
      <c r="M616" s="6">
        <v>69.739999999999995</v>
      </c>
      <c r="N616" s="8">
        <f t="shared" si="37"/>
        <v>66.962000000000018</v>
      </c>
      <c r="O616" s="4" t="s">
        <v>40</v>
      </c>
      <c r="P616" s="4" t="s">
        <v>75</v>
      </c>
      <c r="Q616" s="4">
        <v>5</v>
      </c>
      <c r="R616" s="21">
        <f t="shared" si="38"/>
        <v>0.324362290619157</v>
      </c>
      <c r="S616" t="str">
        <f t="shared" si="39"/>
        <v>Small</v>
      </c>
    </row>
    <row r="617" spans="1:19" x14ac:dyDescent="0.35">
      <c r="A617" s="4" t="s">
        <v>1001</v>
      </c>
      <c r="B617" s="5">
        <v>45882</v>
      </c>
      <c r="C617" s="4" t="s">
        <v>280</v>
      </c>
      <c r="D617" s="4" t="s">
        <v>43</v>
      </c>
      <c r="E617" s="4" t="s">
        <v>87</v>
      </c>
      <c r="F617" s="4" t="s">
        <v>124</v>
      </c>
      <c r="G617" s="4" t="s">
        <v>23</v>
      </c>
      <c r="H617" s="4" t="s">
        <v>135</v>
      </c>
      <c r="I617" s="4">
        <v>4</v>
      </c>
      <c r="J617" s="6">
        <v>28.49</v>
      </c>
      <c r="K617" s="7">
        <v>0</v>
      </c>
      <c r="L617" s="6">
        <f t="shared" si="36"/>
        <v>113.96</v>
      </c>
      <c r="M617" s="6">
        <v>11.95</v>
      </c>
      <c r="N617" s="8">
        <f t="shared" si="37"/>
        <v>66.16</v>
      </c>
      <c r="O617" s="4" t="s">
        <v>40</v>
      </c>
      <c r="P617" s="4" t="s">
        <v>33</v>
      </c>
      <c r="Q617" s="4">
        <v>4</v>
      </c>
      <c r="R617" s="21">
        <f t="shared" si="38"/>
        <v>0.58055458055458053</v>
      </c>
      <c r="S617" t="str">
        <f t="shared" si="39"/>
        <v>Small</v>
      </c>
    </row>
    <row r="618" spans="1:19" x14ac:dyDescent="0.35">
      <c r="A618" s="4" t="s">
        <v>1002</v>
      </c>
      <c r="B618" s="5">
        <v>45882</v>
      </c>
      <c r="C618" s="4" t="s">
        <v>813</v>
      </c>
      <c r="D618" s="4" t="s">
        <v>20</v>
      </c>
      <c r="E618" s="4" t="s">
        <v>87</v>
      </c>
      <c r="F618" s="4" t="s">
        <v>88</v>
      </c>
      <c r="G618" s="4" t="s">
        <v>23</v>
      </c>
      <c r="H618" s="4" t="s">
        <v>135</v>
      </c>
      <c r="I618" s="4">
        <v>6</v>
      </c>
      <c r="J618" s="6">
        <v>17</v>
      </c>
      <c r="K618" s="7">
        <v>0</v>
      </c>
      <c r="L618" s="6">
        <f t="shared" si="36"/>
        <v>102</v>
      </c>
      <c r="M618" s="6">
        <v>8.01</v>
      </c>
      <c r="N618" s="8">
        <f t="shared" si="37"/>
        <v>53.94</v>
      </c>
      <c r="O618" s="4" t="s">
        <v>25</v>
      </c>
      <c r="P618" s="4" t="s">
        <v>26</v>
      </c>
      <c r="Q618" s="4">
        <v>4</v>
      </c>
      <c r="R618" s="21">
        <f t="shared" si="38"/>
        <v>0.52882352941176469</v>
      </c>
      <c r="S618" t="str">
        <f t="shared" si="39"/>
        <v>Small</v>
      </c>
    </row>
    <row r="619" spans="1:19" x14ac:dyDescent="0.35">
      <c r="A619" s="4" t="s">
        <v>1003</v>
      </c>
      <c r="B619" s="5">
        <v>45883</v>
      </c>
      <c r="C619" s="4" t="s">
        <v>1004</v>
      </c>
      <c r="D619" s="4" t="s">
        <v>47</v>
      </c>
      <c r="E619" s="4" t="s">
        <v>29</v>
      </c>
      <c r="F619" s="4" t="s">
        <v>30</v>
      </c>
      <c r="G619" s="4" t="s">
        <v>23</v>
      </c>
      <c r="H619" s="4" t="s">
        <v>44</v>
      </c>
      <c r="I619" s="4">
        <v>3</v>
      </c>
      <c r="J619" s="6">
        <v>156.46</v>
      </c>
      <c r="K619" s="7">
        <v>0.05</v>
      </c>
      <c r="L619" s="6">
        <f t="shared" si="36"/>
        <v>445.911</v>
      </c>
      <c r="M619" s="6">
        <v>87.1</v>
      </c>
      <c r="N619" s="8">
        <f t="shared" si="37"/>
        <v>184.61100000000005</v>
      </c>
      <c r="O619" s="4" t="s">
        <v>60</v>
      </c>
      <c r="P619" s="4" t="s">
        <v>97</v>
      </c>
      <c r="Q619" s="4">
        <v>5</v>
      </c>
      <c r="R619" s="21">
        <f t="shared" si="38"/>
        <v>0.4140086250395259</v>
      </c>
      <c r="S619" t="str">
        <f t="shared" si="39"/>
        <v>Small</v>
      </c>
    </row>
    <row r="620" spans="1:19" x14ac:dyDescent="0.35">
      <c r="A620" s="4" t="s">
        <v>1005</v>
      </c>
      <c r="B620" s="5">
        <v>45883</v>
      </c>
      <c r="C620" s="4" t="s">
        <v>373</v>
      </c>
      <c r="D620" s="4" t="s">
        <v>20</v>
      </c>
      <c r="E620" s="4" t="s">
        <v>36</v>
      </c>
      <c r="F620" s="4" t="s">
        <v>37</v>
      </c>
      <c r="G620" s="4" t="s">
        <v>38</v>
      </c>
      <c r="H620" s="4" t="s">
        <v>96</v>
      </c>
      <c r="I620" s="4">
        <v>4</v>
      </c>
      <c r="J620" s="6">
        <v>676.4</v>
      </c>
      <c r="K620" s="7">
        <v>0.1</v>
      </c>
      <c r="L620" s="6">
        <f t="shared" si="36"/>
        <v>2435.04</v>
      </c>
      <c r="M620" s="6">
        <v>530.51</v>
      </c>
      <c r="N620" s="8">
        <f t="shared" si="37"/>
        <v>313</v>
      </c>
      <c r="O620" s="4" t="s">
        <v>60</v>
      </c>
      <c r="P620" s="4" t="s">
        <v>97</v>
      </c>
      <c r="Q620" s="4">
        <v>5</v>
      </c>
      <c r="R620" s="21">
        <f t="shared" si="38"/>
        <v>0.12853998291609173</v>
      </c>
      <c r="S620" t="str">
        <f t="shared" si="39"/>
        <v>Large</v>
      </c>
    </row>
    <row r="621" spans="1:19" x14ac:dyDescent="0.35">
      <c r="A621" s="4" t="s">
        <v>1006</v>
      </c>
      <c r="B621" s="5">
        <v>45884</v>
      </c>
      <c r="C621" s="4" t="s">
        <v>142</v>
      </c>
      <c r="D621" s="4" t="s">
        <v>20</v>
      </c>
      <c r="E621" s="4" t="s">
        <v>36</v>
      </c>
      <c r="F621" s="4" t="s">
        <v>37</v>
      </c>
      <c r="G621" s="4" t="s">
        <v>31</v>
      </c>
      <c r="H621" s="4" t="s">
        <v>125</v>
      </c>
      <c r="I621" s="4">
        <v>4</v>
      </c>
      <c r="J621" s="6">
        <v>111.21</v>
      </c>
      <c r="K621" s="7">
        <v>0</v>
      </c>
      <c r="L621" s="6">
        <f t="shared" si="36"/>
        <v>444.84</v>
      </c>
      <c r="M621" s="6">
        <v>62.91</v>
      </c>
      <c r="N621" s="8">
        <f t="shared" si="37"/>
        <v>193.2</v>
      </c>
      <c r="O621" s="4" t="s">
        <v>84</v>
      </c>
      <c r="P621" s="4" t="s">
        <v>33</v>
      </c>
      <c r="Q621" s="4">
        <v>4</v>
      </c>
      <c r="R621" s="21">
        <f t="shared" si="38"/>
        <v>0.43431346101969248</v>
      </c>
      <c r="S621" t="str">
        <f t="shared" si="39"/>
        <v>Small</v>
      </c>
    </row>
    <row r="622" spans="1:19" x14ac:dyDescent="0.35">
      <c r="A622" s="4" t="s">
        <v>1007</v>
      </c>
      <c r="B622" s="5">
        <v>45884</v>
      </c>
      <c r="C622" s="4" t="s">
        <v>134</v>
      </c>
      <c r="D622" s="4" t="s">
        <v>43</v>
      </c>
      <c r="E622" s="4" t="s">
        <v>87</v>
      </c>
      <c r="F622" s="4" t="s">
        <v>88</v>
      </c>
      <c r="G622" s="4" t="s">
        <v>49</v>
      </c>
      <c r="H622" s="4" t="s">
        <v>128</v>
      </c>
      <c r="I622" s="4">
        <v>1</v>
      </c>
      <c r="J622" s="6">
        <v>56.79</v>
      </c>
      <c r="K622" s="7">
        <v>0</v>
      </c>
      <c r="L622" s="6">
        <f t="shared" si="36"/>
        <v>56.79</v>
      </c>
      <c r="M622" s="6">
        <v>35.75</v>
      </c>
      <c r="N622" s="8">
        <f t="shared" si="37"/>
        <v>21.04</v>
      </c>
      <c r="O622" s="4" t="s">
        <v>40</v>
      </c>
      <c r="P622" s="4" t="s">
        <v>56</v>
      </c>
      <c r="Q622" s="4">
        <v>4</v>
      </c>
      <c r="R622" s="21">
        <f t="shared" si="38"/>
        <v>0.37048776192991723</v>
      </c>
      <c r="S622" t="str">
        <f t="shared" si="39"/>
        <v>Small</v>
      </c>
    </row>
    <row r="623" spans="1:19" x14ac:dyDescent="0.35">
      <c r="A623" s="4" t="s">
        <v>1008</v>
      </c>
      <c r="B623" s="5">
        <v>45884</v>
      </c>
      <c r="C623" s="4" t="s">
        <v>711</v>
      </c>
      <c r="D623" s="4" t="s">
        <v>20</v>
      </c>
      <c r="E623" s="4" t="s">
        <v>36</v>
      </c>
      <c r="F623" s="4" t="s">
        <v>37</v>
      </c>
      <c r="G623" s="4" t="s">
        <v>38</v>
      </c>
      <c r="H623" s="4" t="s">
        <v>96</v>
      </c>
      <c r="I623" s="4">
        <v>8</v>
      </c>
      <c r="J623" s="6">
        <v>241.2</v>
      </c>
      <c r="K623" s="7">
        <v>0.1</v>
      </c>
      <c r="L623" s="6">
        <f t="shared" si="36"/>
        <v>1736.6399999999999</v>
      </c>
      <c r="M623" s="6">
        <v>201.64</v>
      </c>
      <c r="N623" s="8">
        <f t="shared" si="37"/>
        <v>123.51999999999998</v>
      </c>
      <c r="O623" s="4" t="s">
        <v>25</v>
      </c>
      <c r="P623" s="4" t="s">
        <v>97</v>
      </c>
      <c r="Q623" s="4">
        <v>5</v>
      </c>
      <c r="R623" s="21">
        <f t="shared" si="38"/>
        <v>7.1125852220379579E-2</v>
      </c>
      <c r="S623" t="str">
        <f t="shared" si="39"/>
        <v>Medium</v>
      </c>
    </row>
    <row r="624" spans="1:19" x14ac:dyDescent="0.35">
      <c r="A624" s="4" t="s">
        <v>1009</v>
      </c>
      <c r="B624" s="5">
        <v>45884</v>
      </c>
      <c r="C624" s="4" t="s">
        <v>19</v>
      </c>
      <c r="D624" s="4" t="s">
        <v>43</v>
      </c>
      <c r="E624" s="4" t="s">
        <v>36</v>
      </c>
      <c r="F624" s="4" t="s">
        <v>48</v>
      </c>
      <c r="G624" s="4" t="s">
        <v>49</v>
      </c>
      <c r="H624" s="4" t="s">
        <v>50</v>
      </c>
      <c r="I624" s="4">
        <v>1</v>
      </c>
      <c r="J624" s="6">
        <v>16.149999999999999</v>
      </c>
      <c r="K624" s="7">
        <v>0</v>
      </c>
      <c r="L624" s="6">
        <f t="shared" si="36"/>
        <v>16.149999999999999</v>
      </c>
      <c r="M624" s="6">
        <v>10.26</v>
      </c>
      <c r="N624" s="8">
        <f t="shared" si="37"/>
        <v>5.8899999999999988</v>
      </c>
      <c r="O624" s="4" t="s">
        <v>25</v>
      </c>
      <c r="P624" s="4" t="s">
        <v>75</v>
      </c>
      <c r="Q624" s="4">
        <v>5</v>
      </c>
      <c r="R624" s="21">
        <f t="shared" si="38"/>
        <v>0.36470588235294116</v>
      </c>
      <c r="S624" t="str">
        <f t="shared" si="39"/>
        <v>Small</v>
      </c>
    </row>
    <row r="625" spans="1:19" x14ac:dyDescent="0.35">
      <c r="A625" s="4" t="s">
        <v>1010</v>
      </c>
      <c r="B625" s="5">
        <v>45884</v>
      </c>
      <c r="C625" s="4" t="s">
        <v>1011</v>
      </c>
      <c r="D625" s="4" t="s">
        <v>47</v>
      </c>
      <c r="E625" s="4" t="s">
        <v>29</v>
      </c>
      <c r="F625" s="4" t="s">
        <v>108</v>
      </c>
      <c r="G625" s="4" t="s">
        <v>31</v>
      </c>
      <c r="H625" s="4" t="s">
        <v>147</v>
      </c>
      <c r="I625" s="4">
        <v>2</v>
      </c>
      <c r="J625" s="6">
        <v>34.200000000000003</v>
      </c>
      <c r="K625" s="7">
        <v>0</v>
      </c>
      <c r="L625" s="6">
        <f t="shared" si="36"/>
        <v>68.400000000000006</v>
      </c>
      <c r="M625" s="6">
        <v>20.36</v>
      </c>
      <c r="N625" s="8">
        <f t="shared" si="37"/>
        <v>27.680000000000007</v>
      </c>
      <c r="O625" s="4" t="s">
        <v>84</v>
      </c>
      <c r="P625" s="4" t="s">
        <v>118</v>
      </c>
      <c r="Q625" s="4">
        <v>3</v>
      </c>
      <c r="R625" s="21">
        <f t="shared" si="38"/>
        <v>0.40467836257309947</v>
      </c>
      <c r="S625" t="str">
        <f t="shared" si="39"/>
        <v>Small</v>
      </c>
    </row>
    <row r="626" spans="1:19" x14ac:dyDescent="0.35">
      <c r="A626" s="4" t="s">
        <v>1012</v>
      </c>
      <c r="B626" s="5">
        <v>45884</v>
      </c>
      <c r="C626" s="4" t="s">
        <v>1013</v>
      </c>
      <c r="D626" s="4" t="s">
        <v>20</v>
      </c>
      <c r="E626" s="4" t="s">
        <v>29</v>
      </c>
      <c r="F626" s="4" t="s">
        <v>108</v>
      </c>
      <c r="G626" s="4" t="s">
        <v>38</v>
      </c>
      <c r="H626" s="4" t="s">
        <v>96</v>
      </c>
      <c r="I626" s="4">
        <v>5</v>
      </c>
      <c r="J626" s="6">
        <v>250.09</v>
      </c>
      <c r="K626" s="7">
        <v>0</v>
      </c>
      <c r="L626" s="6">
        <f t="shared" si="36"/>
        <v>1250.45</v>
      </c>
      <c r="M626" s="6">
        <v>189.5</v>
      </c>
      <c r="N626" s="8">
        <f t="shared" si="37"/>
        <v>302.95000000000005</v>
      </c>
      <c r="O626" s="4" t="s">
        <v>84</v>
      </c>
      <c r="P626" s="4" t="s">
        <v>72</v>
      </c>
      <c r="Q626" s="4">
        <v>3</v>
      </c>
      <c r="R626" s="21">
        <f t="shared" si="38"/>
        <v>0.24227278179855255</v>
      </c>
      <c r="S626" t="str">
        <f t="shared" si="39"/>
        <v>Medium</v>
      </c>
    </row>
    <row r="627" spans="1:19" x14ac:dyDescent="0.35">
      <c r="A627" s="4" t="s">
        <v>1014</v>
      </c>
      <c r="B627" s="5">
        <v>45886</v>
      </c>
      <c r="C627" s="4" t="s">
        <v>1015</v>
      </c>
      <c r="D627" s="4" t="s">
        <v>47</v>
      </c>
      <c r="E627" s="4" t="s">
        <v>21</v>
      </c>
      <c r="F627" s="4" t="s">
        <v>59</v>
      </c>
      <c r="G627" s="4" t="s">
        <v>49</v>
      </c>
      <c r="H627" s="4" t="s">
        <v>187</v>
      </c>
      <c r="I627" s="4">
        <v>1</v>
      </c>
      <c r="J627" s="6">
        <v>96.11</v>
      </c>
      <c r="K627" s="7">
        <v>0</v>
      </c>
      <c r="L627" s="6">
        <f t="shared" si="36"/>
        <v>96.11</v>
      </c>
      <c r="M627" s="6">
        <v>54.53</v>
      </c>
      <c r="N627" s="8">
        <f t="shared" si="37"/>
        <v>41.58</v>
      </c>
      <c r="O627" s="4" t="s">
        <v>25</v>
      </c>
      <c r="P627" s="4" t="s">
        <v>56</v>
      </c>
      <c r="Q627" s="4">
        <v>4</v>
      </c>
      <c r="R627" s="21">
        <f t="shared" si="38"/>
        <v>0.43262927895120173</v>
      </c>
      <c r="S627" t="str">
        <f t="shared" si="39"/>
        <v>Small</v>
      </c>
    </row>
    <row r="628" spans="1:19" x14ac:dyDescent="0.35">
      <c r="A628" s="4" t="s">
        <v>1016</v>
      </c>
      <c r="B628" s="5">
        <v>45887</v>
      </c>
      <c r="C628" s="4" t="s">
        <v>142</v>
      </c>
      <c r="D628" s="4" t="s">
        <v>20</v>
      </c>
      <c r="E628" s="4" t="s">
        <v>21</v>
      </c>
      <c r="F628" s="4" t="s">
        <v>22</v>
      </c>
      <c r="G628" s="4" t="s">
        <v>23</v>
      </c>
      <c r="H628" s="4" t="s">
        <v>44</v>
      </c>
      <c r="I628" s="4">
        <v>1</v>
      </c>
      <c r="J628" s="6">
        <v>98.22</v>
      </c>
      <c r="K628" s="7">
        <v>0.2</v>
      </c>
      <c r="L628" s="6">
        <f t="shared" si="36"/>
        <v>78.576000000000008</v>
      </c>
      <c r="M628" s="6">
        <v>45.17</v>
      </c>
      <c r="N628" s="8">
        <f t="shared" si="37"/>
        <v>33.406000000000006</v>
      </c>
      <c r="O628" s="4" t="s">
        <v>60</v>
      </c>
      <c r="P628" s="4" t="s">
        <v>56</v>
      </c>
      <c r="Q628" s="4">
        <v>3</v>
      </c>
      <c r="R628" s="21">
        <f t="shared" si="38"/>
        <v>0.42514253716147427</v>
      </c>
      <c r="S628" t="str">
        <f t="shared" si="39"/>
        <v>Small</v>
      </c>
    </row>
    <row r="629" spans="1:19" x14ac:dyDescent="0.35">
      <c r="A629" s="4" t="s">
        <v>1017</v>
      </c>
      <c r="B629" s="5">
        <v>45887</v>
      </c>
      <c r="C629" s="4" t="s">
        <v>367</v>
      </c>
      <c r="D629" s="4" t="s">
        <v>43</v>
      </c>
      <c r="E629" s="4" t="s">
        <v>36</v>
      </c>
      <c r="F629" s="4" t="s">
        <v>201</v>
      </c>
      <c r="G629" s="4" t="s">
        <v>31</v>
      </c>
      <c r="H629" s="4" t="s">
        <v>32</v>
      </c>
      <c r="I629" s="4">
        <v>2</v>
      </c>
      <c r="J629" s="6">
        <v>268.99</v>
      </c>
      <c r="K629" s="7">
        <v>0</v>
      </c>
      <c r="L629" s="6">
        <f t="shared" si="36"/>
        <v>537.98</v>
      </c>
      <c r="M629" s="6">
        <v>148.65</v>
      </c>
      <c r="N629" s="8">
        <f t="shared" si="37"/>
        <v>240.68</v>
      </c>
      <c r="O629" s="4" t="s">
        <v>25</v>
      </c>
      <c r="P629" s="4" t="s">
        <v>118</v>
      </c>
      <c r="Q629" s="4">
        <v>5</v>
      </c>
      <c r="R629" s="21">
        <f t="shared" si="38"/>
        <v>0.44737722591917917</v>
      </c>
      <c r="S629" t="str">
        <f t="shared" si="39"/>
        <v>Medium</v>
      </c>
    </row>
    <row r="630" spans="1:19" x14ac:dyDescent="0.35">
      <c r="A630" s="4" t="s">
        <v>1018</v>
      </c>
      <c r="B630" s="5">
        <v>45887</v>
      </c>
      <c r="C630" s="4" t="s">
        <v>1019</v>
      </c>
      <c r="D630" s="4" t="s">
        <v>43</v>
      </c>
      <c r="E630" s="4" t="s">
        <v>21</v>
      </c>
      <c r="F630" s="4" t="s">
        <v>81</v>
      </c>
      <c r="G630" s="4" t="s">
        <v>31</v>
      </c>
      <c r="H630" s="4" t="s">
        <v>64</v>
      </c>
      <c r="I630" s="4">
        <v>5</v>
      </c>
      <c r="J630" s="6">
        <v>179.67</v>
      </c>
      <c r="K630" s="7">
        <v>0.15</v>
      </c>
      <c r="L630" s="6">
        <f t="shared" si="36"/>
        <v>763.59749999999985</v>
      </c>
      <c r="M630" s="6">
        <v>121.15</v>
      </c>
      <c r="N630" s="8">
        <f t="shared" si="37"/>
        <v>157.84749999999985</v>
      </c>
      <c r="O630" s="4" t="s">
        <v>40</v>
      </c>
      <c r="P630" s="4" t="s">
        <v>61</v>
      </c>
      <c r="Q630" s="4">
        <v>1</v>
      </c>
      <c r="R630" s="21">
        <f t="shared" si="38"/>
        <v>0.20671557987028491</v>
      </c>
      <c r="S630" t="str">
        <f t="shared" si="39"/>
        <v>Medium</v>
      </c>
    </row>
    <row r="631" spans="1:19" x14ac:dyDescent="0.35">
      <c r="A631" s="4" t="s">
        <v>1020</v>
      </c>
      <c r="B631" s="5">
        <v>45888</v>
      </c>
      <c r="C631" s="4" t="s">
        <v>1021</v>
      </c>
      <c r="D631" s="4" t="s">
        <v>20</v>
      </c>
      <c r="E631" s="4" t="s">
        <v>87</v>
      </c>
      <c r="F631" s="4" t="s">
        <v>92</v>
      </c>
      <c r="G631" s="4" t="s">
        <v>38</v>
      </c>
      <c r="H631" s="4" t="s">
        <v>39</v>
      </c>
      <c r="I631" s="4">
        <v>2</v>
      </c>
      <c r="J631" s="6">
        <v>183.4</v>
      </c>
      <c r="K631" s="7">
        <v>0.1</v>
      </c>
      <c r="L631" s="6">
        <f t="shared" si="36"/>
        <v>330.12</v>
      </c>
      <c r="M631" s="6">
        <v>145.82</v>
      </c>
      <c r="N631" s="8">
        <f t="shared" si="37"/>
        <v>38.480000000000018</v>
      </c>
      <c r="O631" s="4" t="s">
        <v>40</v>
      </c>
      <c r="P631" s="4" t="s">
        <v>72</v>
      </c>
      <c r="Q631" s="4">
        <v>1</v>
      </c>
      <c r="R631" s="21">
        <f t="shared" si="38"/>
        <v>0.11656367381558226</v>
      </c>
      <c r="S631" t="str">
        <f t="shared" si="39"/>
        <v>Small</v>
      </c>
    </row>
    <row r="632" spans="1:19" x14ac:dyDescent="0.35">
      <c r="A632" s="4" t="s">
        <v>1022</v>
      </c>
      <c r="B632" s="5">
        <v>45888</v>
      </c>
      <c r="C632" s="4" t="s">
        <v>268</v>
      </c>
      <c r="D632" s="4" t="s">
        <v>43</v>
      </c>
      <c r="E632" s="4" t="s">
        <v>21</v>
      </c>
      <c r="F632" s="4" t="s">
        <v>59</v>
      </c>
      <c r="G632" s="4" t="s">
        <v>23</v>
      </c>
      <c r="H632" s="4" t="s">
        <v>71</v>
      </c>
      <c r="I632" s="4">
        <v>2</v>
      </c>
      <c r="J632" s="6">
        <v>47.91</v>
      </c>
      <c r="K632" s="7">
        <v>0.05</v>
      </c>
      <c r="L632" s="6">
        <f t="shared" si="36"/>
        <v>91.028999999999996</v>
      </c>
      <c r="M632" s="6">
        <v>26.83</v>
      </c>
      <c r="N632" s="8">
        <f t="shared" si="37"/>
        <v>37.369</v>
      </c>
      <c r="O632" s="4" t="s">
        <v>40</v>
      </c>
      <c r="P632" s="4" t="s">
        <v>56</v>
      </c>
      <c r="Q632" s="4">
        <v>4</v>
      </c>
      <c r="R632" s="21">
        <f t="shared" si="38"/>
        <v>0.41051752738138397</v>
      </c>
      <c r="S632" t="str">
        <f t="shared" si="39"/>
        <v>Small</v>
      </c>
    </row>
    <row r="633" spans="1:19" x14ac:dyDescent="0.35">
      <c r="A633" s="4" t="s">
        <v>1023</v>
      </c>
      <c r="B633" s="5">
        <v>45888</v>
      </c>
      <c r="C633" s="4" t="s">
        <v>134</v>
      </c>
      <c r="D633" s="4" t="s">
        <v>47</v>
      </c>
      <c r="E633" s="4" t="s">
        <v>21</v>
      </c>
      <c r="F633" s="4" t="s">
        <v>59</v>
      </c>
      <c r="G633" s="4" t="s">
        <v>49</v>
      </c>
      <c r="H633" s="4" t="s">
        <v>187</v>
      </c>
      <c r="I633" s="4">
        <v>2</v>
      </c>
      <c r="J633" s="6">
        <v>178.03</v>
      </c>
      <c r="K633" s="7">
        <v>0.1</v>
      </c>
      <c r="L633" s="6">
        <f t="shared" si="36"/>
        <v>320.45400000000001</v>
      </c>
      <c r="M633" s="6">
        <v>103</v>
      </c>
      <c r="N633" s="8">
        <f t="shared" si="37"/>
        <v>114.45400000000001</v>
      </c>
      <c r="O633" s="4" t="s">
        <v>51</v>
      </c>
      <c r="P633" s="4" t="s">
        <v>75</v>
      </c>
      <c r="Q633" s="4">
        <v>3</v>
      </c>
      <c r="R633" s="21">
        <f t="shared" si="38"/>
        <v>0.35716202637508038</v>
      </c>
      <c r="S633" t="str">
        <f t="shared" si="39"/>
        <v>Small</v>
      </c>
    </row>
    <row r="634" spans="1:19" x14ac:dyDescent="0.35">
      <c r="A634" s="4" t="s">
        <v>1024</v>
      </c>
      <c r="B634" s="5">
        <v>45888</v>
      </c>
      <c r="C634" s="4" t="s">
        <v>800</v>
      </c>
      <c r="D634" s="4" t="s">
        <v>20</v>
      </c>
      <c r="E634" s="4" t="s">
        <v>29</v>
      </c>
      <c r="F634" s="4" t="s">
        <v>54</v>
      </c>
      <c r="G634" s="4" t="s">
        <v>31</v>
      </c>
      <c r="H634" s="4" t="s">
        <v>64</v>
      </c>
      <c r="I634" s="4">
        <v>6</v>
      </c>
      <c r="J634" s="6">
        <v>214.79</v>
      </c>
      <c r="K634" s="7">
        <v>0.2</v>
      </c>
      <c r="L634" s="6">
        <f t="shared" si="36"/>
        <v>1030.992</v>
      </c>
      <c r="M634" s="6">
        <v>118.29</v>
      </c>
      <c r="N634" s="8">
        <f t="shared" si="37"/>
        <v>321.25199999999995</v>
      </c>
      <c r="O634" s="4" t="s">
        <v>51</v>
      </c>
      <c r="P634" s="4" t="s">
        <v>72</v>
      </c>
      <c r="Q634" s="4">
        <v>3</v>
      </c>
      <c r="R634" s="21">
        <f t="shared" si="38"/>
        <v>0.31159504632431673</v>
      </c>
      <c r="S634" t="str">
        <f t="shared" si="39"/>
        <v>Medium</v>
      </c>
    </row>
    <row r="635" spans="1:19" x14ac:dyDescent="0.35">
      <c r="A635" s="4" t="s">
        <v>1025</v>
      </c>
      <c r="B635" s="5">
        <v>45889</v>
      </c>
      <c r="C635" s="4" t="s">
        <v>231</v>
      </c>
      <c r="D635" s="4" t="s">
        <v>43</v>
      </c>
      <c r="E635" s="4" t="s">
        <v>21</v>
      </c>
      <c r="F635" s="4" t="s">
        <v>22</v>
      </c>
      <c r="G635" s="4" t="s">
        <v>38</v>
      </c>
      <c r="H635" s="4" t="s">
        <v>89</v>
      </c>
      <c r="I635" s="4">
        <v>6</v>
      </c>
      <c r="J635" s="6">
        <v>729.1</v>
      </c>
      <c r="K635" s="7">
        <v>0</v>
      </c>
      <c r="L635" s="6">
        <f t="shared" si="36"/>
        <v>4374.6000000000004</v>
      </c>
      <c r="M635" s="6">
        <v>547.54999999999995</v>
      </c>
      <c r="N635" s="8">
        <f t="shared" si="37"/>
        <v>1089.3000000000006</v>
      </c>
      <c r="O635" s="4" t="s">
        <v>84</v>
      </c>
      <c r="P635" s="4" t="s">
        <v>33</v>
      </c>
      <c r="Q635" s="4">
        <v>4</v>
      </c>
      <c r="R635" s="21">
        <f t="shared" si="38"/>
        <v>0.24900562337127979</v>
      </c>
      <c r="S635" t="str">
        <f t="shared" si="39"/>
        <v>Large</v>
      </c>
    </row>
    <row r="636" spans="1:19" x14ac:dyDescent="0.35">
      <c r="A636" s="4" t="s">
        <v>1026</v>
      </c>
      <c r="B636" s="5">
        <v>45890</v>
      </c>
      <c r="C636" s="4" t="s">
        <v>547</v>
      </c>
      <c r="D636" s="4" t="s">
        <v>20</v>
      </c>
      <c r="E636" s="4" t="s">
        <v>29</v>
      </c>
      <c r="F636" s="4" t="s">
        <v>54</v>
      </c>
      <c r="G636" s="4" t="s">
        <v>49</v>
      </c>
      <c r="H636" s="4" t="s">
        <v>50</v>
      </c>
      <c r="I636" s="4">
        <v>4</v>
      </c>
      <c r="J636" s="6">
        <v>37.29</v>
      </c>
      <c r="K636" s="7">
        <v>0</v>
      </c>
      <c r="L636" s="6">
        <f t="shared" si="36"/>
        <v>149.16</v>
      </c>
      <c r="M636" s="6">
        <v>21.09</v>
      </c>
      <c r="N636" s="8">
        <f t="shared" si="37"/>
        <v>64.8</v>
      </c>
      <c r="O636" s="4" t="s">
        <v>51</v>
      </c>
      <c r="P636" s="4" t="s">
        <v>56</v>
      </c>
      <c r="Q636" s="4">
        <v>4</v>
      </c>
      <c r="R636" s="21">
        <f t="shared" si="38"/>
        <v>0.4344328238133548</v>
      </c>
      <c r="S636" t="str">
        <f t="shared" si="39"/>
        <v>Small</v>
      </c>
    </row>
    <row r="637" spans="1:19" x14ac:dyDescent="0.35">
      <c r="A637" s="4" t="s">
        <v>1027</v>
      </c>
      <c r="B637" s="5">
        <v>45890</v>
      </c>
      <c r="C637" s="4" t="s">
        <v>213</v>
      </c>
      <c r="D637" s="4" t="s">
        <v>47</v>
      </c>
      <c r="E637" s="4" t="s">
        <v>29</v>
      </c>
      <c r="F637" s="4" t="s">
        <v>54</v>
      </c>
      <c r="G637" s="4" t="s">
        <v>67</v>
      </c>
      <c r="H637" s="4" t="s">
        <v>68</v>
      </c>
      <c r="I637" s="4">
        <v>1</v>
      </c>
      <c r="J637" s="6">
        <v>888.53</v>
      </c>
      <c r="K637" s="7">
        <v>0</v>
      </c>
      <c r="L637" s="6">
        <f t="shared" si="36"/>
        <v>888.53</v>
      </c>
      <c r="M637" s="6">
        <v>571.30999999999995</v>
      </c>
      <c r="N637" s="8">
        <f t="shared" si="37"/>
        <v>317.22000000000003</v>
      </c>
      <c r="O637" s="4" t="s">
        <v>60</v>
      </c>
      <c r="P637" s="4" t="s">
        <v>118</v>
      </c>
      <c r="Q637" s="4">
        <v>5</v>
      </c>
      <c r="R637" s="21">
        <f t="shared" si="38"/>
        <v>0.3570166454706088</v>
      </c>
      <c r="S637" t="str">
        <f t="shared" si="39"/>
        <v>Medium</v>
      </c>
    </row>
    <row r="638" spans="1:19" x14ac:dyDescent="0.35">
      <c r="A638" s="4" t="s">
        <v>1028</v>
      </c>
      <c r="B638" s="5">
        <v>45890</v>
      </c>
      <c r="C638" s="4" t="s">
        <v>1029</v>
      </c>
      <c r="D638" s="4" t="s">
        <v>20</v>
      </c>
      <c r="E638" s="4" t="s">
        <v>36</v>
      </c>
      <c r="F638" s="4" t="s">
        <v>201</v>
      </c>
      <c r="G638" s="4" t="s">
        <v>49</v>
      </c>
      <c r="H638" s="4" t="s">
        <v>50</v>
      </c>
      <c r="I638" s="4">
        <v>3</v>
      </c>
      <c r="J638" s="6">
        <v>33.770000000000003</v>
      </c>
      <c r="K638" s="7">
        <v>0</v>
      </c>
      <c r="L638" s="6">
        <f t="shared" si="36"/>
        <v>101.31</v>
      </c>
      <c r="M638" s="6">
        <v>24.47</v>
      </c>
      <c r="N638" s="8">
        <f t="shared" si="37"/>
        <v>27.900000000000006</v>
      </c>
      <c r="O638" s="4" t="s">
        <v>51</v>
      </c>
      <c r="P638" s="4" t="s">
        <v>72</v>
      </c>
      <c r="Q638" s="4">
        <v>5</v>
      </c>
      <c r="R638" s="21">
        <f t="shared" si="38"/>
        <v>0.2753923600829139</v>
      </c>
      <c r="S638" t="str">
        <f t="shared" si="39"/>
        <v>Small</v>
      </c>
    </row>
    <row r="639" spans="1:19" x14ac:dyDescent="0.35">
      <c r="A639" s="4" t="s">
        <v>1030</v>
      </c>
      <c r="B639" s="5">
        <v>45890</v>
      </c>
      <c r="C639" s="4" t="s">
        <v>1031</v>
      </c>
      <c r="D639" s="4" t="s">
        <v>43</v>
      </c>
      <c r="E639" s="4" t="s">
        <v>87</v>
      </c>
      <c r="F639" s="4" t="s">
        <v>124</v>
      </c>
      <c r="G639" s="4" t="s">
        <v>49</v>
      </c>
      <c r="H639" s="4" t="s">
        <v>78</v>
      </c>
      <c r="I639" s="4">
        <v>3</v>
      </c>
      <c r="J639" s="6">
        <v>651.33000000000004</v>
      </c>
      <c r="K639" s="7">
        <v>0.05</v>
      </c>
      <c r="L639" s="6">
        <f t="shared" si="36"/>
        <v>1856.2905000000001</v>
      </c>
      <c r="M639" s="6">
        <v>384.61</v>
      </c>
      <c r="N639" s="8">
        <f t="shared" si="37"/>
        <v>702.46050000000014</v>
      </c>
      <c r="O639" s="4" t="s">
        <v>60</v>
      </c>
      <c r="P639" s="4" t="s">
        <v>26</v>
      </c>
      <c r="Q639" s="4">
        <v>3</v>
      </c>
      <c r="R639" s="21">
        <f t="shared" si="38"/>
        <v>0.37842164251769866</v>
      </c>
      <c r="S639" t="str">
        <f t="shared" si="39"/>
        <v>Medium</v>
      </c>
    </row>
    <row r="640" spans="1:19" x14ac:dyDescent="0.35">
      <c r="A640" s="4" t="s">
        <v>1032</v>
      </c>
      <c r="B640" s="5">
        <v>45890</v>
      </c>
      <c r="C640" s="4" t="s">
        <v>142</v>
      </c>
      <c r="D640" s="4" t="s">
        <v>20</v>
      </c>
      <c r="E640" s="4" t="s">
        <v>29</v>
      </c>
      <c r="F640" s="4" t="s">
        <v>54</v>
      </c>
      <c r="G640" s="4" t="s">
        <v>31</v>
      </c>
      <c r="H640" s="4" t="s">
        <v>64</v>
      </c>
      <c r="I640" s="4">
        <v>3</v>
      </c>
      <c r="J640" s="6">
        <v>215.82</v>
      </c>
      <c r="K640" s="7">
        <v>0</v>
      </c>
      <c r="L640" s="6">
        <f t="shared" si="36"/>
        <v>647.46</v>
      </c>
      <c r="M640" s="6">
        <v>140.29</v>
      </c>
      <c r="N640" s="8">
        <f t="shared" si="37"/>
        <v>226.59000000000003</v>
      </c>
      <c r="O640" s="4" t="s">
        <v>60</v>
      </c>
      <c r="P640" s="4" t="s">
        <v>118</v>
      </c>
      <c r="Q640" s="4">
        <v>3</v>
      </c>
      <c r="R640" s="21">
        <f t="shared" si="38"/>
        <v>0.34996756556389585</v>
      </c>
      <c r="S640" t="str">
        <f t="shared" si="39"/>
        <v>Medium</v>
      </c>
    </row>
    <row r="641" spans="1:19" x14ac:dyDescent="0.35">
      <c r="A641" s="4" t="s">
        <v>1033</v>
      </c>
      <c r="B641" s="5">
        <v>45890</v>
      </c>
      <c r="C641" s="4" t="s">
        <v>211</v>
      </c>
      <c r="D641" s="4" t="s">
        <v>43</v>
      </c>
      <c r="E641" s="4" t="s">
        <v>29</v>
      </c>
      <c r="F641" s="4" t="s">
        <v>108</v>
      </c>
      <c r="G641" s="4" t="s">
        <v>49</v>
      </c>
      <c r="H641" s="4" t="s">
        <v>50</v>
      </c>
      <c r="I641" s="4">
        <v>5</v>
      </c>
      <c r="J641" s="6">
        <v>22.39</v>
      </c>
      <c r="K641" s="7">
        <v>0.05</v>
      </c>
      <c r="L641" s="6">
        <f t="shared" si="36"/>
        <v>106.35249999999999</v>
      </c>
      <c r="M641" s="6">
        <v>13</v>
      </c>
      <c r="N641" s="8">
        <f t="shared" si="37"/>
        <v>41.352499999999992</v>
      </c>
      <c r="O641" s="4" t="s">
        <v>60</v>
      </c>
      <c r="P641" s="4" t="s">
        <v>118</v>
      </c>
      <c r="Q641" s="4">
        <v>3</v>
      </c>
      <c r="R641" s="21">
        <f t="shared" si="38"/>
        <v>0.38882489833337247</v>
      </c>
      <c r="S641" t="str">
        <f t="shared" si="39"/>
        <v>Small</v>
      </c>
    </row>
    <row r="642" spans="1:19" x14ac:dyDescent="0.35">
      <c r="A642" s="4" t="s">
        <v>1034</v>
      </c>
      <c r="B642" s="5">
        <v>45891</v>
      </c>
      <c r="C642" s="4" t="s">
        <v>1035</v>
      </c>
      <c r="D642" s="4" t="s">
        <v>47</v>
      </c>
      <c r="E642" s="4" t="s">
        <v>87</v>
      </c>
      <c r="F642" s="4" t="s">
        <v>92</v>
      </c>
      <c r="G642" s="4" t="s">
        <v>31</v>
      </c>
      <c r="H642" s="4" t="s">
        <v>125</v>
      </c>
      <c r="I642" s="4">
        <v>4</v>
      </c>
      <c r="J642" s="6">
        <v>149.07</v>
      </c>
      <c r="K642" s="7">
        <v>0</v>
      </c>
      <c r="L642" s="6">
        <f t="shared" ref="L642:L705" si="40">I642*J642*(1-K642)</f>
        <v>596.28</v>
      </c>
      <c r="M642" s="6">
        <v>110.24</v>
      </c>
      <c r="N642" s="8">
        <f t="shared" ref="N642:N705" si="41">L642-I642*M642</f>
        <v>155.32</v>
      </c>
      <c r="O642" s="4" t="s">
        <v>60</v>
      </c>
      <c r="P642" s="4" t="s">
        <v>97</v>
      </c>
      <c r="Q642" s="4">
        <v>4</v>
      </c>
      <c r="R642" s="21">
        <f t="shared" si="38"/>
        <v>0.26048165291473802</v>
      </c>
      <c r="S642" t="str">
        <f t="shared" si="39"/>
        <v>Medium</v>
      </c>
    </row>
    <row r="643" spans="1:19" x14ac:dyDescent="0.35">
      <c r="A643" s="4" t="s">
        <v>1036</v>
      </c>
      <c r="B643" s="5">
        <v>45891</v>
      </c>
      <c r="C643" s="4" t="s">
        <v>1037</v>
      </c>
      <c r="D643" s="4" t="s">
        <v>43</v>
      </c>
      <c r="E643" s="4" t="s">
        <v>36</v>
      </c>
      <c r="F643" s="4" t="s">
        <v>201</v>
      </c>
      <c r="G643" s="4" t="s">
        <v>31</v>
      </c>
      <c r="H643" s="4" t="s">
        <v>64</v>
      </c>
      <c r="I643" s="4">
        <v>3</v>
      </c>
      <c r="J643" s="6">
        <v>199.12</v>
      </c>
      <c r="K643" s="7">
        <v>0</v>
      </c>
      <c r="L643" s="6">
        <f t="shared" si="40"/>
        <v>597.36</v>
      </c>
      <c r="M643" s="6">
        <v>133.77000000000001</v>
      </c>
      <c r="N643" s="8">
        <f t="shared" si="41"/>
        <v>196.04999999999995</v>
      </c>
      <c r="O643" s="4" t="s">
        <v>60</v>
      </c>
      <c r="P643" s="4" t="s">
        <v>61</v>
      </c>
      <c r="Q643" s="4">
        <v>4</v>
      </c>
      <c r="R643" s="21">
        <f t="shared" ref="R643:R706" si="42">IF(L643=0,0,N643/L643)</f>
        <v>0.32819405383688222</v>
      </c>
      <c r="S643" t="str">
        <f t="shared" ref="S643:S706" si="43">IF(L643&gt;=2000,"Large",IF(L643&gt;=500,"Medium","Small"))</f>
        <v>Medium</v>
      </c>
    </row>
    <row r="644" spans="1:19" x14ac:dyDescent="0.35">
      <c r="A644" s="4" t="s">
        <v>1038</v>
      </c>
      <c r="B644" s="5">
        <v>45892</v>
      </c>
      <c r="C644" s="4" t="s">
        <v>450</v>
      </c>
      <c r="D644" s="4" t="s">
        <v>43</v>
      </c>
      <c r="E644" s="4" t="s">
        <v>29</v>
      </c>
      <c r="F644" s="4" t="s">
        <v>108</v>
      </c>
      <c r="G644" s="4" t="s">
        <v>31</v>
      </c>
      <c r="H644" s="4" t="s">
        <v>147</v>
      </c>
      <c r="I644" s="4">
        <v>1</v>
      </c>
      <c r="J644" s="6">
        <v>105.73</v>
      </c>
      <c r="K644" s="7">
        <v>0</v>
      </c>
      <c r="L644" s="6">
        <f t="shared" si="40"/>
        <v>105.73</v>
      </c>
      <c r="M644" s="6">
        <v>64.290000000000006</v>
      </c>
      <c r="N644" s="8">
        <f t="shared" si="41"/>
        <v>41.44</v>
      </c>
      <c r="O644" s="4" t="s">
        <v>25</v>
      </c>
      <c r="P644" s="4" t="s">
        <v>61</v>
      </c>
      <c r="Q644" s="4">
        <v>3</v>
      </c>
      <c r="R644" s="21">
        <f t="shared" si="42"/>
        <v>0.39194173839023927</v>
      </c>
      <c r="S644" t="str">
        <f t="shared" si="43"/>
        <v>Small</v>
      </c>
    </row>
    <row r="645" spans="1:19" x14ac:dyDescent="0.35">
      <c r="A645" s="4" t="s">
        <v>1039</v>
      </c>
      <c r="B645" s="5">
        <v>45892</v>
      </c>
      <c r="C645" s="4" t="s">
        <v>795</v>
      </c>
      <c r="D645" s="4" t="s">
        <v>43</v>
      </c>
      <c r="E645" s="4" t="s">
        <v>21</v>
      </c>
      <c r="F645" s="4" t="s">
        <v>59</v>
      </c>
      <c r="G645" s="4" t="s">
        <v>31</v>
      </c>
      <c r="H645" s="4" t="s">
        <v>125</v>
      </c>
      <c r="I645" s="4">
        <v>4</v>
      </c>
      <c r="J645" s="6">
        <v>155</v>
      </c>
      <c r="K645" s="7">
        <v>0.15</v>
      </c>
      <c r="L645" s="6">
        <f t="shared" si="40"/>
        <v>527</v>
      </c>
      <c r="M645" s="6">
        <v>115.97</v>
      </c>
      <c r="N645" s="8">
        <f t="shared" si="41"/>
        <v>63.120000000000005</v>
      </c>
      <c r="O645" s="4" t="s">
        <v>84</v>
      </c>
      <c r="P645" s="4" t="s">
        <v>75</v>
      </c>
      <c r="Q645" s="4">
        <v>2</v>
      </c>
      <c r="R645" s="21">
        <f t="shared" si="42"/>
        <v>0.11977229601518027</v>
      </c>
      <c r="S645" t="str">
        <f t="shared" si="43"/>
        <v>Medium</v>
      </c>
    </row>
    <row r="646" spans="1:19" x14ac:dyDescent="0.35">
      <c r="A646" s="4" t="s">
        <v>1040</v>
      </c>
      <c r="B646" s="5">
        <v>45892</v>
      </c>
      <c r="C646" s="4" t="s">
        <v>77</v>
      </c>
      <c r="D646" s="4" t="s">
        <v>43</v>
      </c>
      <c r="E646" s="4" t="s">
        <v>36</v>
      </c>
      <c r="F646" s="4" t="s">
        <v>37</v>
      </c>
      <c r="G646" s="4" t="s">
        <v>49</v>
      </c>
      <c r="H646" s="4" t="s">
        <v>128</v>
      </c>
      <c r="I646" s="4">
        <v>2</v>
      </c>
      <c r="J646" s="6">
        <v>143.13</v>
      </c>
      <c r="K646" s="7">
        <v>0</v>
      </c>
      <c r="L646" s="6">
        <f t="shared" si="40"/>
        <v>286.26</v>
      </c>
      <c r="M646" s="6">
        <v>103.99</v>
      </c>
      <c r="N646" s="8">
        <f t="shared" si="41"/>
        <v>78.28</v>
      </c>
      <c r="O646" s="4" t="s">
        <v>84</v>
      </c>
      <c r="P646" s="4" t="s">
        <v>75</v>
      </c>
      <c r="Q646" s="4">
        <v>2</v>
      </c>
      <c r="R646" s="21">
        <f t="shared" si="42"/>
        <v>0.27345769580102008</v>
      </c>
      <c r="S646" t="str">
        <f t="shared" si="43"/>
        <v>Small</v>
      </c>
    </row>
    <row r="647" spans="1:19" x14ac:dyDescent="0.35">
      <c r="A647" s="4" t="s">
        <v>1041</v>
      </c>
      <c r="B647" s="5">
        <v>45893</v>
      </c>
      <c r="C647" s="4" t="s">
        <v>485</v>
      </c>
      <c r="D647" s="4" t="s">
        <v>43</v>
      </c>
      <c r="E647" s="4" t="s">
        <v>29</v>
      </c>
      <c r="F647" s="4" t="s">
        <v>108</v>
      </c>
      <c r="G647" s="4" t="s">
        <v>67</v>
      </c>
      <c r="H647" s="4" t="s">
        <v>140</v>
      </c>
      <c r="I647" s="4">
        <v>10</v>
      </c>
      <c r="J647" s="6">
        <v>190.72</v>
      </c>
      <c r="K647" s="7">
        <v>0.1</v>
      </c>
      <c r="L647" s="6">
        <f t="shared" si="40"/>
        <v>1716.48</v>
      </c>
      <c r="M647" s="6">
        <v>116.17</v>
      </c>
      <c r="N647" s="8">
        <f t="shared" si="41"/>
        <v>554.78</v>
      </c>
      <c r="O647" s="4" t="s">
        <v>40</v>
      </c>
      <c r="P647" s="4" t="s">
        <v>33</v>
      </c>
      <c r="Q647" s="4">
        <v>4</v>
      </c>
      <c r="R647" s="21">
        <f t="shared" si="42"/>
        <v>0.32320796047725575</v>
      </c>
      <c r="S647" t="str">
        <f t="shared" si="43"/>
        <v>Medium</v>
      </c>
    </row>
    <row r="648" spans="1:19" x14ac:dyDescent="0.35">
      <c r="A648" s="4" t="s">
        <v>1042</v>
      </c>
      <c r="B648" s="5">
        <v>45893</v>
      </c>
      <c r="C648" s="4" t="s">
        <v>972</v>
      </c>
      <c r="D648" s="4" t="s">
        <v>20</v>
      </c>
      <c r="E648" s="4" t="s">
        <v>29</v>
      </c>
      <c r="F648" s="4" t="s">
        <v>108</v>
      </c>
      <c r="G648" s="4" t="s">
        <v>23</v>
      </c>
      <c r="H648" s="4" t="s">
        <v>135</v>
      </c>
      <c r="I648" s="4">
        <v>3</v>
      </c>
      <c r="J648" s="6">
        <v>11.24</v>
      </c>
      <c r="K648" s="7">
        <v>0.05</v>
      </c>
      <c r="L648" s="6">
        <f t="shared" si="40"/>
        <v>32.033999999999999</v>
      </c>
      <c r="M648" s="6">
        <v>7.07</v>
      </c>
      <c r="N648" s="8">
        <f t="shared" si="41"/>
        <v>10.823999999999998</v>
      </c>
      <c r="O648" s="4" t="s">
        <v>51</v>
      </c>
      <c r="P648" s="4" t="s">
        <v>26</v>
      </c>
      <c r="Q648" s="4">
        <v>3</v>
      </c>
      <c r="R648" s="21">
        <f t="shared" si="42"/>
        <v>0.33789099082225132</v>
      </c>
      <c r="S648" t="str">
        <f t="shared" si="43"/>
        <v>Small</v>
      </c>
    </row>
    <row r="649" spans="1:19" x14ac:dyDescent="0.35">
      <c r="A649" s="4" t="s">
        <v>1043</v>
      </c>
      <c r="B649" s="5">
        <v>45893</v>
      </c>
      <c r="C649" s="4" t="s">
        <v>550</v>
      </c>
      <c r="D649" s="4" t="s">
        <v>20</v>
      </c>
      <c r="E649" s="4" t="s">
        <v>29</v>
      </c>
      <c r="F649" s="4" t="s">
        <v>30</v>
      </c>
      <c r="G649" s="4" t="s">
        <v>31</v>
      </c>
      <c r="H649" s="4" t="s">
        <v>125</v>
      </c>
      <c r="I649" s="4">
        <v>3</v>
      </c>
      <c r="J649" s="6">
        <v>95.27</v>
      </c>
      <c r="K649" s="7">
        <v>0</v>
      </c>
      <c r="L649" s="6">
        <f t="shared" si="40"/>
        <v>285.81</v>
      </c>
      <c r="M649" s="6">
        <v>52.4</v>
      </c>
      <c r="N649" s="8">
        <f t="shared" si="41"/>
        <v>128.61000000000001</v>
      </c>
      <c r="O649" s="4" t="s">
        <v>51</v>
      </c>
      <c r="P649" s="4" t="s">
        <v>61</v>
      </c>
      <c r="Q649" s="4">
        <v>4</v>
      </c>
      <c r="R649" s="21">
        <f t="shared" si="42"/>
        <v>0.4499842552744831</v>
      </c>
      <c r="S649" t="str">
        <f t="shared" si="43"/>
        <v>Small</v>
      </c>
    </row>
    <row r="650" spans="1:19" x14ac:dyDescent="0.35">
      <c r="A650" s="4" t="s">
        <v>1044</v>
      </c>
      <c r="B650" s="5">
        <v>45894</v>
      </c>
      <c r="C650" s="4" t="s">
        <v>904</v>
      </c>
      <c r="D650" s="4" t="s">
        <v>20</v>
      </c>
      <c r="E650" s="4" t="s">
        <v>29</v>
      </c>
      <c r="F650" s="4" t="s">
        <v>54</v>
      </c>
      <c r="G650" s="4" t="s">
        <v>31</v>
      </c>
      <c r="H650" s="4" t="s">
        <v>32</v>
      </c>
      <c r="I650" s="4">
        <v>2</v>
      </c>
      <c r="J650" s="6">
        <v>253.5</v>
      </c>
      <c r="K650" s="7">
        <v>0.05</v>
      </c>
      <c r="L650" s="6">
        <f t="shared" si="40"/>
        <v>481.65</v>
      </c>
      <c r="M650" s="6">
        <v>162.93</v>
      </c>
      <c r="N650" s="8">
        <f t="shared" si="41"/>
        <v>155.78999999999996</v>
      </c>
      <c r="O650" s="4" t="s">
        <v>60</v>
      </c>
      <c r="P650" s="4" t="s">
        <v>72</v>
      </c>
      <c r="Q650" s="4">
        <v>5</v>
      </c>
      <c r="R650" s="21">
        <f t="shared" si="42"/>
        <v>0.32345063843039545</v>
      </c>
      <c r="S650" t="str">
        <f t="shared" si="43"/>
        <v>Small</v>
      </c>
    </row>
    <row r="651" spans="1:19" x14ac:dyDescent="0.35">
      <c r="A651" s="4" t="s">
        <v>1045</v>
      </c>
      <c r="B651" s="5">
        <v>45894</v>
      </c>
      <c r="C651" s="4" t="s">
        <v>170</v>
      </c>
      <c r="D651" s="4" t="s">
        <v>47</v>
      </c>
      <c r="E651" s="4" t="s">
        <v>21</v>
      </c>
      <c r="F651" s="4" t="s">
        <v>59</v>
      </c>
      <c r="G651" s="4" t="s">
        <v>49</v>
      </c>
      <c r="H651" s="4" t="s">
        <v>128</v>
      </c>
      <c r="I651" s="4">
        <v>2</v>
      </c>
      <c r="J651" s="6">
        <v>132.75</v>
      </c>
      <c r="K651" s="7">
        <v>0</v>
      </c>
      <c r="L651" s="6">
        <f t="shared" si="40"/>
        <v>265.5</v>
      </c>
      <c r="M651" s="6">
        <v>81.099999999999994</v>
      </c>
      <c r="N651" s="8">
        <f t="shared" si="41"/>
        <v>103.30000000000001</v>
      </c>
      <c r="O651" s="4" t="s">
        <v>51</v>
      </c>
      <c r="P651" s="4" t="s">
        <v>72</v>
      </c>
      <c r="Q651" s="4">
        <v>4</v>
      </c>
      <c r="R651" s="21">
        <f t="shared" si="42"/>
        <v>0.38907721280602642</v>
      </c>
      <c r="S651" t="str">
        <f t="shared" si="43"/>
        <v>Small</v>
      </c>
    </row>
    <row r="652" spans="1:19" x14ac:dyDescent="0.35">
      <c r="A652" s="4" t="s">
        <v>1046</v>
      </c>
      <c r="B652" s="5">
        <v>45894</v>
      </c>
      <c r="C652" s="4" t="s">
        <v>976</v>
      </c>
      <c r="D652" s="4" t="s">
        <v>43</v>
      </c>
      <c r="E652" s="4" t="s">
        <v>21</v>
      </c>
      <c r="F652" s="4" t="s">
        <v>59</v>
      </c>
      <c r="G652" s="4" t="s">
        <v>38</v>
      </c>
      <c r="H652" s="4" t="s">
        <v>55</v>
      </c>
      <c r="I652" s="4">
        <v>1</v>
      </c>
      <c r="J652" s="6">
        <v>259.89</v>
      </c>
      <c r="K652" s="7">
        <v>0.2</v>
      </c>
      <c r="L652" s="6">
        <f t="shared" si="40"/>
        <v>207.91200000000001</v>
      </c>
      <c r="M652" s="6">
        <v>232.54</v>
      </c>
      <c r="N652" s="8">
        <f t="shared" si="41"/>
        <v>-24.627999999999986</v>
      </c>
      <c r="O652" s="4" t="s">
        <v>60</v>
      </c>
      <c r="P652" s="4" t="s">
        <v>72</v>
      </c>
      <c r="Q652" s="4">
        <v>3</v>
      </c>
      <c r="R652" s="21">
        <f t="shared" si="42"/>
        <v>-0.11845396129131548</v>
      </c>
      <c r="S652" t="str">
        <f t="shared" si="43"/>
        <v>Small</v>
      </c>
    </row>
    <row r="653" spans="1:19" x14ac:dyDescent="0.35">
      <c r="A653" s="4" t="s">
        <v>1047</v>
      </c>
      <c r="B653" s="5">
        <v>45895</v>
      </c>
      <c r="C653" s="4" t="s">
        <v>1048</v>
      </c>
      <c r="D653" s="4" t="s">
        <v>20</v>
      </c>
      <c r="E653" s="4" t="s">
        <v>29</v>
      </c>
      <c r="F653" s="4" t="s">
        <v>108</v>
      </c>
      <c r="G653" s="4" t="s">
        <v>49</v>
      </c>
      <c r="H653" s="4" t="s">
        <v>78</v>
      </c>
      <c r="I653" s="4">
        <v>2</v>
      </c>
      <c r="J653" s="6">
        <v>578.45000000000005</v>
      </c>
      <c r="K653" s="7">
        <v>0.15</v>
      </c>
      <c r="L653" s="6">
        <f t="shared" si="40"/>
        <v>983.36500000000001</v>
      </c>
      <c r="M653" s="6">
        <v>382.36</v>
      </c>
      <c r="N653" s="8">
        <f t="shared" si="41"/>
        <v>218.64499999999998</v>
      </c>
      <c r="O653" s="4" t="s">
        <v>51</v>
      </c>
      <c r="P653" s="4" t="s">
        <v>72</v>
      </c>
      <c r="Q653" s="4">
        <v>4</v>
      </c>
      <c r="R653" s="21">
        <f t="shared" si="42"/>
        <v>0.22234368723719064</v>
      </c>
      <c r="S653" t="str">
        <f t="shared" si="43"/>
        <v>Medium</v>
      </c>
    </row>
    <row r="654" spans="1:19" x14ac:dyDescent="0.35">
      <c r="A654" s="4" t="s">
        <v>1049</v>
      </c>
      <c r="B654" s="5">
        <v>45895</v>
      </c>
      <c r="C654" s="4" t="s">
        <v>765</v>
      </c>
      <c r="D654" s="4" t="s">
        <v>20</v>
      </c>
      <c r="E654" s="4" t="s">
        <v>36</v>
      </c>
      <c r="F654" s="4" t="s">
        <v>48</v>
      </c>
      <c r="G654" s="4" t="s">
        <v>31</v>
      </c>
      <c r="H654" s="4" t="s">
        <v>147</v>
      </c>
      <c r="I654" s="4">
        <v>8</v>
      </c>
      <c r="J654" s="6">
        <v>47.52</v>
      </c>
      <c r="K654" s="7">
        <v>0.1</v>
      </c>
      <c r="L654" s="6">
        <f t="shared" si="40"/>
        <v>342.14400000000001</v>
      </c>
      <c r="M654" s="6">
        <v>33.85</v>
      </c>
      <c r="N654" s="8">
        <f t="shared" si="41"/>
        <v>71.343999999999994</v>
      </c>
      <c r="O654" s="4" t="s">
        <v>25</v>
      </c>
      <c r="P654" s="4" t="s">
        <v>33</v>
      </c>
      <c r="Q654" s="4">
        <v>3</v>
      </c>
      <c r="R654" s="21">
        <f t="shared" si="42"/>
        <v>0.20852038907594461</v>
      </c>
      <c r="S654" t="str">
        <f t="shared" si="43"/>
        <v>Small</v>
      </c>
    </row>
    <row r="655" spans="1:19" x14ac:dyDescent="0.35">
      <c r="A655" s="4" t="s">
        <v>1050</v>
      </c>
      <c r="B655" s="5">
        <v>45895</v>
      </c>
      <c r="C655" s="4" t="s">
        <v>1051</v>
      </c>
      <c r="D655" s="4" t="s">
        <v>43</v>
      </c>
      <c r="E655" s="4" t="s">
        <v>87</v>
      </c>
      <c r="F655" s="4" t="s">
        <v>92</v>
      </c>
      <c r="G655" s="4" t="s">
        <v>23</v>
      </c>
      <c r="H655" s="4" t="s">
        <v>135</v>
      </c>
      <c r="I655" s="4">
        <v>2</v>
      </c>
      <c r="J655" s="6">
        <v>22.85</v>
      </c>
      <c r="K655" s="7">
        <v>0.2</v>
      </c>
      <c r="L655" s="6">
        <f t="shared" si="40"/>
        <v>36.56</v>
      </c>
      <c r="M655" s="6">
        <v>13.36</v>
      </c>
      <c r="N655" s="8">
        <f t="shared" si="41"/>
        <v>9.8400000000000034</v>
      </c>
      <c r="O655" s="4" t="s">
        <v>84</v>
      </c>
      <c r="P655" s="4" t="s">
        <v>72</v>
      </c>
      <c r="Q655" s="4">
        <v>2</v>
      </c>
      <c r="R655" s="21">
        <f t="shared" si="42"/>
        <v>0.26914660831509857</v>
      </c>
      <c r="S655" t="str">
        <f t="shared" si="43"/>
        <v>Small</v>
      </c>
    </row>
    <row r="656" spans="1:19" x14ac:dyDescent="0.35">
      <c r="A656" s="4" t="s">
        <v>1052</v>
      </c>
      <c r="B656" s="5">
        <v>45896</v>
      </c>
      <c r="C656" s="4" t="s">
        <v>205</v>
      </c>
      <c r="D656" s="4" t="s">
        <v>43</v>
      </c>
      <c r="E656" s="4" t="s">
        <v>87</v>
      </c>
      <c r="F656" s="4" t="s">
        <v>92</v>
      </c>
      <c r="G656" s="4" t="s">
        <v>31</v>
      </c>
      <c r="H656" s="4" t="s">
        <v>125</v>
      </c>
      <c r="I656" s="4">
        <v>5</v>
      </c>
      <c r="J656" s="6">
        <v>151.46</v>
      </c>
      <c r="K656" s="7">
        <v>0</v>
      </c>
      <c r="L656" s="6">
        <f t="shared" si="40"/>
        <v>757.30000000000007</v>
      </c>
      <c r="M656" s="6">
        <v>96.52</v>
      </c>
      <c r="N656" s="8">
        <f t="shared" si="41"/>
        <v>274.7000000000001</v>
      </c>
      <c r="O656" s="4" t="s">
        <v>60</v>
      </c>
      <c r="P656" s="4" t="s">
        <v>72</v>
      </c>
      <c r="Q656" s="4">
        <v>2</v>
      </c>
      <c r="R656" s="21">
        <f t="shared" si="42"/>
        <v>0.36273603591707393</v>
      </c>
      <c r="S656" t="str">
        <f t="shared" si="43"/>
        <v>Medium</v>
      </c>
    </row>
    <row r="657" spans="1:19" x14ac:dyDescent="0.35">
      <c r="A657" s="4" t="s">
        <v>1053</v>
      </c>
      <c r="B657" s="5">
        <v>45896</v>
      </c>
      <c r="C657" s="4" t="s">
        <v>160</v>
      </c>
      <c r="D657" s="4" t="s">
        <v>43</v>
      </c>
      <c r="E657" s="4" t="s">
        <v>36</v>
      </c>
      <c r="F657" s="4" t="s">
        <v>37</v>
      </c>
      <c r="G657" s="4" t="s">
        <v>38</v>
      </c>
      <c r="H657" s="4" t="s">
        <v>89</v>
      </c>
      <c r="I657" s="4">
        <v>1</v>
      </c>
      <c r="J657" s="6">
        <v>1162.98</v>
      </c>
      <c r="K657" s="7">
        <v>0.15</v>
      </c>
      <c r="L657" s="6">
        <f t="shared" si="40"/>
        <v>988.53300000000002</v>
      </c>
      <c r="M657" s="6">
        <v>975.72</v>
      </c>
      <c r="N657" s="8">
        <f t="shared" si="41"/>
        <v>12.812999999999988</v>
      </c>
      <c r="O657" s="4" t="s">
        <v>84</v>
      </c>
      <c r="P657" s="4" t="s">
        <v>72</v>
      </c>
      <c r="Q657" s="4">
        <v>3</v>
      </c>
      <c r="R657" s="21">
        <f t="shared" si="42"/>
        <v>1.2961631022940042E-2</v>
      </c>
      <c r="S657" t="str">
        <f t="shared" si="43"/>
        <v>Medium</v>
      </c>
    </row>
    <row r="658" spans="1:19" x14ac:dyDescent="0.35">
      <c r="A658" s="4" t="s">
        <v>1054</v>
      </c>
      <c r="B658" s="5">
        <v>45896</v>
      </c>
      <c r="C658" s="4" t="s">
        <v>917</v>
      </c>
      <c r="D658" s="4" t="s">
        <v>43</v>
      </c>
      <c r="E658" s="4" t="s">
        <v>21</v>
      </c>
      <c r="F658" s="4" t="s">
        <v>22</v>
      </c>
      <c r="G658" s="4" t="s">
        <v>38</v>
      </c>
      <c r="H658" s="4" t="s">
        <v>109</v>
      </c>
      <c r="I658" s="4">
        <v>2</v>
      </c>
      <c r="J658" s="6">
        <v>602.91</v>
      </c>
      <c r="K658" s="7">
        <v>0.15</v>
      </c>
      <c r="L658" s="6">
        <f t="shared" si="40"/>
        <v>1024.9469999999999</v>
      </c>
      <c r="M658" s="6">
        <v>533.12</v>
      </c>
      <c r="N658" s="8">
        <f t="shared" si="41"/>
        <v>-41.29300000000012</v>
      </c>
      <c r="O658" s="4" t="s">
        <v>60</v>
      </c>
      <c r="P658" s="4" t="s">
        <v>118</v>
      </c>
      <c r="Q658" s="4">
        <v>5</v>
      </c>
      <c r="R658" s="21">
        <f t="shared" si="42"/>
        <v>-4.0287936839661101E-2</v>
      </c>
      <c r="S658" t="str">
        <f t="shared" si="43"/>
        <v>Medium</v>
      </c>
    </row>
    <row r="659" spans="1:19" x14ac:dyDescent="0.35">
      <c r="A659" s="4" t="s">
        <v>1055</v>
      </c>
      <c r="B659" s="5">
        <v>45896</v>
      </c>
      <c r="C659" s="4" t="s">
        <v>229</v>
      </c>
      <c r="D659" s="4" t="s">
        <v>20</v>
      </c>
      <c r="E659" s="4" t="s">
        <v>87</v>
      </c>
      <c r="F659" s="4" t="s">
        <v>92</v>
      </c>
      <c r="G659" s="4" t="s">
        <v>49</v>
      </c>
      <c r="H659" s="4" t="s">
        <v>78</v>
      </c>
      <c r="I659" s="4">
        <v>8</v>
      </c>
      <c r="J659" s="6">
        <v>544.85</v>
      </c>
      <c r="K659" s="7">
        <v>0</v>
      </c>
      <c r="L659" s="6">
        <f t="shared" si="40"/>
        <v>4358.8</v>
      </c>
      <c r="M659" s="6">
        <v>310.94</v>
      </c>
      <c r="N659" s="8">
        <f t="shared" si="41"/>
        <v>1871.2800000000002</v>
      </c>
      <c r="O659" s="4" t="s">
        <v>51</v>
      </c>
      <c r="P659" s="4" t="s">
        <v>97</v>
      </c>
      <c r="Q659" s="4">
        <v>4</v>
      </c>
      <c r="R659" s="21">
        <f t="shared" si="42"/>
        <v>0.42931081949160321</v>
      </c>
      <c r="S659" t="str">
        <f t="shared" si="43"/>
        <v>Large</v>
      </c>
    </row>
    <row r="660" spans="1:19" x14ac:dyDescent="0.35">
      <c r="A660" s="4" t="s">
        <v>1056</v>
      </c>
      <c r="B660" s="5">
        <v>45897</v>
      </c>
      <c r="C660" s="4" t="s">
        <v>1057</v>
      </c>
      <c r="D660" s="4" t="s">
        <v>20</v>
      </c>
      <c r="E660" s="4" t="s">
        <v>87</v>
      </c>
      <c r="F660" s="4" t="s">
        <v>88</v>
      </c>
      <c r="G660" s="4" t="s">
        <v>38</v>
      </c>
      <c r="H660" s="4" t="s">
        <v>89</v>
      </c>
      <c r="I660" s="4">
        <v>2</v>
      </c>
      <c r="J660" s="6">
        <v>1164.99</v>
      </c>
      <c r="K660" s="7">
        <v>0.1</v>
      </c>
      <c r="L660" s="6">
        <f t="shared" si="40"/>
        <v>2096.982</v>
      </c>
      <c r="M660" s="6">
        <v>923.86</v>
      </c>
      <c r="N660" s="8">
        <f t="shared" si="41"/>
        <v>249.26199999999994</v>
      </c>
      <c r="O660" s="4" t="s">
        <v>25</v>
      </c>
      <c r="P660" s="4" t="s">
        <v>72</v>
      </c>
      <c r="Q660" s="4">
        <v>4</v>
      </c>
      <c r="R660" s="21">
        <f t="shared" si="42"/>
        <v>0.11886701936401932</v>
      </c>
      <c r="S660" t="str">
        <f t="shared" si="43"/>
        <v>Large</v>
      </c>
    </row>
    <row r="661" spans="1:19" x14ac:dyDescent="0.35">
      <c r="A661" s="4" t="s">
        <v>1058</v>
      </c>
      <c r="B661" s="5">
        <v>45897</v>
      </c>
      <c r="C661" s="4" t="s">
        <v>481</v>
      </c>
      <c r="D661" s="4" t="s">
        <v>20</v>
      </c>
      <c r="E661" s="4" t="s">
        <v>29</v>
      </c>
      <c r="F661" s="4" t="s">
        <v>108</v>
      </c>
      <c r="G661" s="4" t="s">
        <v>23</v>
      </c>
      <c r="H661" s="4" t="s">
        <v>44</v>
      </c>
      <c r="I661" s="4">
        <v>1</v>
      </c>
      <c r="J661" s="6">
        <v>61.97</v>
      </c>
      <c r="K661" s="7">
        <v>0.2</v>
      </c>
      <c r="L661" s="6">
        <f t="shared" si="40"/>
        <v>49.576000000000001</v>
      </c>
      <c r="M661" s="6">
        <v>25</v>
      </c>
      <c r="N661" s="8">
        <f t="shared" si="41"/>
        <v>24.576000000000001</v>
      </c>
      <c r="O661" s="4" t="s">
        <v>84</v>
      </c>
      <c r="P661" s="4" t="s">
        <v>33</v>
      </c>
      <c r="Q661" s="4">
        <v>4</v>
      </c>
      <c r="R661" s="21">
        <f t="shared" si="42"/>
        <v>0.49572373729223818</v>
      </c>
      <c r="S661" t="str">
        <f t="shared" si="43"/>
        <v>Small</v>
      </c>
    </row>
    <row r="662" spans="1:19" x14ac:dyDescent="0.35">
      <c r="A662" s="4" t="s">
        <v>1059</v>
      </c>
      <c r="B662" s="5">
        <v>45897</v>
      </c>
      <c r="C662" s="4" t="s">
        <v>223</v>
      </c>
      <c r="D662" s="4" t="s">
        <v>47</v>
      </c>
      <c r="E662" s="4" t="s">
        <v>21</v>
      </c>
      <c r="F662" s="4" t="s">
        <v>59</v>
      </c>
      <c r="G662" s="4" t="s">
        <v>38</v>
      </c>
      <c r="H662" s="4" t="s">
        <v>55</v>
      </c>
      <c r="I662" s="4">
        <v>1</v>
      </c>
      <c r="J662" s="6">
        <v>139.76</v>
      </c>
      <c r="K662" s="7">
        <v>0.1</v>
      </c>
      <c r="L662" s="6">
        <f t="shared" si="40"/>
        <v>125.78399999999999</v>
      </c>
      <c r="M662" s="6">
        <v>119.23</v>
      </c>
      <c r="N662" s="8">
        <f t="shared" si="41"/>
        <v>6.5539999999999878</v>
      </c>
      <c r="O662" s="4" t="s">
        <v>51</v>
      </c>
      <c r="P662" s="4" t="s">
        <v>75</v>
      </c>
      <c r="Q662" s="4">
        <v>2</v>
      </c>
      <c r="R662" s="21">
        <f t="shared" si="42"/>
        <v>5.2105196209374705E-2</v>
      </c>
      <c r="S662" t="str">
        <f t="shared" si="43"/>
        <v>Small</v>
      </c>
    </row>
    <row r="663" spans="1:19" x14ac:dyDescent="0.35">
      <c r="A663" s="4" t="s">
        <v>1060</v>
      </c>
      <c r="B663" s="5">
        <v>45898</v>
      </c>
      <c r="C663" s="4" t="s">
        <v>431</v>
      </c>
      <c r="D663" s="4" t="s">
        <v>43</v>
      </c>
      <c r="E663" s="4" t="s">
        <v>29</v>
      </c>
      <c r="F663" s="4" t="s">
        <v>108</v>
      </c>
      <c r="G663" s="4" t="s">
        <v>67</v>
      </c>
      <c r="H663" s="4" t="s">
        <v>68</v>
      </c>
      <c r="I663" s="4">
        <v>2</v>
      </c>
      <c r="J663" s="6">
        <v>1027.51</v>
      </c>
      <c r="K663" s="7">
        <v>0.1</v>
      </c>
      <c r="L663" s="6">
        <f t="shared" si="40"/>
        <v>1849.518</v>
      </c>
      <c r="M663" s="6">
        <v>819.81</v>
      </c>
      <c r="N663" s="8">
        <f t="shared" si="41"/>
        <v>209.89800000000014</v>
      </c>
      <c r="O663" s="4" t="s">
        <v>51</v>
      </c>
      <c r="P663" s="4" t="s">
        <v>56</v>
      </c>
      <c r="Q663" s="4">
        <v>4</v>
      </c>
      <c r="R663" s="21">
        <f t="shared" si="42"/>
        <v>0.11348794658932768</v>
      </c>
      <c r="S663" t="str">
        <f t="shared" si="43"/>
        <v>Medium</v>
      </c>
    </row>
    <row r="664" spans="1:19" x14ac:dyDescent="0.35">
      <c r="A664" s="4" t="s">
        <v>1061</v>
      </c>
      <c r="B664" s="5">
        <v>45898</v>
      </c>
      <c r="C664" s="4" t="s">
        <v>1062</v>
      </c>
      <c r="D664" s="4" t="s">
        <v>20</v>
      </c>
      <c r="E664" s="4" t="s">
        <v>36</v>
      </c>
      <c r="F664" s="4" t="s">
        <v>48</v>
      </c>
      <c r="G664" s="4" t="s">
        <v>23</v>
      </c>
      <c r="H664" s="4" t="s">
        <v>135</v>
      </c>
      <c r="I664" s="4">
        <v>10</v>
      </c>
      <c r="J664" s="6">
        <v>27.28</v>
      </c>
      <c r="K664" s="7">
        <v>0.1</v>
      </c>
      <c r="L664" s="6">
        <f t="shared" si="40"/>
        <v>245.52</v>
      </c>
      <c r="M664" s="6">
        <v>12.94</v>
      </c>
      <c r="N664" s="8">
        <f t="shared" si="41"/>
        <v>116.12</v>
      </c>
      <c r="O664" s="4" t="s">
        <v>51</v>
      </c>
      <c r="P664" s="4" t="s">
        <v>75</v>
      </c>
      <c r="Q664" s="4">
        <v>4</v>
      </c>
      <c r="R664" s="21">
        <f t="shared" si="42"/>
        <v>0.47295536005213423</v>
      </c>
      <c r="S664" t="str">
        <f t="shared" si="43"/>
        <v>Small</v>
      </c>
    </row>
    <row r="665" spans="1:19" x14ac:dyDescent="0.35">
      <c r="A665" s="4" t="s">
        <v>1063</v>
      </c>
      <c r="B665" s="5">
        <v>45898</v>
      </c>
      <c r="C665" s="4" t="s">
        <v>869</v>
      </c>
      <c r="D665" s="4" t="s">
        <v>43</v>
      </c>
      <c r="E665" s="4" t="s">
        <v>87</v>
      </c>
      <c r="F665" s="4" t="s">
        <v>124</v>
      </c>
      <c r="G665" s="4" t="s">
        <v>49</v>
      </c>
      <c r="H665" s="4" t="s">
        <v>128</v>
      </c>
      <c r="I665" s="4">
        <v>2</v>
      </c>
      <c r="J665" s="6">
        <v>46.85</v>
      </c>
      <c r="K665" s="7">
        <v>0</v>
      </c>
      <c r="L665" s="6">
        <f t="shared" si="40"/>
        <v>93.7</v>
      </c>
      <c r="M665" s="6">
        <v>31.7</v>
      </c>
      <c r="N665" s="8">
        <f t="shared" si="41"/>
        <v>30.300000000000004</v>
      </c>
      <c r="O665" s="4" t="s">
        <v>84</v>
      </c>
      <c r="P665" s="4" t="s">
        <v>118</v>
      </c>
      <c r="Q665" s="4">
        <v>5</v>
      </c>
      <c r="R665" s="21">
        <f t="shared" si="42"/>
        <v>0.3233724653148346</v>
      </c>
      <c r="S665" t="str">
        <f t="shared" si="43"/>
        <v>Small</v>
      </c>
    </row>
    <row r="666" spans="1:19" x14ac:dyDescent="0.35">
      <c r="A666" s="4" t="s">
        <v>1064</v>
      </c>
      <c r="B666" s="5">
        <v>45898</v>
      </c>
      <c r="C666" s="4" t="s">
        <v>1065</v>
      </c>
      <c r="D666" s="4" t="s">
        <v>47</v>
      </c>
      <c r="E666" s="4" t="s">
        <v>21</v>
      </c>
      <c r="F666" s="4" t="s">
        <v>81</v>
      </c>
      <c r="G666" s="4" t="s">
        <v>67</v>
      </c>
      <c r="H666" s="4" t="s">
        <v>93</v>
      </c>
      <c r="I666" s="4">
        <v>1</v>
      </c>
      <c r="J666" s="6">
        <v>519.23</v>
      </c>
      <c r="K666" s="7">
        <v>0</v>
      </c>
      <c r="L666" s="6">
        <f t="shared" si="40"/>
        <v>519.23</v>
      </c>
      <c r="M666" s="6">
        <v>327.02999999999997</v>
      </c>
      <c r="N666" s="8">
        <f t="shared" si="41"/>
        <v>192.20000000000005</v>
      </c>
      <c r="O666" s="4" t="s">
        <v>51</v>
      </c>
      <c r="P666" s="4" t="s">
        <v>97</v>
      </c>
      <c r="Q666" s="4">
        <v>3</v>
      </c>
      <c r="R666" s="21">
        <f t="shared" si="42"/>
        <v>0.37016351135335024</v>
      </c>
      <c r="S666" t="str">
        <f t="shared" si="43"/>
        <v>Medium</v>
      </c>
    </row>
    <row r="667" spans="1:19" x14ac:dyDescent="0.35">
      <c r="A667" s="4" t="s">
        <v>1066</v>
      </c>
      <c r="B667" s="5">
        <v>45900</v>
      </c>
      <c r="C667" s="4" t="s">
        <v>123</v>
      </c>
      <c r="D667" s="4" t="s">
        <v>43</v>
      </c>
      <c r="E667" s="4" t="s">
        <v>29</v>
      </c>
      <c r="F667" s="4" t="s">
        <v>54</v>
      </c>
      <c r="G667" s="4" t="s">
        <v>67</v>
      </c>
      <c r="H667" s="4" t="s">
        <v>121</v>
      </c>
      <c r="I667" s="4">
        <v>2</v>
      </c>
      <c r="J667" s="6">
        <v>426.1</v>
      </c>
      <c r="K667" s="7">
        <v>0.1</v>
      </c>
      <c r="L667" s="6">
        <f t="shared" si="40"/>
        <v>766.98</v>
      </c>
      <c r="M667" s="6">
        <v>264.82</v>
      </c>
      <c r="N667" s="8">
        <f t="shared" si="41"/>
        <v>237.34000000000003</v>
      </c>
      <c r="O667" s="4" t="s">
        <v>25</v>
      </c>
      <c r="P667" s="4" t="s">
        <v>56</v>
      </c>
      <c r="Q667" s="4">
        <v>1</v>
      </c>
      <c r="R667" s="21">
        <f t="shared" si="42"/>
        <v>0.30944744321885842</v>
      </c>
      <c r="S667" t="str">
        <f t="shared" si="43"/>
        <v>Medium</v>
      </c>
    </row>
    <row r="668" spans="1:19" x14ac:dyDescent="0.35">
      <c r="A668" s="4" t="s">
        <v>1067</v>
      </c>
      <c r="B668" s="5">
        <v>45900</v>
      </c>
      <c r="C668" s="4" t="s">
        <v>620</v>
      </c>
      <c r="D668" s="4" t="s">
        <v>43</v>
      </c>
      <c r="E668" s="4" t="s">
        <v>29</v>
      </c>
      <c r="F668" s="4" t="s">
        <v>30</v>
      </c>
      <c r="G668" s="4" t="s">
        <v>49</v>
      </c>
      <c r="H668" s="4" t="s">
        <v>128</v>
      </c>
      <c r="I668" s="4">
        <v>1</v>
      </c>
      <c r="J668" s="6">
        <v>75.260000000000005</v>
      </c>
      <c r="K668" s="7">
        <v>0.05</v>
      </c>
      <c r="L668" s="6">
        <f t="shared" si="40"/>
        <v>71.497</v>
      </c>
      <c r="M668" s="6">
        <v>56.31</v>
      </c>
      <c r="N668" s="8">
        <f t="shared" si="41"/>
        <v>15.186999999999998</v>
      </c>
      <c r="O668" s="4" t="s">
        <v>60</v>
      </c>
      <c r="P668" s="4" t="s">
        <v>26</v>
      </c>
      <c r="Q668" s="4">
        <v>1</v>
      </c>
      <c r="R668" s="21">
        <f t="shared" si="42"/>
        <v>0.21241450690238747</v>
      </c>
      <c r="S668" t="str">
        <f t="shared" si="43"/>
        <v>Small</v>
      </c>
    </row>
    <row r="669" spans="1:19" x14ac:dyDescent="0.35">
      <c r="A669" s="4" t="s">
        <v>1068</v>
      </c>
      <c r="B669" s="5">
        <v>45900</v>
      </c>
      <c r="C669" s="4" t="s">
        <v>388</v>
      </c>
      <c r="D669" s="4" t="s">
        <v>47</v>
      </c>
      <c r="E669" s="4" t="s">
        <v>36</v>
      </c>
      <c r="F669" s="4" t="s">
        <v>201</v>
      </c>
      <c r="G669" s="4" t="s">
        <v>31</v>
      </c>
      <c r="H669" s="4" t="s">
        <v>64</v>
      </c>
      <c r="I669" s="4">
        <v>2</v>
      </c>
      <c r="J669" s="6">
        <v>87.48</v>
      </c>
      <c r="K669" s="7">
        <v>0</v>
      </c>
      <c r="L669" s="6">
        <f t="shared" si="40"/>
        <v>174.96</v>
      </c>
      <c r="M669" s="6">
        <v>58.69</v>
      </c>
      <c r="N669" s="8">
        <f t="shared" si="41"/>
        <v>57.580000000000013</v>
      </c>
      <c r="O669" s="4" t="s">
        <v>40</v>
      </c>
      <c r="P669" s="4" t="s">
        <v>26</v>
      </c>
      <c r="Q669" s="4">
        <v>3</v>
      </c>
      <c r="R669" s="21">
        <f t="shared" si="42"/>
        <v>0.32910379515317795</v>
      </c>
      <c r="S669" t="str">
        <f t="shared" si="43"/>
        <v>Small</v>
      </c>
    </row>
    <row r="670" spans="1:19" x14ac:dyDescent="0.35">
      <c r="A670" s="4" t="s">
        <v>1069</v>
      </c>
      <c r="B670" s="5">
        <v>45900</v>
      </c>
      <c r="C670" s="4" t="s">
        <v>325</v>
      </c>
      <c r="D670" s="4" t="s">
        <v>43</v>
      </c>
      <c r="E670" s="4" t="s">
        <v>87</v>
      </c>
      <c r="F670" s="4" t="s">
        <v>88</v>
      </c>
      <c r="G670" s="4" t="s">
        <v>67</v>
      </c>
      <c r="H670" s="4" t="s">
        <v>68</v>
      </c>
      <c r="I670" s="4">
        <v>1</v>
      </c>
      <c r="J670" s="6">
        <v>305.23</v>
      </c>
      <c r="K670" s="7">
        <v>0</v>
      </c>
      <c r="L670" s="6">
        <f t="shared" si="40"/>
        <v>305.23</v>
      </c>
      <c r="M670" s="6">
        <v>190.25</v>
      </c>
      <c r="N670" s="8">
        <f t="shared" si="41"/>
        <v>114.98000000000002</v>
      </c>
      <c r="O670" s="4" t="s">
        <v>25</v>
      </c>
      <c r="P670" s="4" t="s">
        <v>75</v>
      </c>
      <c r="Q670" s="4">
        <v>3</v>
      </c>
      <c r="R670" s="21">
        <f t="shared" si="42"/>
        <v>0.37669953805327133</v>
      </c>
      <c r="S670" t="str">
        <f t="shared" si="43"/>
        <v>Small</v>
      </c>
    </row>
    <row r="671" spans="1:19" x14ac:dyDescent="0.35">
      <c r="A671" s="4" t="s">
        <v>1070</v>
      </c>
      <c r="B671" s="5">
        <v>45900</v>
      </c>
      <c r="C671" s="4" t="s">
        <v>442</v>
      </c>
      <c r="D671" s="4" t="s">
        <v>20</v>
      </c>
      <c r="E671" s="4" t="s">
        <v>21</v>
      </c>
      <c r="F671" s="4" t="s">
        <v>81</v>
      </c>
      <c r="G671" s="4" t="s">
        <v>38</v>
      </c>
      <c r="H671" s="4" t="s">
        <v>96</v>
      </c>
      <c r="I671" s="4">
        <v>2</v>
      </c>
      <c r="J671" s="6">
        <v>677.83</v>
      </c>
      <c r="K671" s="7">
        <v>0.05</v>
      </c>
      <c r="L671" s="6">
        <f t="shared" si="40"/>
        <v>1287.877</v>
      </c>
      <c r="M671" s="6">
        <v>510.11</v>
      </c>
      <c r="N671" s="8">
        <f t="shared" si="41"/>
        <v>267.65699999999993</v>
      </c>
      <c r="O671" s="4" t="s">
        <v>84</v>
      </c>
      <c r="P671" s="4" t="s">
        <v>118</v>
      </c>
      <c r="Q671" s="4">
        <v>5</v>
      </c>
      <c r="R671" s="21">
        <f t="shared" si="42"/>
        <v>0.20782807674956533</v>
      </c>
      <c r="S671" t="str">
        <f t="shared" si="43"/>
        <v>Medium</v>
      </c>
    </row>
    <row r="672" spans="1:19" x14ac:dyDescent="0.35">
      <c r="A672" s="4" t="s">
        <v>1071</v>
      </c>
      <c r="B672" s="5">
        <v>45901</v>
      </c>
      <c r="C672" s="4" t="s">
        <v>120</v>
      </c>
      <c r="D672" s="4" t="s">
        <v>47</v>
      </c>
      <c r="E672" s="4" t="s">
        <v>29</v>
      </c>
      <c r="F672" s="4" t="s">
        <v>54</v>
      </c>
      <c r="G672" s="4" t="s">
        <v>31</v>
      </c>
      <c r="H672" s="4" t="s">
        <v>32</v>
      </c>
      <c r="I672" s="4">
        <v>1</v>
      </c>
      <c r="J672" s="6">
        <v>235.61</v>
      </c>
      <c r="K672" s="7">
        <v>0</v>
      </c>
      <c r="L672" s="6">
        <f t="shared" si="40"/>
        <v>235.61</v>
      </c>
      <c r="M672" s="6">
        <v>133.19</v>
      </c>
      <c r="N672" s="8">
        <f t="shared" si="41"/>
        <v>102.42000000000002</v>
      </c>
      <c r="O672" s="4" t="s">
        <v>84</v>
      </c>
      <c r="P672" s="4" t="s">
        <v>118</v>
      </c>
      <c r="Q672" s="4">
        <v>4</v>
      </c>
      <c r="R672" s="21">
        <f t="shared" si="42"/>
        <v>0.43470141335257423</v>
      </c>
      <c r="S672" t="str">
        <f t="shared" si="43"/>
        <v>Small</v>
      </c>
    </row>
    <row r="673" spans="1:19" x14ac:dyDescent="0.35">
      <c r="A673" s="4" t="s">
        <v>1072</v>
      </c>
      <c r="B673" s="5">
        <v>45901</v>
      </c>
      <c r="C673" s="4" t="s">
        <v>258</v>
      </c>
      <c r="D673" s="4" t="s">
        <v>43</v>
      </c>
      <c r="E673" s="4" t="s">
        <v>29</v>
      </c>
      <c r="F673" s="4" t="s">
        <v>108</v>
      </c>
      <c r="G673" s="4" t="s">
        <v>31</v>
      </c>
      <c r="H673" s="4" t="s">
        <v>125</v>
      </c>
      <c r="I673" s="4">
        <v>4</v>
      </c>
      <c r="J673" s="6">
        <v>38.85</v>
      </c>
      <c r="K673" s="7">
        <v>0.05</v>
      </c>
      <c r="L673" s="6">
        <f t="shared" si="40"/>
        <v>147.63</v>
      </c>
      <c r="M673" s="6">
        <v>22.69</v>
      </c>
      <c r="N673" s="8">
        <f t="shared" si="41"/>
        <v>56.86999999999999</v>
      </c>
      <c r="O673" s="4" t="s">
        <v>40</v>
      </c>
      <c r="P673" s="4" t="s">
        <v>56</v>
      </c>
      <c r="Q673" s="4">
        <v>5</v>
      </c>
      <c r="R673" s="21">
        <f t="shared" si="42"/>
        <v>0.38521980627243779</v>
      </c>
      <c r="S673" t="str">
        <f t="shared" si="43"/>
        <v>Small</v>
      </c>
    </row>
    <row r="674" spans="1:19" x14ac:dyDescent="0.35">
      <c r="A674" s="4" t="s">
        <v>1073</v>
      </c>
      <c r="B674" s="5">
        <v>45901</v>
      </c>
      <c r="C674" s="4" t="s">
        <v>829</v>
      </c>
      <c r="D674" s="4" t="s">
        <v>20</v>
      </c>
      <c r="E674" s="4" t="s">
        <v>36</v>
      </c>
      <c r="F674" s="4" t="s">
        <v>48</v>
      </c>
      <c r="G674" s="4" t="s">
        <v>38</v>
      </c>
      <c r="H674" s="4" t="s">
        <v>109</v>
      </c>
      <c r="I674" s="4">
        <v>5</v>
      </c>
      <c r="J674" s="6">
        <v>883.4</v>
      </c>
      <c r="K674" s="7">
        <v>0.2</v>
      </c>
      <c r="L674" s="6">
        <f t="shared" si="40"/>
        <v>3533.6000000000004</v>
      </c>
      <c r="M674" s="6">
        <v>770.3</v>
      </c>
      <c r="N674" s="8">
        <f t="shared" si="41"/>
        <v>-317.89999999999964</v>
      </c>
      <c r="O674" s="4" t="s">
        <v>40</v>
      </c>
      <c r="P674" s="4" t="s">
        <v>72</v>
      </c>
      <c r="Q674" s="4">
        <v>4</v>
      </c>
      <c r="R674" s="21">
        <f t="shared" si="42"/>
        <v>-8.9964908308806768E-2</v>
      </c>
      <c r="S674" t="str">
        <f t="shared" si="43"/>
        <v>Large</v>
      </c>
    </row>
    <row r="675" spans="1:19" x14ac:dyDescent="0.35">
      <c r="A675" s="4" t="s">
        <v>1074</v>
      </c>
      <c r="B675" s="5">
        <v>45901</v>
      </c>
      <c r="C675" s="4" t="s">
        <v>385</v>
      </c>
      <c r="D675" s="4" t="s">
        <v>47</v>
      </c>
      <c r="E675" s="4" t="s">
        <v>87</v>
      </c>
      <c r="F675" s="4" t="s">
        <v>88</v>
      </c>
      <c r="G675" s="4" t="s">
        <v>31</v>
      </c>
      <c r="H675" s="4" t="s">
        <v>147</v>
      </c>
      <c r="I675" s="4">
        <v>10</v>
      </c>
      <c r="J675" s="6">
        <v>91.61</v>
      </c>
      <c r="K675" s="7">
        <v>0.05</v>
      </c>
      <c r="L675" s="6">
        <f t="shared" si="40"/>
        <v>870.29499999999996</v>
      </c>
      <c r="M675" s="6">
        <v>59.5</v>
      </c>
      <c r="N675" s="8">
        <f t="shared" si="41"/>
        <v>275.29499999999996</v>
      </c>
      <c r="O675" s="4" t="s">
        <v>84</v>
      </c>
      <c r="P675" s="4" t="s">
        <v>56</v>
      </c>
      <c r="Q675" s="4">
        <v>3</v>
      </c>
      <c r="R675" s="21">
        <f t="shared" si="42"/>
        <v>0.31632377527160327</v>
      </c>
      <c r="S675" t="str">
        <f t="shared" si="43"/>
        <v>Medium</v>
      </c>
    </row>
    <row r="676" spans="1:19" x14ac:dyDescent="0.35">
      <c r="A676" s="4" t="s">
        <v>1075</v>
      </c>
      <c r="B676" s="5">
        <v>45902</v>
      </c>
      <c r="C676" s="4" t="s">
        <v>243</v>
      </c>
      <c r="D676" s="4" t="s">
        <v>43</v>
      </c>
      <c r="E676" s="4" t="s">
        <v>87</v>
      </c>
      <c r="F676" s="4" t="s">
        <v>88</v>
      </c>
      <c r="G676" s="4" t="s">
        <v>38</v>
      </c>
      <c r="H676" s="4" t="s">
        <v>109</v>
      </c>
      <c r="I676" s="4">
        <v>5</v>
      </c>
      <c r="J676" s="6">
        <v>1043.28</v>
      </c>
      <c r="K676" s="7">
        <v>0</v>
      </c>
      <c r="L676" s="6">
        <f t="shared" si="40"/>
        <v>5216.3999999999996</v>
      </c>
      <c r="M676" s="6">
        <v>872.24</v>
      </c>
      <c r="N676" s="8">
        <f t="shared" si="41"/>
        <v>855.19999999999982</v>
      </c>
      <c r="O676" s="4" t="s">
        <v>84</v>
      </c>
      <c r="P676" s="4" t="s">
        <v>72</v>
      </c>
      <c r="Q676" s="4">
        <v>4</v>
      </c>
      <c r="R676" s="21">
        <f t="shared" si="42"/>
        <v>0.16394448278506246</v>
      </c>
      <c r="S676" t="str">
        <f t="shared" si="43"/>
        <v>Large</v>
      </c>
    </row>
    <row r="677" spans="1:19" x14ac:dyDescent="0.35">
      <c r="A677" s="4" t="s">
        <v>1076</v>
      </c>
      <c r="B677" s="5">
        <v>45902</v>
      </c>
      <c r="C677" s="4" t="s">
        <v>149</v>
      </c>
      <c r="D677" s="4" t="s">
        <v>47</v>
      </c>
      <c r="E677" s="4" t="s">
        <v>36</v>
      </c>
      <c r="F677" s="4" t="s">
        <v>201</v>
      </c>
      <c r="G677" s="4" t="s">
        <v>23</v>
      </c>
      <c r="H677" s="4" t="s">
        <v>44</v>
      </c>
      <c r="I677" s="4">
        <v>1</v>
      </c>
      <c r="J677" s="6">
        <v>117.26</v>
      </c>
      <c r="K677" s="7">
        <v>0</v>
      </c>
      <c r="L677" s="6">
        <f t="shared" si="40"/>
        <v>117.26</v>
      </c>
      <c r="M677" s="6">
        <v>67.3</v>
      </c>
      <c r="N677" s="8">
        <f t="shared" si="41"/>
        <v>49.960000000000008</v>
      </c>
      <c r="O677" s="4" t="s">
        <v>25</v>
      </c>
      <c r="P677" s="4" t="s">
        <v>75</v>
      </c>
      <c r="Q677" s="4">
        <v>3</v>
      </c>
      <c r="R677" s="21">
        <f t="shared" si="42"/>
        <v>0.42606174313491391</v>
      </c>
      <c r="S677" t="str">
        <f t="shared" si="43"/>
        <v>Small</v>
      </c>
    </row>
    <row r="678" spans="1:19" x14ac:dyDescent="0.35">
      <c r="A678" s="4" t="s">
        <v>1077</v>
      </c>
      <c r="B678" s="5">
        <v>45902</v>
      </c>
      <c r="C678" s="4" t="s">
        <v>1078</v>
      </c>
      <c r="D678" s="4" t="s">
        <v>43</v>
      </c>
      <c r="E678" s="4" t="s">
        <v>21</v>
      </c>
      <c r="F678" s="4" t="s">
        <v>81</v>
      </c>
      <c r="G678" s="4" t="s">
        <v>38</v>
      </c>
      <c r="H678" s="4" t="s">
        <v>55</v>
      </c>
      <c r="I678" s="4">
        <v>1</v>
      </c>
      <c r="J678" s="6">
        <v>87.23</v>
      </c>
      <c r="K678" s="7">
        <v>0.2</v>
      </c>
      <c r="L678" s="6">
        <f t="shared" si="40"/>
        <v>69.784000000000006</v>
      </c>
      <c r="M678" s="6">
        <v>72.33</v>
      </c>
      <c r="N678" s="8">
        <f t="shared" si="41"/>
        <v>-2.5459999999999923</v>
      </c>
      <c r="O678" s="4" t="s">
        <v>25</v>
      </c>
      <c r="P678" s="4" t="s">
        <v>56</v>
      </c>
      <c r="Q678" s="4">
        <v>2</v>
      </c>
      <c r="R678" s="21">
        <f t="shared" si="42"/>
        <v>-3.6484007795483088E-2</v>
      </c>
      <c r="S678" t="str">
        <f t="shared" si="43"/>
        <v>Small</v>
      </c>
    </row>
    <row r="679" spans="1:19" x14ac:dyDescent="0.35">
      <c r="A679" s="4" t="s">
        <v>1079</v>
      </c>
      <c r="B679" s="5">
        <v>45903</v>
      </c>
      <c r="C679" s="4" t="s">
        <v>917</v>
      </c>
      <c r="D679" s="4" t="s">
        <v>20</v>
      </c>
      <c r="E679" s="4" t="s">
        <v>36</v>
      </c>
      <c r="F679" s="4" t="s">
        <v>37</v>
      </c>
      <c r="G679" s="4" t="s">
        <v>38</v>
      </c>
      <c r="H679" s="4" t="s">
        <v>39</v>
      </c>
      <c r="I679" s="4">
        <v>5</v>
      </c>
      <c r="J679" s="6">
        <v>365.07</v>
      </c>
      <c r="K679" s="7">
        <v>0.1</v>
      </c>
      <c r="L679" s="6">
        <f t="shared" si="40"/>
        <v>1642.8150000000001</v>
      </c>
      <c r="M679" s="6">
        <v>321.43</v>
      </c>
      <c r="N679" s="8">
        <f t="shared" si="41"/>
        <v>35.664999999999964</v>
      </c>
      <c r="O679" s="4" t="s">
        <v>51</v>
      </c>
      <c r="P679" s="4" t="s">
        <v>118</v>
      </c>
      <c r="Q679" s="4">
        <v>3</v>
      </c>
      <c r="R679" s="21">
        <f t="shared" si="42"/>
        <v>2.1709687335457712E-2</v>
      </c>
      <c r="S679" t="str">
        <f t="shared" si="43"/>
        <v>Medium</v>
      </c>
    </row>
    <row r="680" spans="1:19" x14ac:dyDescent="0.35">
      <c r="A680" s="4" t="s">
        <v>1080</v>
      </c>
      <c r="B680" s="5">
        <v>45904</v>
      </c>
      <c r="C680" s="4" t="s">
        <v>200</v>
      </c>
      <c r="D680" s="4" t="s">
        <v>47</v>
      </c>
      <c r="E680" s="4" t="s">
        <v>21</v>
      </c>
      <c r="F680" s="4" t="s">
        <v>22</v>
      </c>
      <c r="G680" s="4" t="s">
        <v>67</v>
      </c>
      <c r="H680" s="4" t="s">
        <v>68</v>
      </c>
      <c r="I680" s="4">
        <v>3</v>
      </c>
      <c r="J680" s="6">
        <v>378.51</v>
      </c>
      <c r="K680" s="7">
        <v>0.15</v>
      </c>
      <c r="L680" s="6">
        <f t="shared" si="40"/>
        <v>965.20049999999992</v>
      </c>
      <c r="M680" s="6">
        <v>294.76</v>
      </c>
      <c r="N680" s="8">
        <f t="shared" si="41"/>
        <v>80.920499999999947</v>
      </c>
      <c r="O680" s="4" t="s">
        <v>84</v>
      </c>
      <c r="P680" s="4" t="s">
        <v>26</v>
      </c>
      <c r="Q680" s="4">
        <v>5</v>
      </c>
      <c r="R680" s="21">
        <f t="shared" si="42"/>
        <v>8.3838021219425352E-2</v>
      </c>
      <c r="S680" t="str">
        <f t="shared" si="43"/>
        <v>Medium</v>
      </c>
    </row>
    <row r="681" spans="1:19" x14ac:dyDescent="0.35">
      <c r="A681" s="4" t="s">
        <v>1081</v>
      </c>
      <c r="B681" s="5">
        <v>45905</v>
      </c>
      <c r="C681" s="4" t="s">
        <v>219</v>
      </c>
      <c r="D681" s="4" t="s">
        <v>47</v>
      </c>
      <c r="E681" s="4" t="s">
        <v>29</v>
      </c>
      <c r="F681" s="4" t="s">
        <v>54</v>
      </c>
      <c r="G681" s="4" t="s">
        <v>38</v>
      </c>
      <c r="H681" s="4" t="s">
        <v>39</v>
      </c>
      <c r="I681" s="4">
        <v>2</v>
      </c>
      <c r="J681" s="6">
        <v>309.02999999999997</v>
      </c>
      <c r="K681" s="7">
        <v>0</v>
      </c>
      <c r="L681" s="6">
        <f t="shared" si="40"/>
        <v>618.05999999999995</v>
      </c>
      <c r="M681" s="6">
        <v>264.14999999999998</v>
      </c>
      <c r="N681" s="8">
        <f t="shared" si="41"/>
        <v>89.759999999999991</v>
      </c>
      <c r="O681" s="4" t="s">
        <v>40</v>
      </c>
      <c r="P681" s="4" t="s">
        <v>33</v>
      </c>
      <c r="Q681" s="4">
        <v>5</v>
      </c>
      <c r="R681" s="21">
        <f t="shared" si="42"/>
        <v>0.14522861858072031</v>
      </c>
      <c r="S681" t="str">
        <f t="shared" si="43"/>
        <v>Medium</v>
      </c>
    </row>
    <row r="682" spans="1:19" x14ac:dyDescent="0.35">
      <c r="A682" s="4" t="s">
        <v>1082</v>
      </c>
      <c r="B682" s="5">
        <v>45905</v>
      </c>
      <c r="C682" s="4" t="s">
        <v>880</v>
      </c>
      <c r="D682" s="4" t="s">
        <v>47</v>
      </c>
      <c r="E682" s="4" t="s">
        <v>21</v>
      </c>
      <c r="F682" s="4" t="s">
        <v>81</v>
      </c>
      <c r="G682" s="4" t="s">
        <v>31</v>
      </c>
      <c r="H682" s="4" t="s">
        <v>64</v>
      </c>
      <c r="I682" s="4">
        <v>1</v>
      </c>
      <c r="J682" s="6">
        <v>227.93</v>
      </c>
      <c r="K682" s="7">
        <v>0.05</v>
      </c>
      <c r="L682" s="6">
        <f t="shared" si="40"/>
        <v>216.5335</v>
      </c>
      <c r="M682" s="6">
        <v>150.5</v>
      </c>
      <c r="N682" s="8">
        <f t="shared" si="41"/>
        <v>66.033500000000004</v>
      </c>
      <c r="O682" s="4" t="s">
        <v>84</v>
      </c>
      <c r="P682" s="4" t="s">
        <v>33</v>
      </c>
      <c r="Q682" s="4">
        <v>4</v>
      </c>
      <c r="R682" s="21">
        <f t="shared" si="42"/>
        <v>0.30495743152907057</v>
      </c>
      <c r="S682" t="str">
        <f t="shared" si="43"/>
        <v>Small</v>
      </c>
    </row>
    <row r="683" spans="1:19" x14ac:dyDescent="0.35">
      <c r="A683" s="4" t="s">
        <v>1083</v>
      </c>
      <c r="B683" s="5">
        <v>45906</v>
      </c>
      <c r="C683" s="4" t="s">
        <v>726</v>
      </c>
      <c r="D683" s="4" t="s">
        <v>20</v>
      </c>
      <c r="E683" s="4" t="s">
        <v>87</v>
      </c>
      <c r="F683" s="4" t="s">
        <v>124</v>
      </c>
      <c r="G683" s="4" t="s">
        <v>38</v>
      </c>
      <c r="H683" s="4" t="s">
        <v>89</v>
      </c>
      <c r="I683" s="4">
        <v>5</v>
      </c>
      <c r="J683" s="6">
        <v>1366.85</v>
      </c>
      <c r="K683" s="7">
        <v>0.05</v>
      </c>
      <c r="L683" s="6">
        <f t="shared" si="40"/>
        <v>6492.5374999999995</v>
      </c>
      <c r="M683" s="6">
        <v>1217.7</v>
      </c>
      <c r="N683" s="8">
        <f t="shared" si="41"/>
        <v>404.03749999999945</v>
      </c>
      <c r="O683" s="4" t="s">
        <v>60</v>
      </c>
      <c r="P683" s="4" t="s">
        <v>61</v>
      </c>
      <c r="Q683" s="4">
        <v>4</v>
      </c>
      <c r="R683" s="21">
        <f t="shared" si="42"/>
        <v>6.2231061430141836E-2</v>
      </c>
      <c r="S683" t="str">
        <f t="shared" si="43"/>
        <v>Large</v>
      </c>
    </row>
    <row r="684" spans="1:19" x14ac:dyDescent="0.35">
      <c r="A684" s="4" t="s">
        <v>1084</v>
      </c>
      <c r="B684" s="5">
        <v>45906</v>
      </c>
      <c r="C684" s="4" t="s">
        <v>450</v>
      </c>
      <c r="D684" s="4" t="s">
        <v>47</v>
      </c>
      <c r="E684" s="4" t="s">
        <v>87</v>
      </c>
      <c r="F684" s="4" t="s">
        <v>88</v>
      </c>
      <c r="G684" s="4" t="s">
        <v>23</v>
      </c>
      <c r="H684" s="4" t="s">
        <v>44</v>
      </c>
      <c r="I684" s="4">
        <v>1</v>
      </c>
      <c r="J684" s="6">
        <v>88.1</v>
      </c>
      <c r="K684" s="7">
        <v>0</v>
      </c>
      <c r="L684" s="6">
        <f t="shared" si="40"/>
        <v>88.1</v>
      </c>
      <c r="M684" s="6">
        <v>51.29</v>
      </c>
      <c r="N684" s="8">
        <f t="shared" si="41"/>
        <v>36.809999999999995</v>
      </c>
      <c r="O684" s="4" t="s">
        <v>51</v>
      </c>
      <c r="P684" s="4" t="s">
        <v>26</v>
      </c>
      <c r="Q684" s="4">
        <v>4</v>
      </c>
      <c r="R684" s="21">
        <f t="shared" si="42"/>
        <v>0.41782065834279225</v>
      </c>
      <c r="S684" t="str">
        <f t="shared" si="43"/>
        <v>Small</v>
      </c>
    </row>
    <row r="685" spans="1:19" x14ac:dyDescent="0.35">
      <c r="A685" s="4" t="s">
        <v>1085</v>
      </c>
      <c r="B685" s="5">
        <v>45906</v>
      </c>
      <c r="C685" s="4" t="s">
        <v>465</v>
      </c>
      <c r="D685" s="4" t="s">
        <v>47</v>
      </c>
      <c r="E685" s="4" t="s">
        <v>36</v>
      </c>
      <c r="F685" s="4" t="s">
        <v>37</v>
      </c>
      <c r="G685" s="4" t="s">
        <v>31</v>
      </c>
      <c r="H685" s="4" t="s">
        <v>64</v>
      </c>
      <c r="I685" s="4">
        <v>1</v>
      </c>
      <c r="J685" s="6">
        <v>103.72</v>
      </c>
      <c r="K685" s="7">
        <v>0</v>
      </c>
      <c r="L685" s="6">
        <f t="shared" si="40"/>
        <v>103.72</v>
      </c>
      <c r="M685" s="6">
        <v>73.22</v>
      </c>
      <c r="N685" s="8">
        <f t="shared" si="41"/>
        <v>30.5</v>
      </c>
      <c r="O685" s="4" t="s">
        <v>25</v>
      </c>
      <c r="P685" s="4" t="s">
        <v>75</v>
      </c>
      <c r="Q685" s="4">
        <v>4</v>
      </c>
      <c r="R685" s="21">
        <f t="shared" si="42"/>
        <v>0.29406093328191285</v>
      </c>
      <c r="S685" t="str">
        <f t="shared" si="43"/>
        <v>Small</v>
      </c>
    </row>
    <row r="686" spans="1:19" x14ac:dyDescent="0.35">
      <c r="A686" s="4" t="s">
        <v>1086</v>
      </c>
      <c r="B686" s="5">
        <v>45906</v>
      </c>
      <c r="C686" s="4" t="s">
        <v>694</v>
      </c>
      <c r="D686" s="4" t="s">
        <v>20</v>
      </c>
      <c r="E686" s="4" t="s">
        <v>21</v>
      </c>
      <c r="F686" s="4" t="s">
        <v>59</v>
      </c>
      <c r="G686" s="4" t="s">
        <v>49</v>
      </c>
      <c r="H686" s="4" t="s">
        <v>78</v>
      </c>
      <c r="I686" s="4">
        <v>10</v>
      </c>
      <c r="J686" s="6">
        <v>752.71</v>
      </c>
      <c r="K686" s="7">
        <v>0.2</v>
      </c>
      <c r="L686" s="6">
        <f t="shared" si="40"/>
        <v>6021.68</v>
      </c>
      <c r="M686" s="6">
        <v>523.82000000000005</v>
      </c>
      <c r="N686" s="8">
        <f t="shared" si="41"/>
        <v>783.47999999999956</v>
      </c>
      <c r="O686" s="4" t="s">
        <v>60</v>
      </c>
      <c r="P686" s="4" t="s">
        <v>75</v>
      </c>
      <c r="Q686" s="4">
        <v>4</v>
      </c>
      <c r="R686" s="21">
        <f t="shared" si="42"/>
        <v>0.13010986967092233</v>
      </c>
      <c r="S686" t="str">
        <f t="shared" si="43"/>
        <v>Large</v>
      </c>
    </row>
    <row r="687" spans="1:19" x14ac:dyDescent="0.35">
      <c r="A687" s="4" t="s">
        <v>1087</v>
      </c>
      <c r="B687" s="5">
        <v>45906</v>
      </c>
      <c r="C687" s="4" t="s">
        <v>719</v>
      </c>
      <c r="D687" s="4" t="s">
        <v>43</v>
      </c>
      <c r="E687" s="4" t="s">
        <v>36</v>
      </c>
      <c r="F687" s="4" t="s">
        <v>37</v>
      </c>
      <c r="G687" s="4" t="s">
        <v>23</v>
      </c>
      <c r="H687" s="4" t="s">
        <v>71</v>
      </c>
      <c r="I687" s="4">
        <v>1</v>
      </c>
      <c r="J687" s="6">
        <v>101.8</v>
      </c>
      <c r="K687" s="7">
        <v>0.15</v>
      </c>
      <c r="L687" s="6">
        <f t="shared" si="40"/>
        <v>86.53</v>
      </c>
      <c r="M687" s="6">
        <v>42.08</v>
      </c>
      <c r="N687" s="8">
        <f t="shared" si="41"/>
        <v>44.45</v>
      </c>
      <c r="O687" s="4" t="s">
        <v>60</v>
      </c>
      <c r="P687" s="4" t="s">
        <v>75</v>
      </c>
      <c r="Q687" s="4">
        <v>5</v>
      </c>
      <c r="R687" s="21">
        <f t="shared" si="42"/>
        <v>0.51369467236796484</v>
      </c>
      <c r="S687" t="str">
        <f t="shared" si="43"/>
        <v>Small</v>
      </c>
    </row>
    <row r="688" spans="1:19" x14ac:dyDescent="0.35">
      <c r="A688" s="4" t="s">
        <v>1088</v>
      </c>
      <c r="B688" s="5">
        <v>45907</v>
      </c>
      <c r="C688" s="4" t="s">
        <v>235</v>
      </c>
      <c r="D688" s="4" t="s">
        <v>43</v>
      </c>
      <c r="E688" s="4" t="s">
        <v>21</v>
      </c>
      <c r="F688" s="4" t="s">
        <v>59</v>
      </c>
      <c r="G688" s="4" t="s">
        <v>38</v>
      </c>
      <c r="H688" s="4" t="s">
        <v>55</v>
      </c>
      <c r="I688" s="4">
        <v>4</v>
      </c>
      <c r="J688" s="6">
        <v>77.72</v>
      </c>
      <c r="K688" s="7">
        <v>0</v>
      </c>
      <c r="L688" s="6">
        <f t="shared" si="40"/>
        <v>310.88</v>
      </c>
      <c r="M688" s="6">
        <v>58.62</v>
      </c>
      <c r="N688" s="8">
        <f t="shared" si="41"/>
        <v>76.400000000000006</v>
      </c>
      <c r="O688" s="4" t="s">
        <v>51</v>
      </c>
      <c r="P688" s="4" t="s">
        <v>72</v>
      </c>
      <c r="Q688" s="4">
        <v>5</v>
      </c>
      <c r="R688" s="21">
        <f t="shared" si="42"/>
        <v>0.24575398867730316</v>
      </c>
      <c r="S688" t="str">
        <f t="shared" si="43"/>
        <v>Small</v>
      </c>
    </row>
    <row r="689" spans="1:19" x14ac:dyDescent="0.35">
      <c r="A689" s="4" t="s">
        <v>1089</v>
      </c>
      <c r="B689" s="5">
        <v>45907</v>
      </c>
      <c r="C689" s="4" t="s">
        <v>205</v>
      </c>
      <c r="D689" s="4" t="s">
        <v>43</v>
      </c>
      <c r="E689" s="4" t="s">
        <v>29</v>
      </c>
      <c r="F689" s="4" t="s">
        <v>54</v>
      </c>
      <c r="G689" s="4" t="s">
        <v>38</v>
      </c>
      <c r="H689" s="4" t="s">
        <v>55</v>
      </c>
      <c r="I689" s="4">
        <v>2</v>
      </c>
      <c r="J689" s="6">
        <v>85.06</v>
      </c>
      <c r="K689" s="7">
        <v>0.1</v>
      </c>
      <c r="L689" s="6">
        <f t="shared" si="40"/>
        <v>153.108</v>
      </c>
      <c r="M689" s="6">
        <v>68.52</v>
      </c>
      <c r="N689" s="8">
        <f t="shared" si="41"/>
        <v>16.068000000000012</v>
      </c>
      <c r="O689" s="4" t="s">
        <v>84</v>
      </c>
      <c r="P689" s="4" t="s">
        <v>26</v>
      </c>
      <c r="Q689" s="4">
        <v>2</v>
      </c>
      <c r="R689" s="21">
        <f t="shared" si="42"/>
        <v>0.10494552864644573</v>
      </c>
      <c r="S689" t="str">
        <f t="shared" si="43"/>
        <v>Small</v>
      </c>
    </row>
    <row r="690" spans="1:19" x14ac:dyDescent="0.35">
      <c r="A690" s="4" t="s">
        <v>1090</v>
      </c>
      <c r="B690" s="5">
        <v>45907</v>
      </c>
      <c r="C690" s="4" t="s">
        <v>146</v>
      </c>
      <c r="D690" s="4" t="s">
        <v>47</v>
      </c>
      <c r="E690" s="4" t="s">
        <v>29</v>
      </c>
      <c r="F690" s="4" t="s">
        <v>108</v>
      </c>
      <c r="G690" s="4" t="s">
        <v>38</v>
      </c>
      <c r="H690" s="4" t="s">
        <v>109</v>
      </c>
      <c r="I690" s="4">
        <v>1</v>
      </c>
      <c r="J690" s="6">
        <v>952.48</v>
      </c>
      <c r="K690" s="7">
        <v>0</v>
      </c>
      <c r="L690" s="6">
        <f t="shared" si="40"/>
        <v>952.48</v>
      </c>
      <c r="M690" s="6">
        <v>832.07</v>
      </c>
      <c r="N690" s="8">
        <f t="shared" si="41"/>
        <v>120.40999999999997</v>
      </c>
      <c r="O690" s="4" t="s">
        <v>84</v>
      </c>
      <c r="P690" s="4" t="s">
        <v>97</v>
      </c>
      <c r="Q690" s="4">
        <v>4</v>
      </c>
      <c r="R690" s="21">
        <f t="shared" si="42"/>
        <v>0.12641735259533005</v>
      </c>
      <c r="S690" t="str">
        <f t="shared" si="43"/>
        <v>Medium</v>
      </c>
    </row>
    <row r="691" spans="1:19" x14ac:dyDescent="0.35">
      <c r="A691" s="4" t="s">
        <v>1091</v>
      </c>
      <c r="B691" s="5">
        <v>45908</v>
      </c>
      <c r="C691" s="4" t="s">
        <v>515</v>
      </c>
      <c r="D691" s="4" t="s">
        <v>47</v>
      </c>
      <c r="E691" s="4" t="s">
        <v>29</v>
      </c>
      <c r="F691" s="4" t="s">
        <v>54</v>
      </c>
      <c r="G691" s="4" t="s">
        <v>38</v>
      </c>
      <c r="H691" s="4" t="s">
        <v>109</v>
      </c>
      <c r="I691" s="4">
        <v>4</v>
      </c>
      <c r="J691" s="6">
        <v>357.64</v>
      </c>
      <c r="K691" s="7">
        <v>0</v>
      </c>
      <c r="L691" s="6">
        <f t="shared" si="40"/>
        <v>1430.56</v>
      </c>
      <c r="M691" s="6">
        <v>308.72000000000003</v>
      </c>
      <c r="N691" s="8">
        <f t="shared" si="41"/>
        <v>195.67999999999984</v>
      </c>
      <c r="O691" s="4" t="s">
        <v>51</v>
      </c>
      <c r="P691" s="4" t="s">
        <v>56</v>
      </c>
      <c r="Q691" s="4">
        <v>4</v>
      </c>
      <c r="R691" s="21">
        <f t="shared" si="42"/>
        <v>0.13678559445252197</v>
      </c>
      <c r="S691" t="str">
        <f t="shared" si="43"/>
        <v>Medium</v>
      </c>
    </row>
    <row r="692" spans="1:19" x14ac:dyDescent="0.35">
      <c r="A692" s="4" t="s">
        <v>1092</v>
      </c>
      <c r="B692" s="5">
        <v>45908</v>
      </c>
      <c r="C692" s="4" t="s">
        <v>1093</v>
      </c>
      <c r="D692" s="4" t="s">
        <v>20</v>
      </c>
      <c r="E692" s="4" t="s">
        <v>21</v>
      </c>
      <c r="F692" s="4" t="s">
        <v>22</v>
      </c>
      <c r="G692" s="4" t="s">
        <v>38</v>
      </c>
      <c r="H692" s="4" t="s">
        <v>89</v>
      </c>
      <c r="I692" s="4">
        <v>1</v>
      </c>
      <c r="J692" s="6">
        <v>1222.58</v>
      </c>
      <c r="K692" s="7">
        <v>0</v>
      </c>
      <c r="L692" s="6">
        <f t="shared" si="40"/>
        <v>1222.58</v>
      </c>
      <c r="M692" s="6">
        <v>982.13</v>
      </c>
      <c r="N692" s="8">
        <f t="shared" si="41"/>
        <v>240.44999999999993</v>
      </c>
      <c r="O692" s="4" t="s">
        <v>51</v>
      </c>
      <c r="P692" s="4" t="s">
        <v>75</v>
      </c>
      <c r="Q692" s="4">
        <v>5</v>
      </c>
      <c r="R692" s="21">
        <f t="shared" si="42"/>
        <v>0.19667424626609298</v>
      </c>
      <c r="S692" t="str">
        <f t="shared" si="43"/>
        <v>Medium</v>
      </c>
    </row>
    <row r="693" spans="1:19" x14ac:dyDescent="0.35">
      <c r="A693" s="4" t="s">
        <v>1094</v>
      </c>
      <c r="B693" s="5">
        <v>45908</v>
      </c>
      <c r="C693" s="4" t="s">
        <v>1095</v>
      </c>
      <c r="D693" s="4" t="s">
        <v>47</v>
      </c>
      <c r="E693" s="4" t="s">
        <v>21</v>
      </c>
      <c r="F693" s="4" t="s">
        <v>22</v>
      </c>
      <c r="G693" s="4" t="s">
        <v>38</v>
      </c>
      <c r="H693" s="4" t="s">
        <v>89</v>
      </c>
      <c r="I693" s="4">
        <v>1</v>
      </c>
      <c r="J693" s="6">
        <v>1056.78</v>
      </c>
      <c r="K693" s="7">
        <v>0.1</v>
      </c>
      <c r="L693" s="6">
        <f t="shared" si="40"/>
        <v>951.10199999999998</v>
      </c>
      <c r="M693" s="6">
        <v>821.39</v>
      </c>
      <c r="N693" s="8">
        <f t="shared" si="41"/>
        <v>129.71199999999999</v>
      </c>
      <c r="O693" s="4" t="s">
        <v>25</v>
      </c>
      <c r="P693" s="4" t="s">
        <v>118</v>
      </c>
      <c r="Q693" s="4">
        <v>4</v>
      </c>
      <c r="R693" s="21">
        <f t="shared" si="42"/>
        <v>0.13638074570340508</v>
      </c>
      <c r="S693" t="str">
        <f t="shared" si="43"/>
        <v>Medium</v>
      </c>
    </row>
    <row r="694" spans="1:19" x14ac:dyDescent="0.35">
      <c r="A694" s="4" t="s">
        <v>1096</v>
      </c>
      <c r="B694" s="5">
        <v>45908</v>
      </c>
      <c r="C694" s="4" t="s">
        <v>105</v>
      </c>
      <c r="D694" s="4" t="s">
        <v>47</v>
      </c>
      <c r="E694" s="4" t="s">
        <v>21</v>
      </c>
      <c r="F694" s="4" t="s">
        <v>22</v>
      </c>
      <c r="G694" s="4" t="s">
        <v>38</v>
      </c>
      <c r="H694" s="4" t="s">
        <v>39</v>
      </c>
      <c r="I694" s="4">
        <v>5</v>
      </c>
      <c r="J694" s="6">
        <v>336.06</v>
      </c>
      <c r="K694" s="7">
        <v>0</v>
      </c>
      <c r="L694" s="6">
        <f t="shared" si="40"/>
        <v>1680.3</v>
      </c>
      <c r="M694" s="6">
        <v>270.82</v>
      </c>
      <c r="N694" s="8">
        <f t="shared" si="41"/>
        <v>326.20000000000005</v>
      </c>
      <c r="O694" s="4" t="s">
        <v>51</v>
      </c>
      <c r="P694" s="4" t="s">
        <v>97</v>
      </c>
      <c r="Q694" s="4">
        <v>3</v>
      </c>
      <c r="R694" s="21">
        <f t="shared" si="42"/>
        <v>0.19413200023805277</v>
      </c>
      <c r="S694" t="str">
        <f t="shared" si="43"/>
        <v>Medium</v>
      </c>
    </row>
    <row r="695" spans="1:19" x14ac:dyDescent="0.35">
      <c r="A695" s="4" t="s">
        <v>1097</v>
      </c>
      <c r="B695" s="5">
        <v>45909</v>
      </c>
      <c r="C695" s="4" t="s">
        <v>518</v>
      </c>
      <c r="D695" s="4" t="s">
        <v>43</v>
      </c>
      <c r="E695" s="4" t="s">
        <v>36</v>
      </c>
      <c r="F695" s="4" t="s">
        <v>37</v>
      </c>
      <c r="G695" s="4" t="s">
        <v>49</v>
      </c>
      <c r="H695" s="4" t="s">
        <v>50</v>
      </c>
      <c r="I695" s="4">
        <v>1</v>
      </c>
      <c r="J695" s="6">
        <v>20.61</v>
      </c>
      <c r="K695" s="7">
        <v>0.2</v>
      </c>
      <c r="L695" s="6">
        <f t="shared" si="40"/>
        <v>16.488</v>
      </c>
      <c r="M695" s="6">
        <v>13.87</v>
      </c>
      <c r="N695" s="8">
        <f t="shared" si="41"/>
        <v>2.6180000000000003</v>
      </c>
      <c r="O695" s="4" t="s">
        <v>60</v>
      </c>
      <c r="P695" s="4" t="s">
        <v>26</v>
      </c>
      <c r="Q695" s="4">
        <v>3</v>
      </c>
      <c r="R695" s="21">
        <f t="shared" si="42"/>
        <v>0.15878214459000486</v>
      </c>
      <c r="S695" t="str">
        <f t="shared" si="43"/>
        <v>Small</v>
      </c>
    </row>
    <row r="696" spans="1:19" x14ac:dyDescent="0.35">
      <c r="A696" s="4" t="s">
        <v>1098</v>
      </c>
      <c r="B696" s="5">
        <v>45909</v>
      </c>
      <c r="C696" s="4" t="s">
        <v>139</v>
      </c>
      <c r="D696" s="4" t="s">
        <v>47</v>
      </c>
      <c r="E696" s="4" t="s">
        <v>21</v>
      </c>
      <c r="F696" s="4" t="s">
        <v>59</v>
      </c>
      <c r="G696" s="4" t="s">
        <v>38</v>
      </c>
      <c r="H696" s="4" t="s">
        <v>89</v>
      </c>
      <c r="I696" s="4">
        <v>2</v>
      </c>
      <c r="J696" s="6">
        <v>1367.35</v>
      </c>
      <c r="K696" s="7">
        <v>0</v>
      </c>
      <c r="L696" s="6">
        <f t="shared" si="40"/>
        <v>2734.7</v>
      </c>
      <c r="M696" s="6">
        <v>1172.81</v>
      </c>
      <c r="N696" s="8">
        <f t="shared" si="41"/>
        <v>389.07999999999993</v>
      </c>
      <c r="O696" s="4" t="s">
        <v>51</v>
      </c>
      <c r="P696" s="4" t="s">
        <v>61</v>
      </c>
      <c r="Q696" s="4">
        <v>3</v>
      </c>
      <c r="R696" s="21">
        <f t="shared" si="42"/>
        <v>0.14227520386148387</v>
      </c>
      <c r="S696" t="str">
        <f t="shared" si="43"/>
        <v>Large</v>
      </c>
    </row>
    <row r="697" spans="1:19" x14ac:dyDescent="0.35">
      <c r="A697" s="4" t="s">
        <v>1099</v>
      </c>
      <c r="B697" s="5">
        <v>45909</v>
      </c>
      <c r="C697" s="4" t="s">
        <v>631</v>
      </c>
      <c r="D697" s="4" t="s">
        <v>43</v>
      </c>
      <c r="E697" s="4" t="s">
        <v>36</v>
      </c>
      <c r="F697" s="4" t="s">
        <v>37</v>
      </c>
      <c r="G697" s="4" t="s">
        <v>23</v>
      </c>
      <c r="H697" s="4" t="s">
        <v>24</v>
      </c>
      <c r="I697" s="4">
        <v>5</v>
      </c>
      <c r="J697" s="6">
        <v>69.16</v>
      </c>
      <c r="K697" s="7">
        <v>0</v>
      </c>
      <c r="L697" s="6">
        <f t="shared" si="40"/>
        <v>345.79999999999995</v>
      </c>
      <c r="M697" s="6">
        <v>42.36</v>
      </c>
      <c r="N697" s="8">
        <f t="shared" si="41"/>
        <v>133.99999999999994</v>
      </c>
      <c r="O697" s="4" t="s">
        <v>40</v>
      </c>
      <c r="P697" s="4" t="s">
        <v>118</v>
      </c>
      <c r="Q697" s="4">
        <v>5</v>
      </c>
      <c r="R697" s="21">
        <f t="shared" si="42"/>
        <v>0.38750722961249268</v>
      </c>
      <c r="S697" t="str">
        <f t="shared" si="43"/>
        <v>Small</v>
      </c>
    </row>
    <row r="698" spans="1:19" x14ac:dyDescent="0.35">
      <c r="A698" s="4" t="s">
        <v>1100</v>
      </c>
      <c r="B698" s="5">
        <v>45910</v>
      </c>
      <c r="C698" s="4" t="s">
        <v>264</v>
      </c>
      <c r="D698" s="4" t="s">
        <v>20</v>
      </c>
      <c r="E698" s="4" t="s">
        <v>87</v>
      </c>
      <c r="F698" s="4" t="s">
        <v>124</v>
      </c>
      <c r="G698" s="4" t="s">
        <v>31</v>
      </c>
      <c r="H698" s="4" t="s">
        <v>147</v>
      </c>
      <c r="I698" s="4">
        <v>1</v>
      </c>
      <c r="J698" s="6">
        <v>99.94</v>
      </c>
      <c r="K698" s="7">
        <v>0</v>
      </c>
      <c r="L698" s="6">
        <f t="shared" si="40"/>
        <v>99.94</v>
      </c>
      <c r="M698" s="6">
        <v>57.73</v>
      </c>
      <c r="N698" s="8">
        <f t="shared" si="41"/>
        <v>42.21</v>
      </c>
      <c r="O698" s="4" t="s">
        <v>40</v>
      </c>
      <c r="P698" s="4" t="s">
        <v>56</v>
      </c>
      <c r="Q698" s="4">
        <v>2</v>
      </c>
      <c r="R698" s="21">
        <f t="shared" si="42"/>
        <v>0.42235341204722837</v>
      </c>
      <c r="S698" t="str">
        <f t="shared" si="43"/>
        <v>Small</v>
      </c>
    </row>
    <row r="699" spans="1:19" x14ac:dyDescent="0.35">
      <c r="A699" s="4" t="s">
        <v>1101</v>
      </c>
      <c r="B699" s="5">
        <v>45911</v>
      </c>
      <c r="C699" s="4" t="s">
        <v>869</v>
      </c>
      <c r="D699" s="4" t="s">
        <v>43</v>
      </c>
      <c r="E699" s="4" t="s">
        <v>87</v>
      </c>
      <c r="F699" s="4" t="s">
        <v>88</v>
      </c>
      <c r="G699" s="4" t="s">
        <v>23</v>
      </c>
      <c r="H699" s="4" t="s">
        <v>71</v>
      </c>
      <c r="I699" s="4">
        <v>4</v>
      </c>
      <c r="J699" s="6">
        <v>70.319999999999993</v>
      </c>
      <c r="K699" s="7">
        <v>0</v>
      </c>
      <c r="L699" s="6">
        <f t="shared" si="40"/>
        <v>281.27999999999997</v>
      </c>
      <c r="M699" s="6">
        <v>40.03</v>
      </c>
      <c r="N699" s="8">
        <f t="shared" si="41"/>
        <v>121.15999999999997</v>
      </c>
      <c r="O699" s="4" t="s">
        <v>40</v>
      </c>
      <c r="P699" s="4" t="s">
        <v>97</v>
      </c>
      <c r="Q699" s="4">
        <v>4</v>
      </c>
      <c r="R699" s="21">
        <f t="shared" si="42"/>
        <v>0.43074516496018195</v>
      </c>
      <c r="S699" t="str">
        <f t="shared" si="43"/>
        <v>Small</v>
      </c>
    </row>
    <row r="700" spans="1:19" x14ac:dyDescent="0.35">
      <c r="A700" s="4" t="s">
        <v>1102</v>
      </c>
      <c r="B700" s="5">
        <v>45911</v>
      </c>
      <c r="C700" s="4" t="s">
        <v>465</v>
      </c>
      <c r="D700" s="4" t="s">
        <v>43</v>
      </c>
      <c r="E700" s="4" t="s">
        <v>87</v>
      </c>
      <c r="F700" s="4" t="s">
        <v>92</v>
      </c>
      <c r="G700" s="4" t="s">
        <v>23</v>
      </c>
      <c r="H700" s="4" t="s">
        <v>24</v>
      </c>
      <c r="I700" s="4">
        <v>2</v>
      </c>
      <c r="J700" s="6">
        <v>77.14</v>
      </c>
      <c r="K700" s="7">
        <v>0.05</v>
      </c>
      <c r="L700" s="6">
        <f t="shared" si="40"/>
        <v>146.566</v>
      </c>
      <c r="M700" s="6">
        <v>37.53</v>
      </c>
      <c r="N700" s="8">
        <f t="shared" si="41"/>
        <v>71.506</v>
      </c>
      <c r="O700" s="4" t="s">
        <v>51</v>
      </c>
      <c r="P700" s="4" t="s">
        <v>72</v>
      </c>
      <c r="Q700" s="4">
        <v>4</v>
      </c>
      <c r="R700" s="21">
        <f t="shared" si="42"/>
        <v>0.48787576927800447</v>
      </c>
      <c r="S700" t="str">
        <f t="shared" si="43"/>
        <v>Small</v>
      </c>
    </row>
    <row r="701" spans="1:19" x14ac:dyDescent="0.35">
      <c r="A701" s="4" t="s">
        <v>1103</v>
      </c>
      <c r="B701" s="5">
        <v>45913</v>
      </c>
      <c r="C701" s="4" t="s">
        <v>995</v>
      </c>
      <c r="D701" s="4" t="s">
        <v>47</v>
      </c>
      <c r="E701" s="4" t="s">
        <v>87</v>
      </c>
      <c r="F701" s="4" t="s">
        <v>124</v>
      </c>
      <c r="G701" s="4" t="s">
        <v>23</v>
      </c>
      <c r="H701" s="4" t="s">
        <v>44</v>
      </c>
      <c r="I701" s="4">
        <v>1</v>
      </c>
      <c r="J701" s="6">
        <v>103.23</v>
      </c>
      <c r="K701" s="7">
        <v>0</v>
      </c>
      <c r="L701" s="6">
        <f t="shared" si="40"/>
        <v>103.23</v>
      </c>
      <c r="M701" s="6">
        <v>47.06</v>
      </c>
      <c r="N701" s="8">
        <f t="shared" si="41"/>
        <v>56.17</v>
      </c>
      <c r="O701" s="4" t="s">
        <v>25</v>
      </c>
      <c r="P701" s="4" t="s">
        <v>26</v>
      </c>
      <c r="Q701" s="4">
        <v>5</v>
      </c>
      <c r="R701" s="21">
        <f t="shared" si="42"/>
        <v>0.5441247699312215</v>
      </c>
      <c r="S701" t="str">
        <f t="shared" si="43"/>
        <v>Small</v>
      </c>
    </row>
    <row r="702" spans="1:19" x14ac:dyDescent="0.35">
      <c r="A702" s="4" t="s">
        <v>1104</v>
      </c>
      <c r="B702" s="5">
        <v>45914</v>
      </c>
      <c r="C702" s="4" t="s">
        <v>303</v>
      </c>
      <c r="D702" s="4" t="s">
        <v>43</v>
      </c>
      <c r="E702" s="4" t="s">
        <v>87</v>
      </c>
      <c r="F702" s="4" t="s">
        <v>92</v>
      </c>
      <c r="G702" s="4" t="s">
        <v>49</v>
      </c>
      <c r="H702" s="4" t="s">
        <v>50</v>
      </c>
      <c r="I702" s="4">
        <v>2</v>
      </c>
      <c r="J702" s="6">
        <v>46.63</v>
      </c>
      <c r="K702" s="7">
        <v>0.15</v>
      </c>
      <c r="L702" s="6">
        <f t="shared" si="40"/>
        <v>79.271000000000001</v>
      </c>
      <c r="M702" s="6">
        <v>31.61</v>
      </c>
      <c r="N702" s="8">
        <f t="shared" si="41"/>
        <v>16.051000000000002</v>
      </c>
      <c r="O702" s="4" t="s">
        <v>84</v>
      </c>
      <c r="P702" s="4" t="s">
        <v>72</v>
      </c>
      <c r="Q702" s="4">
        <v>5</v>
      </c>
      <c r="R702" s="21">
        <f t="shared" si="42"/>
        <v>0.2024826229011871</v>
      </c>
      <c r="S702" t="str">
        <f t="shared" si="43"/>
        <v>Small</v>
      </c>
    </row>
    <row r="703" spans="1:19" x14ac:dyDescent="0.35">
      <c r="A703" s="4" t="s">
        <v>1105</v>
      </c>
      <c r="B703" s="5">
        <v>45915</v>
      </c>
      <c r="C703" s="4" t="s">
        <v>151</v>
      </c>
      <c r="D703" s="4" t="s">
        <v>43</v>
      </c>
      <c r="E703" s="4" t="s">
        <v>87</v>
      </c>
      <c r="F703" s="4" t="s">
        <v>92</v>
      </c>
      <c r="G703" s="4" t="s">
        <v>38</v>
      </c>
      <c r="H703" s="4" t="s">
        <v>109</v>
      </c>
      <c r="I703" s="4">
        <v>4</v>
      </c>
      <c r="J703" s="6">
        <v>393.79</v>
      </c>
      <c r="K703" s="7">
        <v>0.1</v>
      </c>
      <c r="L703" s="6">
        <f t="shared" si="40"/>
        <v>1417.644</v>
      </c>
      <c r="M703" s="6">
        <v>313.31</v>
      </c>
      <c r="N703" s="8">
        <f t="shared" si="41"/>
        <v>164.404</v>
      </c>
      <c r="O703" s="4" t="s">
        <v>60</v>
      </c>
      <c r="P703" s="4" t="s">
        <v>56</v>
      </c>
      <c r="Q703" s="4">
        <v>4</v>
      </c>
      <c r="R703" s="21">
        <f t="shared" si="42"/>
        <v>0.11596987678147687</v>
      </c>
      <c r="S703" t="str">
        <f t="shared" si="43"/>
        <v>Medium</v>
      </c>
    </row>
    <row r="704" spans="1:19" x14ac:dyDescent="0.35">
      <c r="A704" s="4" t="s">
        <v>1106</v>
      </c>
      <c r="B704" s="5">
        <v>45916</v>
      </c>
      <c r="C704" s="4" t="s">
        <v>237</v>
      </c>
      <c r="D704" s="4" t="s">
        <v>43</v>
      </c>
      <c r="E704" s="4" t="s">
        <v>36</v>
      </c>
      <c r="F704" s="4" t="s">
        <v>48</v>
      </c>
      <c r="G704" s="4" t="s">
        <v>38</v>
      </c>
      <c r="H704" s="4" t="s">
        <v>39</v>
      </c>
      <c r="I704" s="4">
        <v>1</v>
      </c>
      <c r="J704" s="6">
        <v>402.08</v>
      </c>
      <c r="K704" s="7">
        <v>0</v>
      </c>
      <c r="L704" s="6">
        <f t="shared" si="40"/>
        <v>402.08</v>
      </c>
      <c r="M704" s="6">
        <v>360.05</v>
      </c>
      <c r="N704" s="8">
        <f t="shared" si="41"/>
        <v>42.029999999999973</v>
      </c>
      <c r="O704" s="4" t="s">
        <v>84</v>
      </c>
      <c r="P704" s="4" t="s">
        <v>61</v>
      </c>
      <c r="Q704" s="4">
        <v>4</v>
      </c>
      <c r="R704" s="21">
        <f t="shared" si="42"/>
        <v>0.10453143653004371</v>
      </c>
      <c r="S704" t="str">
        <f t="shared" si="43"/>
        <v>Small</v>
      </c>
    </row>
    <row r="705" spans="1:19" x14ac:dyDescent="0.35">
      <c r="A705" s="4" t="s">
        <v>1107</v>
      </c>
      <c r="B705" s="5">
        <v>45916</v>
      </c>
      <c r="C705" s="4" t="s">
        <v>703</v>
      </c>
      <c r="D705" s="4" t="s">
        <v>47</v>
      </c>
      <c r="E705" s="4" t="s">
        <v>29</v>
      </c>
      <c r="F705" s="4" t="s">
        <v>108</v>
      </c>
      <c r="G705" s="4" t="s">
        <v>38</v>
      </c>
      <c r="H705" s="4" t="s">
        <v>39</v>
      </c>
      <c r="I705" s="4">
        <v>2</v>
      </c>
      <c r="J705" s="6">
        <v>338.47</v>
      </c>
      <c r="K705" s="7">
        <v>0.1</v>
      </c>
      <c r="L705" s="6">
        <f t="shared" si="40"/>
        <v>609.24600000000009</v>
      </c>
      <c r="M705" s="6">
        <v>289.42</v>
      </c>
      <c r="N705" s="8">
        <f t="shared" si="41"/>
        <v>30.406000000000063</v>
      </c>
      <c r="O705" s="4" t="s">
        <v>25</v>
      </c>
      <c r="P705" s="4" t="s">
        <v>56</v>
      </c>
      <c r="Q705" s="4">
        <v>3</v>
      </c>
      <c r="R705" s="21">
        <f t="shared" si="42"/>
        <v>4.9907590694071129E-2</v>
      </c>
      <c r="S705" t="str">
        <f t="shared" si="43"/>
        <v>Medium</v>
      </c>
    </row>
    <row r="706" spans="1:19" x14ac:dyDescent="0.35">
      <c r="A706" s="4" t="s">
        <v>1108</v>
      </c>
      <c r="B706" s="5">
        <v>45916</v>
      </c>
      <c r="C706" s="4" t="s">
        <v>676</v>
      </c>
      <c r="D706" s="4" t="s">
        <v>20</v>
      </c>
      <c r="E706" s="4" t="s">
        <v>87</v>
      </c>
      <c r="F706" s="4" t="s">
        <v>88</v>
      </c>
      <c r="G706" s="4" t="s">
        <v>49</v>
      </c>
      <c r="H706" s="4" t="s">
        <v>50</v>
      </c>
      <c r="I706" s="4">
        <v>2</v>
      </c>
      <c r="J706" s="6">
        <v>34.96</v>
      </c>
      <c r="K706" s="7">
        <v>0.05</v>
      </c>
      <c r="L706" s="6">
        <f t="shared" ref="L706:L769" si="44">I706*J706*(1-K706)</f>
        <v>66.423999999999992</v>
      </c>
      <c r="M706" s="6">
        <v>25.01</v>
      </c>
      <c r="N706" s="8">
        <f t="shared" ref="N706:N769" si="45">L706-I706*M706</f>
        <v>16.403999999999989</v>
      </c>
      <c r="O706" s="4" t="s">
        <v>25</v>
      </c>
      <c r="P706" s="4" t="s">
        <v>33</v>
      </c>
      <c r="Q706" s="4">
        <v>5</v>
      </c>
      <c r="R706" s="21">
        <f t="shared" si="42"/>
        <v>0.24695893050704551</v>
      </c>
      <c r="S706" t="str">
        <f t="shared" si="43"/>
        <v>Small</v>
      </c>
    </row>
    <row r="707" spans="1:19" x14ac:dyDescent="0.35">
      <c r="A707" s="4" t="s">
        <v>1109</v>
      </c>
      <c r="B707" s="5">
        <v>45917</v>
      </c>
      <c r="C707" s="4" t="s">
        <v>826</v>
      </c>
      <c r="D707" s="4" t="s">
        <v>47</v>
      </c>
      <c r="E707" s="4" t="s">
        <v>29</v>
      </c>
      <c r="F707" s="4" t="s">
        <v>54</v>
      </c>
      <c r="G707" s="4" t="s">
        <v>23</v>
      </c>
      <c r="H707" s="4" t="s">
        <v>24</v>
      </c>
      <c r="I707" s="4">
        <v>4</v>
      </c>
      <c r="J707" s="6">
        <v>42.67</v>
      </c>
      <c r="K707" s="7">
        <v>0.05</v>
      </c>
      <c r="L707" s="6">
        <f t="shared" si="44"/>
        <v>162.14599999999999</v>
      </c>
      <c r="M707" s="6">
        <v>26.75</v>
      </c>
      <c r="N707" s="8">
        <f t="shared" si="45"/>
        <v>55.145999999999987</v>
      </c>
      <c r="O707" s="4" t="s">
        <v>40</v>
      </c>
      <c r="P707" s="4" t="s">
        <v>61</v>
      </c>
      <c r="Q707" s="4">
        <v>5</v>
      </c>
      <c r="R707" s="21">
        <f t="shared" ref="R707:R770" si="46">IF(L707=0,0,N707/L707)</f>
        <v>0.34010089672270666</v>
      </c>
      <c r="S707" t="str">
        <f t="shared" ref="S707:S770" si="47">IF(L707&gt;=2000,"Large",IF(L707&gt;=500,"Medium","Small"))</f>
        <v>Small</v>
      </c>
    </row>
    <row r="708" spans="1:19" x14ac:dyDescent="0.35">
      <c r="A708" s="4" t="s">
        <v>1110</v>
      </c>
      <c r="B708" s="5">
        <v>45917</v>
      </c>
      <c r="C708" s="4" t="s">
        <v>375</v>
      </c>
      <c r="D708" s="4" t="s">
        <v>47</v>
      </c>
      <c r="E708" s="4" t="s">
        <v>36</v>
      </c>
      <c r="F708" s="4" t="s">
        <v>37</v>
      </c>
      <c r="G708" s="4" t="s">
        <v>49</v>
      </c>
      <c r="H708" s="4" t="s">
        <v>50</v>
      </c>
      <c r="I708" s="4">
        <v>3</v>
      </c>
      <c r="J708" s="6">
        <v>43.03</v>
      </c>
      <c r="K708" s="7">
        <v>0.15</v>
      </c>
      <c r="L708" s="6">
        <f t="shared" si="44"/>
        <v>109.7265</v>
      </c>
      <c r="M708" s="6">
        <v>28.24</v>
      </c>
      <c r="N708" s="8">
        <f t="shared" si="45"/>
        <v>25.006500000000003</v>
      </c>
      <c r="O708" s="4" t="s">
        <v>25</v>
      </c>
      <c r="P708" s="4" t="s">
        <v>97</v>
      </c>
      <c r="Q708" s="4">
        <v>3</v>
      </c>
      <c r="R708" s="21">
        <f t="shared" si="46"/>
        <v>0.22789845661713445</v>
      </c>
      <c r="S708" t="str">
        <f t="shared" si="47"/>
        <v>Small</v>
      </c>
    </row>
    <row r="709" spans="1:19" x14ac:dyDescent="0.35">
      <c r="A709" s="4" t="s">
        <v>1111</v>
      </c>
      <c r="B709" s="5">
        <v>45917</v>
      </c>
      <c r="C709" s="4" t="s">
        <v>1031</v>
      </c>
      <c r="D709" s="4" t="s">
        <v>47</v>
      </c>
      <c r="E709" s="4" t="s">
        <v>36</v>
      </c>
      <c r="F709" s="4" t="s">
        <v>48</v>
      </c>
      <c r="G709" s="4" t="s">
        <v>38</v>
      </c>
      <c r="H709" s="4" t="s">
        <v>89</v>
      </c>
      <c r="I709" s="4">
        <v>1</v>
      </c>
      <c r="J709" s="6">
        <v>922.03</v>
      </c>
      <c r="K709" s="7">
        <v>0</v>
      </c>
      <c r="L709" s="6">
        <f t="shared" si="44"/>
        <v>922.03</v>
      </c>
      <c r="M709" s="6">
        <v>722.12</v>
      </c>
      <c r="N709" s="8">
        <f t="shared" si="45"/>
        <v>199.90999999999997</v>
      </c>
      <c r="O709" s="4" t="s">
        <v>84</v>
      </c>
      <c r="P709" s="4" t="s">
        <v>75</v>
      </c>
      <c r="Q709" s="4">
        <v>5</v>
      </c>
      <c r="R709" s="21">
        <f t="shared" si="46"/>
        <v>0.21681507109313145</v>
      </c>
      <c r="S709" t="str">
        <f t="shared" si="47"/>
        <v>Medium</v>
      </c>
    </row>
    <row r="710" spans="1:19" x14ac:dyDescent="0.35">
      <c r="A710" s="4" t="s">
        <v>1112</v>
      </c>
      <c r="B710" s="5">
        <v>45917</v>
      </c>
      <c r="C710" s="4" t="s">
        <v>1113</v>
      </c>
      <c r="D710" s="4" t="s">
        <v>43</v>
      </c>
      <c r="E710" s="4" t="s">
        <v>36</v>
      </c>
      <c r="F710" s="4" t="s">
        <v>48</v>
      </c>
      <c r="G710" s="4" t="s">
        <v>67</v>
      </c>
      <c r="H710" s="4" t="s">
        <v>93</v>
      </c>
      <c r="I710" s="4">
        <v>10</v>
      </c>
      <c r="J710" s="6">
        <v>426.43</v>
      </c>
      <c r="K710" s="7">
        <v>0.05</v>
      </c>
      <c r="L710" s="6">
        <f t="shared" si="44"/>
        <v>4051.085</v>
      </c>
      <c r="M710" s="6">
        <v>338.38</v>
      </c>
      <c r="N710" s="8">
        <f t="shared" si="45"/>
        <v>667.28499999999985</v>
      </c>
      <c r="O710" s="4" t="s">
        <v>60</v>
      </c>
      <c r="P710" s="4" t="s">
        <v>75</v>
      </c>
      <c r="Q710" s="4">
        <v>3</v>
      </c>
      <c r="R710" s="21">
        <f t="shared" si="46"/>
        <v>0.16471760034657379</v>
      </c>
      <c r="S710" t="str">
        <f t="shared" si="47"/>
        <v>Large</v>
      </c>
    </row>
    <row r="711" spans="1:19" x14ac:dyDescent="0.35">
      <c r="A711" s="4" t="s">
        <v>1114</v>
      </c>
      <c r="B711" s="5">
        <v>45917</v>
      </c>
      <c r="C711" s="4" t="s">
        <v>633</v>
      </c>
      <c r="D711" s="4" t="s">
        <v>43</v>
      </c>
      <c r="E711" s="4" t="s">
        <v>29</v>
      </c>
      <c r="F711" s="4" t="s">
        <v>108</v>
      </c>
      <c r="G711" s="4" t="s">
        <v>49</v>
      </c>
      <c r="H711" s="4" t="s">
        <v>50</v>
      </c>
      <c r="I711" s="4">
        <v>1</v>
      </c>
      <c r="J711" s="6">
        <v>49.26</v>
      </c>
      <c r="K711" s="7">
        <v>0.1</v>
      </c>
      <c r="L711" s="6">
        <f t="shared" si="44"/>
        <v>44.333999999999996</v>
      </c>
      <c r="M711" s="6">
        <v>29.54</v>
      </c>
      <c r="N711" s="8">
        <f t="shared" si="45"/>
        <v>14.793999999999997</v>
      </c>
      <c r="O711" s="4" t="s">
        <v>84</v>
      </c>
      <c r="P711" s="4" t="s">
        <v>56</v>
      </c>
      <c r="Q711" s="4">
        <v>4</v>
      </c>
      <c r="R711" s="21">
        <f t="shared" si="46"/>
        <v>0.33369423016195243</v>
      </c>
      <c r="S711" t="str">
        <f t="shared" si="47"/>
        <v>Small</v>
      </c>
    </row>
    <row r="712" spans="1:19" x14ac:dyDescent="0.35">
      <c r="A712" s="4" t="s">
        <v>1115</v>
      </c>
      <c r="B712" s="5">
        <v>45918</v>
      </c>
      <c r="C712" s="4" t="s">
        <v>448</v>
      </c>
      <c r="D712" s="4" t="s">
        <v>43</v>
      </c>
      <c r="E712" s="4" t="s">
        <v>21</v>
      </c>
      <c r="F712" s="4" t="s">
        <v>59</v>
      </c>
      <c r="G712" s="4" t="s">
        <v>49</v>
      </c>
      <c r="H712" s="4" t="s">
        <v>50</v>
      </c>
      <c r="I712" s="4">
        <v>4</v>
      </c>
      <c r="J712" s="6">
        <v>31.08</v>
      </c>
      <c r="K712" s="7">
        <v>0.05</v>
      </c>
      <c r="L712" s="6">
        <f t="shared" si="44"/>
        <v>118.10399999999998</v>
      </c>
      <c r="M712" s="6">
        <v>18.489999999999998</v>
      </c>
      <c r="N712" s="8">
        <f t="shared" si="45"/>
        <v>44.143999999999991</v>
      </c>
      <c r="O712" s="4" t="s">
        <v>84</v>
      </c>
      <c r="P712" s="4" t="s">
        <v>61</v>
      </c>
      <c r="Q712" s="4">
        <v>4</v>
      </c>
      <c r="R712" s="21">
        <f t="shared" si="46"/>
        <v>0.37377226850911061</v>
      </c>
      <c r="S712" t="str">
        <f t="shared" si="47"/>
        <v>Small</v>
      </c>
    </row>
    <row r="713" spans="1:19" x14ac:dyDescent="0.35">
      <c r="A713" s="4" t="s">
        <v>1116</v>
      </c>
      <c r="B713" s="5">
        <v>45918</v>
      </c>
      <c r="C713" s="4" t="s">
        <v>42</v>
      </c>
      <c r="D713" s="4" t="s">
        <v>20</v>
      </c>
      <c r="E713" s="4" t="s">
        <v>87</v>
      </c>
      <c r="F713" s="4" t="s">
        <v>124</v>
      </c>
      <c r="G713" s="4" t="s">
        <v>38</v>
      </c>
      <c r="H713" s="4" t="s">
        <v>89</v>
      </c>
      <c r="I713" s="4">
        <v>3</v>
      </c>
      <c r="J713" s="6">
        <v>1364.61</v>
      </c>
      <c r="K713" s="7">
        <v>0.1</v>
      </c>
      <c r="L713" s="6">
        <f t="shared" si="44"/>
        <v>3684.4470000000001</v>
      </c>
      <c r="M713" s="6">
        <v>1180.75</v>
      </c>
      <c r="N713" s="8">
        <f t="shared" si="45"/>
        <v>142.19700000000012</v>
      </c>
      <c r="O713" s="4" t="s">
        <v>51</v>
      </c>
      <c r="P713" s="4" t="s">
        <v>118</v>
      </c>
      <c r="Q713" s="4">
        <v>4</v>
      </c>
      <c r="R713" s="21">
        <f t="shared" si="46"/>
        <v>3.8593851397509614E-2</v>
      </c>
      <c r="S713" t="str">
        <f t="shared" si="47"/>
        <v>Large</v>
      </c>
    </row>
    <row r="714" spans="1:19" x14ac:dyDescent="0.35">
      <c r="A714" s="4" t="s">
        <v>1117</v>
      </c>
      <c r="B714" s="5">
        <v>45918</v>
      </c>
      <c r="C714" s="4" t="s">
        <v>195</v>
      </c>
      <c r="D714" s="4" t="s">
        <v>47</v>
      </c>
      <c r="E714" s="4" t="s">
        <v>29</v>
      </c>
      <c r="F714" s="4" t="s">
        <v>54</v>
      </c>
      <c r="G714" s="4" t="s">
        <v>38</v>
      </c>
      <c r="H714" s="4" t="s">
        <v>55</v>
      </c>
      <c r="I714" s="4">
        <v>6</v>
      </c>
      <c r="J714" s="6">
        <v>127.29</v>
      </c>
      <c r="K714" s="7">
        <v>0.1</v>
      </c>
      <c r="L714" s="6">
        <f t="shared" si="44"/>
        <v>687.36599999999999</v>
      </c>
      <c r="M714" s="6">
        <v>98.22</v>
      </c>
      <c r="N714" s="8">
        <f t="shared" si="45"/>
        <v>98.046000000000049</v>
      </c>
      <c r="O714" s="4" t="s">
        <v>84</v>
      </c>
      <c r="P714" s="4" t="s">
        <v>56</v>
      </c>
      <c r="Q714" s="4">
        <v>5</v>
      </c>
      <c r="R714" s="21">
        <f t="shared" si="46"/>
        <v>0.1426401655013487</v>
      </c>
      <c r="S714" t="str">
        <f t="shared" si="47"/>
        <v>Medium</v>
      </c>
    </row>
    <row r="715" spans="1:19" x14ac:dyDescent="0.35">
      <c r="A715" s="4" t="s">
        <v>1118</v>
      </c>
      <c r="B715" s="5">
        <v>45919</v>
      </c>
      <c r="C715" s="4" t="s">
        <v>213</v>
      </c>
      <c r="D715" s="4" t="s">
        <v>43</v>
      </c>
      <c r="E715" s="4" t="s">
        <v>36</v>
      </c>
      <c r="F715" s="4" t="s">
        <v>37</v>
      </c>
      <c r="G715" s="4" t="s">
        <v>23</v>
      </c>
      <c r="H715" s="4" t="s">
        <v>44</v>
      </c>
      <c r="I715" s="4">
        <v>5</v>
      </c>
      <c r="J715" s="6">
        <v>51.69</v>
      </c>
      <c r="K715" s="7">
        <v>0.1</v>
      </c>
      <c r="L715" s="6">
        <f t="shared" si="44"/>
        <v>232.60499999999999</v>
      </c>
      <c r="M715" s="6">
        <v>33.409999999999997</v>
      </c>
      <c r="N715" s="8">
        <f t="shared" si="45"/>
        <v>65.555000000000007</v>
      </c>
      <c r="O715" s="4" t="s">
        <v>60</v>
      </c>
      <c r="P715" s="4" t="s">
        <v>26</v>
      </c>
      <c r="Q715" s="4">
        <v>3</v>
      </c>
      <c r="R715" s="21">
        <f t="shared" si="46"/>
        <v>0.28182971131317042</v>
      </c>
      <c r="S715" t="str">
        <f t="shared" si="47"/>
        <v>Small</v>
      </c>
    </row>
    <row r="716" spans="1:19" x14ac:dyDescent="0.35">
      <c r="A716" s="4" t="s">
        <v>1119</v>
      </c>
      <c r="B716" s="5">
        <v>45919</v>
      </c>
      <c r="C716" s="4" t="s">
        <v>1120</v>
      </c>
      <c r="D716" s="4" t="s">
        <v>43</v>
      </c>
      <c r="E716" s="4" t="s">
        <v>36</v>
      </c>
      <c r="F716" s="4" t="s">
        <v>48</v>
      </c>
      <c r="G716" s="4" t="s">
        <v>49</v>
      </c>
      <c r="H716" s="4" t="s">
        <v>128</v>
      </c>
      <c r="I716" s="4">
        <v>1</v>
      </c>
      <c r="J716" s="6">
        <v>33.520000000000003</v>
      </c>
      <c r="K716" s="7">
        <v>0.1</v>
      </c>
      <c r="L716" s="6">
        <f t="shared" si="44"/>
        <v>30.168000000000003</v>
      </c>
      <c r="M716" s="6">
        <v>21.28</v>
      </c>
      <c r="N716" s="8">
        <f t="shared" si="45"/>
        <v>8.8880000000000017</v>
      </c>
      <c r="O716" s="4" t="s">
        <v>40</v>
      </c>
      <c r="P716" s="4" t="s">
        <v>33</v>
      </c>
      <c r="Q716" s="4">
        <v>5</v>
      </c>
      <c r="R716" s="21">
        <f t="shared" si="46"/>
        <v>0.2946168125165739</v>
      </c>
      <c r="S716" t="str">
        <f t="shared" si="47"/>
        <v>Small</v>
      </c>
    </row>
    <row r="717" spans="1:19" x14ac:dyDescent="0.35">
      <c r="A717" s="4" t="s">
        <v>1121</v>
      </c>
      <c r="B717" s="5">
        <v>45921</v>
      </c>
      <c r="C717" s="4" t="s">
        <v>1004</v>
      </c>
      <c r="D717" s="4" t="s">
        <v>20</v>
      </c>
      <c r="E717" s="4" t="s">
        <v>29</v>
      </c>
      <c r="F717" s="4" t="s">
        <v>54</v>
      </c>
      <c r="G717" s="4" t="s">
        <v>23</v>
      </c>
      <c r="H717" s="4" t="s">
        <v>24</v>
      </c>
      <c r="I717" s="4">
        <v>2</v>
      </c>
      <c r="J717" s="6">
        <v>86.09</v>
      </c>
      <c r="K717" s="7">
        <v>0</v>
      </c>
      <c r="L717" s="6">
        <f t="shared" si="44"/>
        <v>172.18</v>
      </c>
      <c r="M717" s="6">
        <v>35.049999999999997</v>
      </c>
      <c r="N717" s="8">
        <f t="shared" si="45"/>
        <v>102.08000000000001</v>
      </c>
      <c r="O717" s="4" t="s">
        <v>84</v>
      </c>
      <c r="P717" s="4" t="s">
        <v>26</v>
      </c>
      <c r="Q717" s="4">
        <v>4</v>
      </c>
      <c r="R717" s="21">
        <f t="shared" si="46"/>
        <v>0.59286792891160423</v>
      </c>
      <c r="S717" t="str">
        <f t="shared" si="47"/>
        <v>Small</v>
      </c>
    </row>
    <row r="718" spans="1:19" x14ac:dyDescent="0.35">
      <c r="A718" s="4" t="s">
        <v>1122</v>
      </c>
      <c r="B718" s="5">
        <v>45921</v>
      </c>
      <c r="C718" s="4" t="s">
        <v>168</v>
      </c>
      <c r="D718" s="4" t="s">
        <v>20</v>
      </c>
      <c r="E718" s="4" t="s">
        <v>29</v>
      </c>
      <c r="F718" s="4" t="s">
        <v>30</v>
      </c>
      <c r="G718" s="4" t="s">
        <v>31</v>
      </c>
      <c r="H718" s="4" t="s">
        <v>64</v>
      </c>
      <c r="I718" s="4">
        <v>5</v>
      </c>
      <c r="J718" s="6">
        <v>118.47</v>
      </c>
      <c r="K718" s="7">
        <v>0.2</v>
      </c>
      <c r="L718" s="6">
        <f t="shared" si="44"/>
        <v>473.88000000000005</v>
      </c>
      <c r="M718" s="6">
        <v>72.69</v>
      </c>
      <c r="N718" s="8">
        <f t="shared" si="45"/>
        <v>110.43000000000006</v>
      </c>
      <c r="O718" s="4" t="s">
        <v>60</v>
      </c>
      <c r="P718" s="4" t="s">
        <v>72</v>
      </c>
      <c r="Q718" s="4">
        <v>4</v>
      </c>
      <c r="R718" s="21">
        <f t="shared" si="46"/>
        <v>0.2330336794125096</v>
      </c>
      <c r="S718" t="str">
        <f t="shared" si="47"/>
        <v>Small</v>
      </c>
    </row>
    <row r="719" spans="1:19" x14ac:dyDescent="0.35">
      <c r="A719" s="4" t="s">
        <v>1123</v>
      </c>
      <c r="B719" s="5">
        <v>45922</v>
      </c>
      <c r="C719" s="4" t="s">
        <v>195</v>
      </c>
      <c r="D719" s="4" t="s">
        <v>43</v>
      </c>
      <c r="E719" s="4" t="s">
        <v>87</v>
      </c>
      <c r="F719" s="4" t="s">
        <v>124</v>
      </c>
      <c r="G719" s="4" t="s">
        <v>23</v>
      </c>
      <c r="H719" s="4" t="s">
        <v>24</v>
      </c>
      <c r="I719" s="4">
        <v>2</v>
      </c>
      <c r="J719" s="6">
        <v>80.45</v>
      </c>
      <c r="K719" s="7">
        <v>0</v>
      </c>
      <c r="L719" s="6">
        <f t="shared" si="44"/>
        <v>160.9</v>
      </c>
      <c r="M719" s="6">
        <v>46.45</v>
      </c>
      <c r="N719" s="8">
        <f t="shared" si="45"/>
        <v>68</v>
      </c>
      <c r="O719" s="4" t="s">
        <v>60</v>
      </c>
      <c r="P719" s="4" t="s">
        <v>118</v>
      </c>
      <c r="Q719" s="4">
        <v>4</v>
      </c>
      <c r="R719" s="21">
        <f t="shared" si="46"/>
        <v>0.4226227470478558</v>
      </c>
      <c r="S719" t="str">
        <f t="shared" si="47"/>
        <v>Small</v>
      </c>
    </row>
    <row r="720" spans="1:19" x14ac:dyDescent="0.35">
      <c r="A720" s="4" t="s">
        <v>1124</v>
      </c>
      <c r="B720" s="5">
        <v>45922</v>
      </c>
      <c r="C720" s="4" t="s">
        <v>123</v>
      </c>
      <c r="D720" s="4" t="s">
        <v>47</v>
      </c>
      <c r="E720" s="4" t="s">
        <v>21</v>
      </c>
      <c r="F720" s="4" t="s">
        <v>81</v>
      </c>
      <c r="G720" s="4" t="s">
        <v>23</v>
      </c>
      <c r="H720" s="4" t="s">
        <v>44</v>
      </c>
      <c r="I720" s="4">
        <v>4</v>
      </c>
      <c r="J720" s="6">
        <v>53.09</v>
      </c>
      <c r="K720" s="7">
        <v>0</v>
      </c>
      <c r="L720" s="6">
        <f t="shared" si="44"/>
        <v>212.36</v>
      </c>
      <c r="M720" s="6">
        <v>32.119999999999997</v>
      </c>
      <c r="N720" s="8">
        <f t="shared" si="45"/>
        <v>83.880000000000024</v>
      </c>
      <c r="O720" s="4" t="s">
        <v>25</v>
      </c>
      <c r="P720" s="4" t="s">
        <v>118</v>
      </c>
      <c r="Q720" s="4">
        <v>5</v>
      </c>
      <c r="R720" s="21">
        <f t="shared" si="46"/>
        <v>0.39498964023356575</v>
      </c>
      <c r="S720" t="str">
        <f t="shared" si="47"/>
        <v>Small</v>
      </c>
    </row>
    <row r="721" spans="1:19" x14ac:dyDescent="0.35">
      <c r="A721" s="4" t="s">
        <v>1125</v>
      </c>
      <c r="B721" s="5">
        <v>45923</v>
      </c>
      <c r="C721" s="4" t="s">
        <v>589</v>
      </c>
      <c r="D721" s="4" t="s">
        <v>47</v>
      </c>
      <c r="E721" s="4" t="s">
        <v>87</v>
      </c>
      <c r="F721" s="4" t="s">
        <v>92</v>
      </c>
      <c r="G721" s="4" t="s">
        <v>23</v>
      </c>
      <c r="H721" s="4" t="s">
        <v>44</v>
      </c>
      <c r="I721" s="4">
        <v>1</v>
      </c>
      <c r="J721" s="6">
        <v>53.72</v>
      </c>
      <c r="K721" s="7">
        <v>0</v>
      </c>
      <c r="L721" s="6">
        <f t="shared" si="44"/>
        <v>53.72</v>
      </c>
      <c r="M721" s="6">
        <v>28.81</v>
      </c>
      <c r="N721" s="8">
        <f t="shared" si="45"/>
        <v>24.91</v>
      </c>
      <c r="O721" s="4" t="s">
        <v>51</v>
      </c>
      <c r="P721" s="4" t="s">
        <v>97</v>
      </c>
      <c r="Q721" s="4">
        <v>2</v>
      </c>
      <c r="R721" s="21">
        <f t="shared" si="46"/>
        <v>0.46370067014147431</v>
      </c>
      <c r="S721" t="str">
        <f t="shared" si="47"/>
        <v>Small</v>
      </c>
    </row>
    <row r="722" spans="1:19" x14ac:dyDescent="0.35">
      <c r="A722" s="4" t="s">
        <v>1126</v>
      </c>
      <c r="B722" s="5">
        <v>45924</v>
      </c>
      <c r="C722" s="4" t="s">
        <v>1127</v>
      </c>
      <c r="D722" s="4" t="s">
        <v>43</v>
      </c>
      <c r="E722" s="4" t="s">
        <v>87</v>
      </c>
      <c r="F722" s="4" t="s">
        <v>88</v>
      </c>
      <c r="G722" s="4" t="s">
        <v>31</v>
      </c>
      <c r="H722" s="4" t="s">
        <v>32</v>
      </c>
      <c r="I722" s="4">
        <v>8</v>
      </c>
      <c r="J722" s="6">
        <v>392.93</v>
      </c>
      <c r="K722" s="7">
        <v>0.1</v>
      </c>
      <c r="L722" s="6">
        <f t="shared" si="44"/>
        <v>2829.096</v>
      </c>
      <c r="M722" s="6">
        <v>277.93</v>
      </c>
      <c r="N722" s="8">
        <f t="shared" si="45"/>
        <v>605.65599999999995</v>
      </c>
      <c r="O722" s="4" t="s">
        <v>84</v>
      </c>
      <c r="P722" s="4" t="s">
        <v>56</v>
      </c>
      <c r="Q722" s="4">
        <v>3</v>
      </c>
      <c r="R722" s="21">
        <f t="shared" si="46"/>
        <v>0.21408110576664771</v>
      </c>
      <c r="S722" t="str">
        <f t="shared" si="47"/>
        <v>Large</v>
      </c>
    </row>
    <row r="723" spans="1:19" x14ac:dyDescent="0.35">
      <c r="A723" s="4" t="s">
        <v>1128</v>
      </c>
      <c r="B723" s="5">
        <v>45924</v>
      </c>
      <c r="C723" s="4" t="s">
        <v>1129</v>
      </c>
      <c r="D723" s="4" t="s">
        <v>47</v>
      </c>
      <c r="E723" s="4" t="s">
        <v>29</v>
      </c>
      <c r="F723" s="4" t="s">
        <v>108</v>
      </c>
      <c r="G723" s="4" t="s">
        <v>67</v>
      </c>
      <c r="H723" s="4" t="s">
        <v>121</v>
      </c>
      <c r="I723" s="4">
        <v>1</v>
      </c>
      <c r="J723" s="6">
        <v>190.38</v>
      </c>
      <c r="K723" s="7">
        <v>0.15</v>
      </c>
      <c r="L723" s="6">
        <f t="shared" si="44"/>
        <v>161.82299999999998</v>
      </c>
      <c r="M723" s="6">
        <v>125.19</v>
      </c>
      <c r="N723" s="8">
        <f t="shared" si="45"/>
        <v>36.632999999999981</v>
      </c>
      <c r="O723" s="4" t="s">
        <v>60</v>
      </c>
      <c r="P723" s="4" t="s">
        <v>97</v>
      </c>
      <c r="Q723" s="4">
        <v>4</v>
      </c>
      <c r="R723" s="21">
        <f t="shared" si="46"/>
        <v>0.22637696742737426</v>
      </c>
      <c r="S723" t="str">
        <f t="shared" si="47"/>
        <v>Small</v>
      </c>
    </row>
    <row r="724" spans="1:19" x14ac:dyDescent="0.35">
      <c r="A724" s="4" t="s">
        <v>1130</v>
      </c>
      <c r="B724" s="5">
        <v>45925</v>
      </c>
      <c r="C724" s="4" t="s">
        <v>450</v>
      </c>
      <c r="D724" s="4" t="s">
        <v>43</v>
      </c>
      <c r="E724" s="4" t="s">
        <v>29</v>
      </c>
      <c r="F724" s="4" t="s">
        <v>30</v>
      </c>
      <c r="G724" s="4" t="s">
        <v>31</v>
      </c>
      <c r="H724" s="4" t="s">
        <v>125</v>
      </c>
      <c r="I724" s="4">
        <v>2</v>
      </c>
      <c r="J724" s="6">
        <v>63.76</v>
      </c>
      <c r="K724" s="7">
        <v>0.1</v>
      </c>
      <c r="L724" s="6">
        <f t="shared" si="44"/>
        <v>114.768</v>
      </c>
      <c r="M724" s="6">
        <v>35.81</v>
      </c>
      <c r="N724" s="8">
        <f t="shared" si="45"/>
        <v>43.147999999999996</v>
      </c>
      <c r="O724" s="4" t="s">
        <v>25</v>
      </c>
      <c r="P724" s="4" t="s">
        <v>97</v>
      </c>
      <c r="Q724" s="4">
        <v>5</v>
      </c>
      <c r="R724" s="21">
        <f t="shared" si="46"/>
        <v>0.37595845531855565</v>
      </c>
      <c r="S724" t="str">
        <f t="shared" si="47"/>
        <v>Small</v>
      </c>
    </row>
    <row r="725" spans="1:19" x14ac:dyDescent="0.35">
      <c r="A725" s="4" t="s">
        <v>1131</v>
      </c>
      <c r="B725" s="5">
        <v>45925</v>
      </c>
      <c r="C725" s="4" t="s">
        <v>899</v>
      </c>
      <c r="D725" s="4" t="s">
        <v>20</v>
      </c>
      <c r="E725" s="4" t="s">
        <v>87</v>
      </c>
      <c r="F725" s="4" t="s">
        <v>92</v>
      </c>
      <c r="G725" s="4" t="s">
        <v>23</v>
      </c>
      <c r="H725" s="4" t="s">
        <v>24</v>
      </c>
      <c r="I725" s="4">
        <v>3</v>
      </c>
      <c r="J725" s="6">
        <v>30.06</v>
      </c>
      <c r="K725" s="7">
        <v>0.15</v>
      </c>
      <c r="L725" s="6">
        <f t="shared" si="44"/>
        <v>76.652999999999992</v>
      </c>
      <c r="M725" s="6">
        <v>14.52</v>
      </c>
      <c r="N725" s="8">
        <f t="shared" si="45"/>
        <v>33.092999999999989</v>
      </c>
      <c r="O725" s="4" t="s">
        <v>25</v>
      </c>
      <c r="P725" s="4" t="s">
        <v>75</v>
      </c>
      <c r="Q725" s="4">
        <v>3</v>
      </c>
      <c r="R725" s="21">
        <f t="shared" si="46"/>
        <v>0.4317247857226722</v>
      </c>
      <c r="S725" t="str">
        <f t="shared" si="47"/>
        <v>Small</v>
      </c>
    </row>
    <row r="726" spans="1:19" x14ac:dyDescent="0.35">
      <c r="A726" s="4" t="s">
        <v>1132</v>
      </c>
      <c r="B726" s="5">
        <v>45925</v>
      </c>
      <c r="C726" s="4" t="s">
        <v>744</v>
      </c>
      <c r="D726" s="4" t="s">
        <v>47</v>
      </c>
      <c r="E726" s="4" t="s">
        <v>29</v>
      </c>
      <c r="F726" s="4" t="s">
        <v>30</v>
      </c>
      <c r="G726" s="4" t="s">
        <v>23</v>
      </c>
      <c r="H726" s="4" t="s">
        <v>24</v>
      </c>
      <c r="I726" s="4">
        <v>2</v>
      </c>
      <c r="J726" s="6">
        <v>57.46</v>
      </c>
      <c r="K726" s="7">
        <v>0</v>
      </c>
      <c r="L726" s="6">
        <f t="shared" si="44"/>
        <v>114.92</v>
      </c>
      <c r="M726" s="6">
        <v>32.799999999999997</v>
      </c>
      <c r="N726" s="8">
        <f t="shared" si="45"/>
        <v>49.320000000000007</v>
      </c>
      <c r="O726" s="4" t="s">
        <v>40</v>
      </c>
      <c r="P726" s="4" t="s">
        <v>56</v>
      </c>
      <c r="Q726" s="4">
        <v>1</v>
      </c>
      <c r="R726" s="21">
        <f t="shared" si="46"/>
        <v>0.42916811695092244</v>
      </c>
      <c r="S726" t="str">
        <f t="shared" si="47"/>
        <v>Small</v>
      </c>
    </row>
    <row r="727" spans="1:19" x14ac:dyDescent="0.35">
      <c r="A727" s="4" t="s">
        <v>1133</v>
      </c>
      <c r="B727" s="5">
        <v>45926</v>
      </c>
      <c r="C727" s="4" t="s">
        <v>63</v>
      </c>
      <c r="D727" s="4" t="s">
        <v>20</v>
      </c>
      <c r="E727" s="4" t="s">
        <v>87</v>
      </c>
      <c r="F727" s="4" t="s">
        <v>124</v>
      </c>
      <c r="G727" s="4" t="s">
        <v>31</v>
      </c>
      <c r="H727" s="4" t="s">
        <v>125</v>
      </c>
      <c r="I727" s="4">
        <v>2</v>
      </c>
      <c r="J727" s="6">
        <v>101.43</v>
      </c>
      <c r="K727" s="7">
        <v>0</v>
      </c>
      <c r="L727" s="6">
        <f t="shared" si="44"/>
        <v>202.86</v>
      </c>
      <c r="M727" s="6">
        <v>64.989999999999995</v>
      </c>
      <c r="N727" s="8">
        <f t="shared" si="45"/>
        <v>72.880000000000024</v>
      </c>
      <c r="O727" s="4" t="s">
        <v>51</v>
      </c>
      <c r="P727" s="4" t="s">
        <v>75</v>
      </c>
      <c r="Q727" s="4">
        <v>4</v>
      </c>
      <c r="R727" s="21">
        <f t="shared" si="46"/>
        <v>0.3592625455979494</v>
      </c>
      <c r="S727" t="str">
        <f t="shared" si="47"/>
        <v>Small</v>
      </c>
    </row>
    <row r="728" spans="1:19" x14ac:dyDescent="0.35">
      <c r="A728" s="4" t="s">
        <v>1134</v>
      </c>
      <c r="B728" s="5">
        <v>45928</v>
      </c>
      <c r="C728" s="4" t="s">
        <v>245</v>
      </c>
      <c r="D728" s="4" t="s">
        <v>43</v>
      </c>
      <c r="E728" s="4" t="s">
        <v>21</v>
      </c>
      <c r="F728" s="4" t="s">
        <v>59</v>
      </c>
      <c r="G728" s="4" t="s">
        <v>67</v>
      </c>
      <c r="H728" s="4" t="s">
        <v>140</v>
      </c>
      <c r="I728" s="4">
        <v>2</v>
      </c>
      <c r="J728" s="6">
        <v>230.36</v>
      </c>
      <c r="K728" s="7">
        <v>0.2</v>
      </c>
      <c r="L728" s="6">
        <f t="shared" si="44"/>
        <v>368.57600000000002</v>
      </c>
      <c r="M728" s="6">
        <v>161.16</v>
      </c>
      <c r="N728" s="8">
        <f t="shared" si="45"/>
        <v>46.256000000000029</v>
      </c>
      <c r="O728" s="4" t="s">
        <v>25</v>
      </c>
      <c r="P728" s="4" t="s">
        <v>118</v>
      </c>
      <c r="Q728" s="4">
        <v>5</v>
      </c>
      <c r="R728" s="21">
        <f t="shared" si="46"/>
        <v>0.12549921861434285</v>
      </c>
      <c r="S728" t="str">
        <f t="shared" si="47"/>
        <v>Small</v>
      </c>
    </row>
    <row r="729" spans="1:19" x14ac:dyDescent="0.35">
      <c r="A729" s="4" t="s">
        <v>1135</v>
      </c>
      <c r="B729" s="5">
        <v>45928</v>
      </c>
      <c r="C729" s="4" t="s">
        <v>1136</v>
      </c>
      <c r="D729" s="4" t="s">
        <v>43</v>
      </c>
      <c r="E729" s="4" t="s">
        <v>29</v>
      </c>
      <c r="F729" s="4" t="s">
        <v>30</v>
      </c>
      <c r="G729" s="4" t="s">
        <v>23</v>
      </c>
      <c r="H729" s="4" t="s">
        <v>71</v>
      </c>
      <c r="I729" s="4">
        <v>1</v>
      </c>
      <c r="J729" s="6">
        <v>64.84</v>
      </c>
      <c r="K729" s="7">
        <v>0.05</v>
      </c>
      <c r="L729" s="6">
        <f t="shared" si="44"/>
        <v>61.597999999999999</v>
      </c>
      <c r="M729" s="6">
        <v>39.299999999999997</v>
      </c>
      <c r="N729" s="8">
        <f t="shared" si="45"/>
        <v>22.298000000000002</v>
      </c>
      <c r="O729" s="4" t="s">
        <v>40</v>
      </c>
      <c r="P729" s="4" t="s">
        <v>33</v>
      </c>
      <c r="Q729" s="4">
        <v>5</v>
      </c>
      <c r="R729" s="21">
        <f t="shared" si="46"/>
        <v>0.36199227247637916</v>
      </c>
      <c r="S729" t="str">
        <f t="shared" si="47"/>
        <v>Small</v>
      </c>
    </row>
    <row r="730" spans="1:19" x14ac:dyDescent="0.35">
      <c r="A730" s="4" t="s">
        <v>1137</v>
      </c>
      <c r="B730" s="5">
        <v>45928</v>
      </c>
      <c r="C730" s="4" t="s">
        <v>886</v>
      </c>
      <c r="D730" s="4" t="s">
        <v>47</v>
      </c>
      <c r="E730" s="4" t="s">
        <v>21</v>
      </c>
      <c r="F730" s="4" t="s">
        <v>22</v>
      </c>
      <c r="G730" s="4" t="s">
        <v>31</v>
      </c>
      <c r="H730" s="4" t="s">
        <v>32</v>
      </c>
      <c r="I730" s="4">
        <v>5</v>
      </c>
      <c r="J730" s="6">
        <v>279.26</v>
      </c>
      <c r="K730" s="7">
        <v>0</v>
      </c>
      <c r="L730" s="6">
        <f t="shared" si="44"/>
        <v>1396.3</v>
      </c>
      <c r="M730" s="6">
        <v>170.23</v>
      </c>
      <c r="N730" s="8">
        <f t="shared" si="45"/>
        <v>545.15</v>
      </c>
      <c r="O730" s="4" t="s">
        <v>51</v>
      </c>
      <c r="P730" s="4" t="s">
        <v>97</v>
      </c>
      <c r="Q730" s="4">
        <v>2</v>
      </c>
      <c r="R730" s="21">
        <f t="shared" si="46"/>
        <v>0.39042469383370337</v>
      </c>
      <c r="S730" t="str">
        <f t="shared" si="47"/>
        <v>Medium</v>
      </c>
    </row>
    <row r="731" spans="1:19" x14ac:dyDescent="0.35">
      <c r="A731" s="4" t="s">
        <v>1138</v>
      </c>
      <c r="B731" s="5">
        <v>45929</v>
      </c>
      <c r="C731" s="4" t="s">
        <v>547</v>
      </c>
      <c r="D731" s="4" t="s">
        <v>43</v>
      </c>
      <c r="E731" s="4" t="s">
        <v>21</v>
      </c>
      <c r="F731" s="4" t="s">
        <v>59</v>
      </c>
      <c r="G731" s="4" t="s">
        <v>31</v>
      </c>
      <c r="H731" s="4" t="s">
        <v>147</v>
      </c>
      <c r="I731" s="4">
        <v>1</v>
      </c>
      <c r="J731" s="6">
        <v>85.18</v>
      </c>
      <c r="K731" s="7">
        <v>0.05</v>
      </c>
      <c r="L731" s="6">
        <f t="shared" si="44"/>
        <v>80.921000000000006</v>
      </c>
      <c r="M731" s="6">
        <v>55.31</v>
      </c>
      <c r="N731" s="8">
        <f t="shared" si="45"/>
        <v>25.611000000000004</v>
      </c>
      <c r="O731" s="4" t="s">
        <v>51</v>
      </c>
      <c r="P731" s="4" t="s">
        <v>97</v>
      </c>
      <c r="Q731" s="4">
        <v>2</v>
      </c>
      <c r="R731" s="21">
        <f t="shared" si="46"/>
        <v>0.31649386438625327</v>
      </c>
      <c r="S731" t="str">
        <f t="shared" si="47"/>
        <v>Small</v>
      </c>
    </row>
    <row r="732" spans="1:19" x14ac:dyDescent="0.35">
      <c r="A732" s="4" t="s">
        <v>1139</v>
      </c>
      <c r="B732" s="5">
        <v>45929</v>
      </c>
      <c r="C732" s="4" t="s">
        <v>746</v>
      </c>
      <c r="D732" s="4" t="s">
        <v>43</v>
      </c>
      <c r="E732" s="4" t="s">
        <v>29</v>
      </c>
      <c r="F732" s="4" t="s">
        <v>30</v>
      </c>
      <c r="G732" s="4" t="s">
        <v>49</v>
      </c>
      <c r="H732" s="4" t="s">
        <v>50</v>
      </c>
      <c r="I732" s="4">
        <v>6</v>
      </c>
      <c r="J732" s="6">
        <v>25.32</v>
      </c>
      <c r="K732" s="7">
        <v>0.1</v>
      </c>
      <c r="L732" s="6">
        <f t="shared" si="44"/>
        <v>136.72800000000001</v>
      </c>
      <c r="M732" s="6">
        <v>14.97</v>
      </c>
      <c r="N732" s="8">
        <f t="shared" si="45"/>
        <v>46.908000000000001</v>
      </c>
      <c r="O732" s="4" t="s">
        <v>60</v>
      </c>
      <c r="P732" s="4" t="s">
        <v>118</v>
      </c>
      <c r="Q732" s="4">
        <v>5</v>
      </c>
      <c r="R732" s="21">
        <f t="shared" si="46"/>
        <v>0.34307530279094262</v>
      </c>
      <c r="S732" t="str">
        <f t="shared" si="47"/>
        <v>Small</v>
      </c>
    </row>
    <row r="733" spans="1:19" x14ac:dyDescent="0.35">
      <c r="A733" s="4" t="s">
        <v>1140</v>
      </c>
      <c r="B733" s="5">
        <v>45929</v>
      </c>
      <c r="C733" s="4" t="s">
        <v>115</v>
      </c>
      <c r="D733" s="4" t="s">
        <v>47</v>
      </c>
      <c r="E733" s="4" t="s">
        <v>29</v>
      </c>
      <c r="F733" s="4" t="s">
        <v>108</v>
      </c>
      <c r="G733" s="4" t="s">
        <v>23</v>
      </c>
      <c r="H733" s="4" t="s">
        <v>71</v>
      </c>
      <c r="I733" s="4">
        <v>1</v>
      </c>
      <c r="J733" s="6">
        <v>198.93</v>
      </c>
      <c r="K733" s="7">
        <v>0.15</v>
      </c>
      <c r="L733" s="6">
        <f t="shared" si="44"/>
        <v>169.09049999999999</v>
      </c>
      <c r="M733" s="6">
        <v>116.15</v>
      </c>
      <c r="N733" s="8">
        <f t="shared" si="45"/>
        <v>52.940499999999986</v>
      </c>
      <c r="O733" s="4" t="s">
        <v>60</v>
      </c>
      <c r="P733" s="4" t="s">
        <v>75</v>
      </c>
      <c r="Q733" s="4">
        <v>3</v>
      </c>
      <c r="R733" s="21">
        <f t="shared" si="46"/>
        <v>0.31308973596979128</v>
      </c>
      <c r="S733" t="str">
        <f t="shared" si="47"/>
        <v>Small</v>
      </c>
    </row>
    <row r="734" spans="1:19" x14ac:dyDescent="0.35">
      <c r="A734" s="4" t="s">
        <v>1141</v>
      </c>
      <c r="B734" s="5">
        <v>45929</v>
      </c>
      <c r="C734" s="4" t="s">
        <v>357</v>
      </c>
      <c r="D734" s="4" t="s">
        <v>20</v>
      </c>
      <c r="E734" s="4" t="s">
        <v>29</v>
      </c>
      <c r="F734" s="4" t="s">
        <v>54</v>
      </c>
      <c r="G734" s="4" t="s">
        <v>67</v>
      </c>
      <c r="H734" s="4" t="s">
        <v>140</v>
      </c>
      <c r="I734" s="4">
        <v>3</v>
      </c>
      <c r="J734" s="6">
        <v>123.67</v>
      </c>
      <c r="K734" s="7">
        <v>0</v>
      </c>
      <c r="L734" s="6">
        <f t="shared" si="44"/>
        <v>371.01</v>
      </c>
      <c r="M734" s="6">
        <v>75.209999999999994</v>
      </c>
      <c r="N734" s="8">
        <f t="shared" si="45"/>
        <v>145.38</v>
      </c>
      <c r="O734" s="4" t="s">
        <v>40</v>
      </c>
      <c r="P734" s="4" t="s">
        <v>75</v>
      </c>
      <c r="Q734" s="4">
        <v>5</v>
      </c>
      <c r="R734" s="21">
        <f t="shared" si="46"/>
        <v>0.39184927629983018</v>
      </c>
      <c r="S734" t="str">
        <f t="shared" si="47"/>
        <v>Small</v>
      </c>
    </row>
    <row r="735" spans="1:19" x14ac:dyDescent="0.35">
      <c r="A735" s="4" t="s">
        <v>1142</v>
      </c>
      <c r="B735" s="5">
        <v>45930</v>
      </c>
      <c r="C735" s="4" t="s">
        <v>156</v>
      </c>
      <c r="D735" s="4" t="s">
        <v>47</v>
      </c>
      <c r="E735" s="4" t="s">
        <v>87</v>
      </c>
      <c r="F735" s="4" t="s">
        <v>92</v>
      </c>
      <c r="G735" s="4" t="s">
        <v>23</v>
      </c>
      <c r="H735" s="4" t="s">
        <v>24</v>
      </c>
      <c r="I735" s="4">
        <v>6</v>
      </c>
      <c r="J735" s="6">
        <v>86.06</v>
      </c>
      <c r="K735" s="7">
        <v>0.05</v>
      </c>
      <c r="L735" s="6">
        <f t="shared" si="44"/>
        <v>490.54199999999997</v>
      </c>
      <c r="M735" s="6">
        <v>47.54</v>
      </c>
      <c r="N735" s="8">
        <f t="shared" si="45"/>
        <v>205.30199999999996</v>
      </c>
      <c r="O735" s="4" t="s">
        <v>60</v>
      </c>
      <c r="P735" s="4" t="s">
        <v>61</v>
      </c>
      <c r="Q735" s="4">
        <v>4</v>
      </c>
      <c r="R735" s="21">
        <f t="shared" si="46"/>
        <v>0.4185207382854067</v>
      </c>
      <c r="S735" t="str">
        <f t="shared" si="47"/>
        <v>Small</v>
      </c>
    </row>
    <row r="736" spans="1:19" x14ac:dyDescent="0.35">
      <c r="A736" s="4" t="s">
        <v>1143</v>
      </c>
      <c r="B736" s="5">
        <v>45930</v>
      </c>
      <c r="C736" s="4" t="s">
        <v>223</v>
      </c>
      <c r="D736" s="4" t="s">
        <v>47</v>
      </c>
      <c r="E736" s="4" t="s">
        <v>36</v>
      </c>
      <c r="F736" s="4" t="s">
        <v>37</v>
      </c>
      <c r="G736" s="4" t="s">
        <v>23</v>
      </c>
      <c r="H736" s="4" t="s">
        <v>44</v>
      </c>
      <c r="I736" s="4">
        <v>1</v>
      </c>
      <c r="J736" s="6">
        <v>141.16</v>
      </c>
      <c r="K736" s="7">
        <v>0</v>
      </c>
      <c r="L736" s="6">
        <f t="shared" si="44"/>
        <v>141.16</v>
      </c>
      <c r="M736" s="6">
        <v>69.62</v>
      </c>
      <c r="N736" s="8">
        <f t="shared" si="45"/>
        <v>71.539999999999992</v>
      </c>
      <c r="O736" s="4" t="s">
        <v>60</v>
      </c>
      <c r="P736" s="4" t="s">
        <v>97</v>
      </c>
      <c r="Q736" s="4">
        <v>1</v>
      </c>
      <c r="R736" s="21">
        <f t="shared" si="46"/>
        <v>0.50680079342589968</v>
      </c>
      <c r="S736" t="str">
        <f t="shared" si="47"/>
        <v>Small</v>
      </c>
    </row>
    <row r="737" spans="1:19" x14ac:dyDescent="0.35">
      <c r="A737" s="4" t="s">
        <v>1144</v>
      </c>
      <c r="B737" s="5">
        <v>45931</v>
      </c>
      <c r="C737" s="4" t="s">
        <v>420</v>
      </c>
      <c r="D737" s="4" t="s">
        <v>43</v>
      </c>
      <c r="E737" s="4" t="s">
        <v>21</v>
      </c>
      <c r="F737" s="4" t="s">
        <v>59</v>
      </c>
      <c r="G737" s="4" t="s">
        <v>31</v>
      </c>
      <c r="H737" s="4" t="s">
        <v>125</v>
      </c>
      <c r="I737" s="4">
        <v>2</v>
      </c>
      <c r="J737" s="6">
        <v>34.729999999999997</v>
      </c>
      <c r="K737" s="7">
        <v>0.1</v>
      </c>
      <c r="L737" s="6">
        <f t="shared" si="44"/>
        <v>62.513999999999996</v>
      </c>
      <c r="M737" s="6">
        <v>21.13</v>
      </c>
      <c r="N737" s="8">
        <f t="shared" si="45"/>
        <v>20.253999999999998</v>
      </c>
      <c r="O737" s="4" t="s">
        <v>25</v>
      </c>
      <c r="P737" s="4" t="s">
        <v>61</v>
      </c>
      <c r="Q737" s="4">
        <v>3</v>
      </c>
      <c r="R737" s="21">
        <f t="shared" si="46"/>
        <v>0.32399142592059377</v>
      </c>
      <c r="S737" t="str">
        <f t="shared" si="47"/>
        <v>Small</v>
      </c>
    </row>
    <row r="738" spans="1:19" x14ac:dyDescent="0.35">
      <c r="A738" s="4" t="s">
        <v>1145</v>
      </c>
      <c r="B738" s="5">
        <v>45931</v>
      </c>
      <c r="C738" s="4" t="s">
        <v>1093</v>
      </c>
      <c r="D738" s="4" t="s">
        <v>20</v>
      </c>
      <c r="E738" s="4" t="s">
        <v>29</v>
      </c>
      <c r="F738" s="4" t="s">
        <v>30</v>
      </c>
      <c r="G738" s="4" t="s">
        <v>49</v>
      </c>
      <c r="H738" s="4" t="s">
        <v>78</v>
      </c>
      <c r="I738" s="4">
        <v>3</v>
      </c>
      <c r="J738" s="6">
        <v>275.99</v>
      </c>
      <c r="K738" s="7">
        <v>0</v>
      </c>
      <c r="L738" s="6">
        <f t="shared" si="44"/>
        <v>827.97</v>
      </c>
      <c r="M738" s="6">
        <v>160.6</v>
      </c>
      <c r="N738" s="8">
        <f t="shared" si="45"/>
        <v>346.17000000000007</v>
      </c>
      <c r="O738" s="4" t="s">
        <v>60</v>
      </c>
      <c r="P738" s="4" t="s">
        <v>56</v>
      </c>
      <c r="Q738" s="4">
        <v>2</v>
      </c>
      <c r="R738" s="21">
        <f t="shared" si="46"/>
        <v>0.41809485850936634</v>
      </c>
      <c r="S738" t="str">
        <f t="shared" si="47"/>
        <v>Medium</v>
      </c>
    </row>
    <row r="739" spans="1:19" x14ac:dyDescent="0.35">
      <c r="A739" s="4" t="s">
        <v>1146</v>
      </c>
      <c r="B739" s="5">
        <v>45931</v>
      </c>
      <c r="C739" s="4" t="s">
        <v>1147</v>
      </c>
      <c r="D739" s="4" t="s">
        <v>43</v>
      </c>
      <c r="E739" s="4" t="s">
        <v>87</v>
      </c>
      <c r="F739" s="4" t="s">
        <v>88</v>
      </c>
      <c r="G739" s="4" t="s">
        <v>49</v>
      </c>
      <c r="H739" s="4" t="s">
        <v>50</v>
      </c>
      <c r="I739" s="4">
        <v>1</v>
      </c>
      <c r="J739" s="6">
        <v>16.07</v>
      </c>
      <c r="K739" s="7">
        <v>0.15</v>
      </c>
      <c r="L739" s="6">
        <f t="shared" si="44"/>
        <v>13.6595</v>
      </c>
      <c r="M739" s="6">
        <v>11.14</v>
      </c>
      <c r="N739" s="8">
        <f t="shared" si="45"/>
        <v>2.519499999999999</v>
      </c>
      <c r="O739" s="4" t="s">
        <v>60</v>
      </c>
      <c r="P739" s="4" t="s">
        <v>26</v>
      </c>
      <c r="Q739" s="4">
        <v>5</v>
      </c>
      <c r="R739" s="21">
        <f t="shared" si="46"/>
        <v>0.18445038251766163</v>
      </c>
      <c r="S739" t="str">
        <f t="shared" si="47"/>
        <v>Small</v>
      </c>
    </row>
    <row r="740" spans="1:19" x14ac:dyDescent="0.35">
      <c r="A740" s="4" t="s">
        <v>1148</v>
      </c>
      <c r="B740" s="5">
        <v>45932</v>
      </c>
      <c r="C740" s="4" t="s">
        <v>744</v>
      </c>
      <c r="D740" s="4" t="s">
        <v>47</v>
      </c>
      <c r="E740" s="4" t="s">
        <v>29</v>
      </c>
      <c r="F740" s="4" t="s">
        <v>30</v>
      </c>
      <c r="G740" s="4" t="s">
        <v>23</v>
      </c>
      <c r="H740" s="4" t="s">
        <v>44</v>
      </c>
      <c r="I740" s="4">
        <v>6</v>
      </c>
      <c r="J740" s="6">
        <v>155.11000000000001</v>
      </c>
      <c r="K740" s="7">
        <v>0.1</v>
      </c>
      <c r="L740" s="6">
        <f t="shared" si="44"/>
        <v>837.59400000000005</v>
      </c>
      <c r="M740" s="6">
        <v>97.86</v>
      </c>
      <c r="N740" s="8">
        <f t="shared" si="45"/>
        <v>250.43400000000008</v>
      </c>
      <c r="O740" s="4" t="s">
        <v>84</v>
      </c>
      <c r="P740" s="4" t="s">
        <v>33</v>
      </c>
      <c r="Q740" s="4">
        <v>1</v>
      </c>
      <c r="R740" s="21">
        <f t="shared" si="46"/>
        <v>0.29899211312401958</v>
      </c>
      <c r="S740" t="str">
        <f t="shared" si="47"/>
        <v>Medium</v>
      </c>
    </row>
    <row r="741" spans="1:19" x14ac:dyDescent="0.35">
      <c r="A741" s="4" t="s">
        <v>1149</v>
      </c>
      <c r="B741" s="5">
        <v>45932</v>
      </c>
      <c r="C741" s="4" t="s">
        <v>346</v>
      </c>
      <c r="D741" s="4" t="s">
        <v>20</v>
      </c>
      <c r="E741" s="4" t="s">
        <v>21</v>
      </c>
      <c r="F741" s="4" t="s">
        <v>81</v>
      </c>
      <c r="G741" s="4" t="s">
        <v>38</v>
      </c>
      <c r="H741" s="4" t="s">
        <v>39</v>
      </c>
      <c r="I741" s="4">
        <v>10</v>
      </c>
      <c r="J741" s="6">
        <v>313.55</v>
      </c>
      <c r="K741" s="7">
        <v>0.05</v>
      </c>
      <c r="L741" s="6">
        <f t="shared" si="44"/>
        <v>2978.7249999999999</v>
      </c>
      <c r="M741" s="6">
        <v>241.99</v>
      </c>
      <c r="N741" s="8">
        <f t="shared" si="45"/>
        <v>558.82499999999982</v>
      </c>
      <c r="O741" s="4" t="s">
        <v>51</v>
      </c>
      <c r="P741" s="4" t="s">
        <v>75</v>
      </c>
      <c r="Q741" s="4">
        <v>3</v>
      </c>
      <c r="R741" s="21">
        <f t="shared" si="46"/>
        <v>0.18760543521137393</v>
      </c>
      <c r="S741" t="str">
        <f t="shared" si="47"/>
        <v>Large</v>
      </c>
    </row>
    <row r="742" spans="1:19" x14ac:dyDescent="0.35">
      <c r="A742" s="4" t="s">
        <v>1150</v>
      </c>
      <c r="B742" s="5">
        <v>45932</v>
      </c>
      <c r="C742" s="4" t="s">
        <v>1078</v>
      </c>
      <c r="D742" s="4" t="s">
        <v>47</v>
      </c>
      <c r="E742" s="4" t="s">
        <v>21</v>
      </c>
      <c r="F742" s="4" t="s">
        <v>59</v>
      </c>
      <c r="G742" s="4" t="s">
        <v>31</v>
      </c>
      <c r="H742" s="4" t="s">
        <v>147</v>
      </c>
      <c r="I742" s="4">
        <v>2</v>
      </c>
      <c r="J742" s="6">
        <v>43.32</v>
      </c>
      <c r="K742" s="7">
        <v>0</v>
      </c>
      <c r="L742" s="6">
        <f t="shared" si="44"/>
        <v>86.64</v>
      </c>
      <c r="M742" s="6">
        <v>32.229999999999997</v>
      </c>
      <c r="N742" s="8">
        <f t="shared" si="45"/>
        <v>22.180000000000007</v>
      </c>
      <c r="O742" s="4" t="s">
        <v>84</v>
      </c>
      <c r="P742" s="4" t="s">
        <v>75</v>
      </c>
      <c r="Q742" s="4">
        <v>4</v>
      </c>
      <c r="R742" s="21">
        <f t="shared" si="46"/>
        <v>0.25600184672206838</v>
      </c>
      <c r="S742" t="str">
        <f t="shared" si="47"/>
        <v>Small</v>
      </c>
    </row>
    <row r="743" spans="1:19" x14ac:dyDescent="0.35">
      <c r="A743" s="4" t="s">
        <v>1151</v>
      </c>
      <c r="B743" s="5">
        <v>45932</v>
      </c>
      <c r="C743" s="4" t="s">
        <v>734</v>
      </c>
      <c r="D743" s="4" t="s">
        <v>20</v>
      </c>
      <c r="E743" s="4" t="s">
        <v>21</v>
      </c>
      <c r="F743" s="4" t="s">
        <v>81</v>
      </c>
      <c r="G743" s="4" t="s">
        <v>38</v>
      </c>
      <c r="H743" s="4" t="s">
        <v>109</v>
      </c>
      <c r="I743" s="4">
        <v>4</v>
      </c>
      <c r="J743" s="6">
        <v>514.07000000000005</v>
      </c>
      <c r="K743" s="7">
        <v>0.1</v>
      </c>
      <c r="L743" s="6">
        <f t="shared" si="44"/>
        <v>1850.6520000000003</v>
      </c>
      <c r="M743" s="6">
        <v>425.53</v>
      </c>
      <c r="N743" s="8">
        <f t="shared" si="45"/>
        <v>148.53200000000038</v>
      </c>
      <c r="O743" s="4" t="s">
        <v>40</v>
      </c>
      <c r="P743" s="4" t="s">
        <v>97</v>
      </c>
      <c r="Q743" s="4">
        <v>4</v>
      </c>
      <c r="R743" s="21">
        <f t="shared" si="46"/>
        <v>8.02592815937304E-2</v>
      </c>
      <c r="S743" t="str">
        <f t="shared" si="47"/>
        <v>Medium</v>
      </c>
    </row>
    <row r="744" spans="1:19" x14ac:dyDescent="0.35">
      <c r="A744" s="4" t="s">
        <v>1152</v>
      </c>
      <c r="B744" s="5">
        <v>45932</v>
      </c>
      <c r="C744" s="4" t="s">
        <v>66</v>
      </c>
      <c r="D744" s="4" t="s">
        <v>43</v>
      </c>
      <c r="E744" s="4" t="s">
        <v>36</v>
      </c>
      <c r="F744" s="4" t="s">
        <v>201</v>
      </c>
      <c r="G744" s="4" t="s">
        <v>67</v>
      </c>
      <c r="H744" s="4" t="s">
        <v>93</v>
      </c>
      <c r="I744" s="4">
        <v>1</v>
      </c>
      <c r="J744" s="6">
        <v>240.04</v>
      </c>
      <c r="K744" s="7">
        <v>0.1</v>
      </c>
      <c r="L744" s="6">
        <f t="shared" si="44"/>
        <v>216.036</v>
      </c>
      <c r="M744" s="6">
        <v>182.53</v>
      </c>
      <c r="N744" s="8">
        <f t="shared" si="45"/>
        <v>33.506</v>
      </c>
      <c r="O744" s="4" t="s">
        <v>84</v>
      </c>
      <c r="P744" s="4" t="s">
        <v>72</v>
      </c>
      <c r="Q744" s="4">
        <v>5</v>
      </c>
      <c r="R744" s="21">
        <f t="shared" si="46"/>
        <v>0.1550945212834898</v>
      </c>
      <c r="S744" t="str">
        <f t="shared" si="47"/>
        <v>Small</v>
      </c>
    </row>
    <row r="745" spans="1:19" x14ac:dyDescent="0.35">
      <c r="A745" s="4" t="s">
        <v>1153</v>
      </c>
      <c r="B745" s="5">
        <v>45933</v>
      </c>
      <c r="C745" s="4" t="s">
        <v>215</v>
      </c>
      <c r="D745" s="4" t="s">
        <v>20</v>
      </c>
      <c r="E745" s="4" t="s">
        <v>36</v>
      </c>
      <c r="F745" s="4" t="s">
        <v>37</v>
      </c>
      <c r="G745" s="4" t="s">
        <v>23</v>
      </c>
      <c r="H745" s="4" t="s">
        <v>44</v>
      </c>
      <c r="I745" s="4">
        <v>1</v>
      </c>
      <c r="J745" s="6">
        <v>90.85</v>
      </c>
      <c r="K745" s="7">
        <v>0</v>
      </c>
      <c r="L745" s="6">
        <f t="shared" si="44"/>
        <v>90.85</v>
      </c>
      <c r="M745" s="6">
        <v>42.08</v>
      </c>
      <c r="N745" s="8">
        <f t="shared" si="45"/>
        <v>48.769999999999996</v>
      </c>
      <c r="O745" s="4" t="s">
        <v>25</v>
      </c>
      <c r="P745" s="4" t="s">
        <v>118</v>
      </c>
      <c r="Q745" s="4">
        <v>5</v>
      </c>
      <c r="R745" s="21">
        <f t="shared" si="46"/>
        <v>0.53681893230599886</v>
      </c>
      <c r="S745" t="str">
        <f t="shared" si="47"/>
        <v>Small</v>
      </c>
    </row>
    <row r="746" spans="1:19" x14ac:dyDescent="0.35">
      <c r="A746" s="4" t="s">
        <v>1154</v>
      </c>
      <c r="B746" s="5">
        <v>45933</v>
      </c>
      <c r="C746" s="4" t="s">
        <v>207</v>
      </c>
      <c r="D746" s="4" t="s">
        <v>20</v>
      </c>
      <c r="E746" s="4" t="s">
        <v>36</v>
      </c>
      <c r="F746" s="4" t="s">
        <v>37</v>
      </c>
      <c r="G746" s="4" t="s">
        <v>31</v>
      </c>
      <c r="H746" s="4" t="s">
        <v>32</v>
      </c>
      <c r="I746" s="4">
        <v>2</v>
      </c>
      <c r="J746" s="6">
        <v>125.19</v>
      </c>
      <c r="K746" s="7">
        <v>0.1</v>
      </c>
      <c r="L746" s="6">
        <f t="shared" si="44"/>
        <v>225.34200000000001</v>
      </c>
      <c r="M746" s="6">
        <v>93.05</v>
      </c>
      <c r="N746" s="8">
        <f t="shared" si="45"/>
        <v>39.242000000000019</v>
      </c>
      <c r="O746" s="4" t="s">
        <v>25</v>
      </c>
      <c r="P746" s="4" t="s">
        <v>97</v>
      </c>
      <c r="Q746" s="4">
        <v>1</v>
      </c>
      <c r="R746" s="21">
        <f t="shared" si="46"/>
        <v>0.17414418972051379</v>
      </c>
      <c r="S746" t="str">
        <f t="shared" si="47"/>
        <v>Small</v>
      </c>
    </row>
    <row r="747" spans="1:19" x14ac:dyDescent="0.35">
      <c r="A747" s="4" t="s">
        <v>1155</v>
      </c>
      <c r="B747" s="5">
        <v>45933</v>
      </c>
      <c r="C747" s="4" t="s">
        <v>587</v>
      </c>
      <c r="D747" s="4" t="s">
        <v>43</v>
      </c>
      <c r="E747" s="4" t="s">
        <v>87</v>
      </c>
      <c r="F747" s="4" t="s">
        <v>88</v>
      </c>
      <c r="G747" s="4" t="s">
        <v>38</v>
      </c>
      <c r="H747" s="4" t="s">
        <v>55</v>
      </c>
      <c r="I747" s="4">
        <v>1</v>
      </c>
      <c r="J747" s="6">
        <v>145.93</v>
      </c>
      <c r="K747" s="7">
        <v>0</v>
      </c>
      <c r="L747" s="6">
        <f t="shared" si="44"/>
        <v>145.93</v>
      </c>
      <c r="M747" s="6">
        <v>127.27</v>
      </c>
      <c r="N747" s="8">
        <f t="shared" si="45"/>
        <v>18.660000000000011</v>
      </c>
      <c r="O747" s="4" t="s">
        <v>60</v>
      </c>
      <c r="P747" s="4" t="s">
        <v>75</v>
      </c>
      <c r="Q747" s="4">
        <v>3</v>
      </c>
      <c r="R747" s="21">
        <f t="shared" si="46"/>
        <v>0.12786952648530123</v>
      </c>
      <c r="S747" t="str">
        <f t="shared" si="47"/>
        <v>Small</v>
      </c>
    </row>
    <row r="748" spans="1:19" x14ac:dyDescent="0.35">
      <c r="A748" s="4" t="s">
        <v>1156</v>
      </c>
      <c r="B748" s="5">
        <v>45933</v>
      </c>
      <c r="C748" s="4" t="s">
        <v>509</v>
      </c>
      <c r="D748" s="4" t="s">
        <v>47</v>
      </c>
      <c r="E748" s="4" t="s">
        <v>36</v>
      </c>
      <c r="F748" s="4" t="s">
        <v>48</v>
      </c>
      <c r="G748" s="4" t="s">
        <v>38</v>
      </c>
      <c r="H748" s="4" t="s">
        <v>55</v>
      </c>
      <c r="I748" s="4">
        <v>3</v>
      </c>
      <c r="J748" s="6">
        <v>87.72</v>
      </c>
      <c r="K748" s="7">
        <v>0</v>
      </c>
      <c r="L748" s="6">
        <f t="shared" si="44"/>
        <v>263.15999999999997</v>
      </c>
      <c r="M748" s="6">
        <v>71.48</v>
      </c>
      <c r="N748" s="8">
        <f t="shared" si="45"/>
        <v>48.71999999999997</v>
      </c>
      <c r="O748" s="4" t="s">
        <v>51</v>
      </c>
      <c r="P748" s="4" t="s">
        <v>72</v>
      </c>
      <c r="Q748" s="4">
        <v>2</v>
      </c>
      <c r="R748" s="21">
        <f t="shared" si="46"/>
        <v>0.18513451892384852</v>
      </c>
      <c r="S748" t="str">
        <f t="shared" si="47"/>
        <v>Small</v>
      </c>
    </row>
    <row r="749" spans="1:19" x14ac:dyDescent="0.35">
      <c r="A749" s="4" t="s">
        <v>1157</v>
      </c>
      <c r="B749" s="5">
        <v>45933</v>
      </c>
      <c r="C749" s="4" t="s">
        <v>1158</v>
      </c>
      <c r="D749" s="4" t="s">
        <v>43</v>
      </c>
      <c r="E749" s="4" t="s">
        <v>29</v>
      </c>
      <c r="F749" s="4" t="s">
        <v>30</v>
      </c>
      <c r="G749" s="4" t="s">
        <v>67</v>
      </c>
      <c r="H749" s="4" t="s">
        <v>121</v>
      </c>
      <c r="I749" s="4">
        <v>5</v>
      </c>
      <c r="J749" s="6">
        <v>292.36</v>
      </c>
      <c r="K749" s="7">
        <v>0</v>
      </c>
      <c r="L749" s="6">
        <f t="shared" si="44"/>
        <v>1461.8000000000002</v>
      </c>
      <c r="M749" s="6">
        <v>196.1</v>
      </c>
      <c r="N749" s="8">
        <f t="shared" si="45"/>
        <v>481.30000000000018</v>
      </c>
      <c r="O749" s="4" t="s">
        <v>40</v>
      </c>
      <c r="P749" s="4" t="s">
        <v>75</v>
      </c>
      <c r="Q749" s="4">
        <v>5</v>
      </c>
      <c r="R749" s="21">
        <f t="shared" si="46"/>
        <v>0.32925160760705985</v>
      </c>
      <c r="S749" t="str">
        <f t="shared" si="47"/>
        <v>Medium</v>
      </c>
    </row>
    <row r="750" spans="1:19" x14ac:dyDescent="0.35">
      <c r="A750" s="4" t="s">
        <v>1159</v>
      </c>
      <c r="B750" s="5">
        <v>45934</v>
      </c>
      <c r="C750" s="4" t="s">
        <v>197</v>
      </c>
      <c r="D750" s="4" t="s">
        <v>20</v>
      </c>
      <c r="E750" s="4" t="s">
        <v>29</v>
      </c>
      <c r="F750" s="4" t="s">
        <v>54</v>
      </c>
      <c r="G750" s="4" t="s">
        <v>23</v>
      </c>
      <c r="H750" s="4" t="s">
        <v>135</v>
      </c>
      <c r="I750" s="4">
        <v>3</v>
      </c>
      <c r="J750" s="6">
        <v>20.23</v>
      </c>
      <c r="K750" s="7">
        <v>0</v>
      </c>
      <c r="L750" s="6">
        <f t="shared" si="44"/>
        <v>60.69</v>
      </c>
      <c r="M750" s="6">
        <v>10.11</v>
      </c>
      <c r="N750" s="8">
        <f t="shared" si="45"/>
        <v>30.36</v>
      </c>
      <c r="O750" s="4" t="s">
        <v>60</v>
      </c>
      <c r="P750" s="4" t="s">
        <v>26</v>
      </c>
      <c r="Q750" s="4">
        <v>3</v>
      </c>
      <c r="R750" s="21">
        <f t="shared" si="46"/>
        <v>0.5002471576866041</v>
      </c>
      <c r="S750" t="str">
        <f t="shared" si="47"/>
        <v>Small</v>
      </c>
    </row>
    <row r="751" spans="1:19" x14ac:dyDescent="0.35">
      <c r="A751" s="4" t="s">
        <v>1160</v>
      </c>
      <c r="B751" s="5">
        <v>45934</v>
      </c>
      <c r="C751" s="4" t="s">
        <v>1161</v>
      </c>
      <c r="D751" s="4" t="s">
        <v>43</v>
      </c>
      <c r="E751" s="4" t="s">
        <v>21</v>
      </c>
      <c r="F751" s="4" t="s">
        <v>81</v>
      </c>
      <c r="G751" s="4" t="s">
        <v>31</v>
      </c>
      <c r="H751" s="4" t="s">
        <v>32</v>
      </c>
      <c r="I751" s="4">
        <v>3</v>
      </c>
      <c r="J751" s="6">
        <v>82.21</v>
      </c>
      <c r="K751" s="7">
        <v>0</v>
      </c>
      <c r="L751" s="6">
        <f t="shared" si="44"/>
        <v>246.63</v>
      </c>
      <c r="M751" s="6">
        <v>52.89</v>
      </c>
      <c r="N751" s="8">
        <f t="shared" si="45"/>
        <v>87.95999999999998</v>
      </c>
      <c r="O751" s="4" t="s">
        <v>25</v>
      </c>
      <c r="P751" s="4" t="s">
        <v>33</v>
      </c>
      <c r="Q751" s="4">
        <v>3</v>
      </c>
      <c r="R751" s="21">
        <f t="shared" si="46"/>
        <v>0.35664760977983206</v>
      </c>
      <c r="S751" t="str">
        <f t="shared" si="47"/>
        <v>Small</v>
      </c>
    </row>
    <row r="752" spans="1:19" x14ac:dyDescent="0.35">
      <c r="A752" s="4" t="s">
        <v>1162</v>
      </c>
      <c r="B752" s="5">
        <v>45934</v>
      </c>
      <c r="C752" s="4" t="s">
        <v>418</v>
      </c>
      <c r="D752" s="4" t="s">
        <v>20</v>
      </c>
      <c r="E752" s="4" t="s">
        <v>21</v>
      </c>
      <c r="F752" s="4" t="s">
        <v>81</v>
      </c>
      <c r="G752" s="4" t="s">
        <v>67</v>
      </c>
      <c r="H752" s="4" t="s">
        <v>121</v>
      </c>
      <c r="I752" s="4">
        <v>1</v>
      </c>
      <c r="J752" s="6">
        <v>285.89</v>
      </c>
      <c r="K752" s="7">
        <v>0.2</v>
      </c>
      <c r="L752" s="6">
        <f t="shared" si="44"/>
        <v>228.71199999999999</v>
      </c>
      <c r="M752" s="6">
        <v>210.81</v>
      </c>
      <c r="N752" s="8">
        <f t="shared" si="45"/>
        <v>17.901999999999987</v>
      </c>
      <c r="O752" s="4" t="s">
        <v>60</v>
      </c>
      <c r="P752" s="4" t="s">
        <v>118</v>
      </c>
      <c r="Q752" s="4">
        <v>5</v>
      </c>
      <c r="R752" s="21">
        <f t="shared" si="46"/>
        <v>7.8273112036097742E-2</v>
      </c>
      <c r="S752" t="str">
        <f t="shared" si="47"/>
        <v>Small</v>
      </c>
    </row>
    <row r="753" spans="1:19" x14ac:dyDescent="0.35">
      <c r="A753" s="4" t="s">
        <v>1163</v>
      </c>
      <c r="B753" s="5">
        <v>45934</v>
      </c>
      <c r="C753" s="4" t="s">
        <v>178</v>
      </c>
      <c r="D753" s="4" t="s">
        <v>47</v>
      </c>
      <c r="E753" s="4" t="s">
        <v>21</v>
      </c>
      <c r="F753" s="4" t="s">
        <v>81</v>
      </c>
      <c r="G753" s="4" t="s">
        <v>38</v>
      </c>
      <c r="H753" s="4" t="s">
        <v>109</v>
      </c>
      <c r="I753" s="4">
        <v>5</v>
      </c>
      <c r="J753" s="6">
        <v>338.27</v>
      </c>
      <c r="K753" s="7">
        <v>0.1</v>
      </c>
      <c r="L753" s="6">
        <f t="shared" si="44"/>
        <v>1522.2149999999999</v>
      </c>
      <c r="M753" s="6">
        <v>303.92</v>
      </c>
      <c r="N753" s="8">
        <f t="shared" si="45"/>
        <v>2.6149999999997817</v>
      </c>
      <c r="O753" s="4" t="s">
        <v>60</v>
      </c>
      <c r="P753" s="4" t="s">
        <v>72</v>
      </c>
      <c r="Q753" s="4">
        <v>5</v>
      </c>
      <c r="R753" s="21">
        <f t="shared" si="46"/>
        <v>1.7178913622581447E-3</v>
      </c>
      <c r="S753" t="str">
        <f t="shared" si="47"/>
        <v>Medium</v>
      </c>
    </row>
    <row r="754" spans="1:19" x14ac:dyDescent="0.35">
      <c r="A754" s="4" t="s">
        <v>1164</v>
      </c>
      <c r="B754" s="5">
        <v>45934</v>
      </c>
      <c r="C754" s="4" t="s">
        <v>408</v>
      </c>
      <c r="D754" s="4" t="s">
        <v>43</v>
      </c>
      <c r="E754" s="4" t="s">
        <v>36</v>
      </c>
      <c r="F754" s="4" t="s">
        <v>48</v>
      </c>
      <c r="G754" s="4" t="s">
        <v>31</v>
      </c>
      <c r="H754" s="4" t="s">
        <v>147</v>
      </c>
      <c r="I754" s="4">
        <v>1</v>
      </c>
      <c r="J754" s="6">
        <v>113.74</v>
      </c>
      <c r="K754" s="7">
        <v>0.2</v>
      </c>
      <c r="L754" s="6">
        <f t="shared" si="44"/>
        <v>90.992000000000004</v>
      </c>
      <c r="M754" s="6">
        <v>65.56</v>
      </c>
      <c r="N754" s="8">
        <f t="shared" si="45"/>
        <v>25.432000000000002</v>
      </c>
      <c r="O754" s="4" t="s">
        <v>25</v>
      </c>
      <c r="P754" s="4" t="s">
        <v>97</v>
      </c>
      <c r="Q754" s="4">
        <v>3</v>
      </c>
      <c r="R754" s="21">
        <f t="shared" si="46"/>
        <v>0.27949709864603484</v>
      </c>
      <c r="S754" t="str">
        <f t="shared" si="47"/>
        <v>Small</v>
      </c>
    </row>
    <row r="755" spans="1:19" x14ac:dyDescent="0.35">
      <c r="A755" s="4" t="s">
        <v>1165</v>
      </c>
      <c r="B755" s="5">
        <v>45934</v>
      </c>
      <c r="C755" s="4" t="s">
        <v>245</v>
      </c>
      <c r="D755" s="4" t="s">
        <v>20</v>
      </c>
      <c r="E755" s="4" t="s">
        <v>36</v>
      </c>
      <c r="F755" s="4" t="s">
        <v>48</v>
      </c>
      <c r="G755" s="4" t="s">
        <v>38</v>
      </c>
      <c r="H755" s="4" t="s">
        <v>109</v>
      </c>
      <c r="I755" s="4">
        <v>4</v>
      </c>
      <c r="J755" s="6">
        <v>766.76</v>
      </c>
      <c r="K755" s="7">
        <v>0.15</v>
      </c>
      <c r="L755" s="6">
        <f t="shared" si="44"/>
        <v>2606.9839999999999</v>
      </c>
      <c r="M755" s="6">
        <v>676.29</v>
      </c>
      <c r="N755" s="8">
        <f t="shared" si="45"/>
        <v>-98.175999999999931</v>
      </c>
      <c r="O755" s="4" t="s">
        <v>40</v>
      </c>
      <c r="P755" s="4" t="s">
        <v>56</v>
      </c>
      <c r="Q755" s="4">
        <v>4</v>
      </c>
      <c r="R755" s="21">
        <f t="shared" si="46"/>
        <v>-3.7658842555228549E-2</v>
      </c>
      <c r="S755" t="str">
        <f t="shared" si="47"/>
        <v>Large</v>
      </c>
    </row>
    <row r="756" spans="1:19" x14ac:dyDescent="0.35">
      <c r="A756" s="4" t="s">
        <v>1166</v>
      </c>
      <c r="B756" s="5">
        <v>45935</v>
      </c>
      <c r="C756" s="4" t="s">
        <v>493</v>
      </c>
      <c r="D756" s="4" t="s">
        <v>43</v>
      </c>
      <c r="E756" s="4" t="s">
        <v>36</v>
      </c>
      <c r="F756" s="4" t="s">
        <v>37</v>
      </c>
      <c r="G756" s="4" t="s">
        <v>38</v>
      </c>
      <c r="H756" s="4" t="s">
        <v>96</v>
      </c>
      <c r="I756" s="4">
        <v>2</v>
      </c>
      <c r="J756" s="6">
        <v>513.70000000000005</v>
      </c>
      <c r="K756" s="7">
        <v>0</v>
      </c>
      <c r="L756" s="6">
        <f t="shared" si="44"/>
        <v>1027.4000000000001</v>
      </c>
      <c r="M756" s="6">
        <v>387.1</v>
      </c>
      <c r="N756" s="8">
        <f t="shared" si="45"/>
        <v>253.20000000000005</v>
      </c>
      <c r="O756" s="4" t="s">
        <v>60</v>
      </c>
      <c r="P756" s="4" t="s">
        <v>118</v>
      </c>
      <c r="Q756" s="4">
        <v>4</v>
      </c>
      <c r="R756" s="21">
        <f t="shared" si="46"/>
        <v>0.24644734280708588</v>
      </c>
      <c r="S756" t="str">
        <f t="shared" si="47"/>
        <v>Medium</v>
      </c>
    </row>
    <row r="757" spans="1:19" x14ac:dyDescent="0.35">
      <c r="A757" s="4" t="s">
        <v>1167</v>
      </c>
      <c r="B757" s="5">
        <v>45935</v>
      </c>
      <c r="C757" s="4" t="s">
        <v>734</v>
      </c>
      <c r="D757" s="4" t="s">
        <v>43</v>
      </c>
      <c r="E757" s="4" t="s">
        <v>29</v>
      </c>
      <c r="F757" s="4" t="s">
        <v>54</v>
      </c>
      <c r="G757" s="4" t="s">
        <v>49</v>
      </c>
      <c r="H757" s="4" t="s">
        <v>128</v>
      </c>
      <c r="I757" s="4">
        <v>1</v>
      </c>
      <c r="J757" s="6">
        <v>111.87</v>
      </c>
      <c r="K757" s="7">
        <v>0.1</v>
      </c>
      <c r="L757" s="6">
        <f t="shared" si="44"/>
        <v>100.68300000000001</v>
      </c>
      <c r="M757" s="6">
        <v>82.22</v>
      </c>
      <c r="N757" s="8">
        <f t="shared" si="45"/>
        <v>18.463000000000008</v>
      </c>
      <c r="O757" s="4" t="s">
        <v>84</v>
      </c>
      <c r="P757" s="4" t="s">
        <v>26</v>
      </c>
      <c r="Q757" s="4">
        <v>2</v>
      </c>
      <c r="R757" s="21">
        <f t="shared" si="46"/>
        <v>0.18337753146012739</v>
      </c>
      <c r="S757" t="str">
        <f t="shared" si="47"/>
        <v>Small</v>
      </c>
    </row>
    <row r="758" spans="1:19" x14ac:dyDescent="0.35">
      <c r="A758" s="4" t="s">
        <v>1168</v>
      </c>
      <c r="B758" s="5">
        <v>45936</v>
      </c>
      <c r="C758" s="4" t="s">
        <v>1169</v>
      </c>
      <c r="D758" s="4" t="s">
        <v>47</v>
      </c>
      <c r="E758" s="4" t="s">
        <v>36</v>
      </c>
      <c r="F758" s="4" t="s">
        <v>201</v>
      </c>
      <c r="G758" s="4" t="s">
        <v>38</v>
      </c>
      <c r="H758" s="4" t="s">
        <v>39</v>
      </c>
      <c r="I758" s="4">
        <v>4</v>
      </c>
      <c r="J758" s="6">
        <v>361.79</v>
      </c>
      <c r="K758" s="7">
        <v>0.1</v>
      </c>
      <c r="L758" s="6">
        <f t="shared" si="44"/>
        <v>1302.4440000000002</v>
      </c>
      <c r="M758" s="6">
        <v>297.72000000000003</v>
      </c>
      <c r="N758" s="8">
        <f t="shared" si="45"/>
        <v>111.56400000000008</v>
      </c>
      <c r="O758" s="4" t="s">
        <v>84</v>
      </c>
      <c r="P758" s="4" t="s">
        <v>72</v>
      </c>
      <c r="Q758" s="4">
        <v>5</v>
      </c>
      <c r="R758" s="21">
        <f t="shared" si="46"/>
        <v>8.5657425578374247E-2</v>
      </c>
      <c r="S758" t="str">
        <f t="shared" si="47"/>
        <v>Medium</v>
      </c>
    </row>
    <row r="759" spans="1:19" x14ac:dyDescent="0.35">
      <c r="A759" s="4" t="s">
        <v>1170</v>
      </c>
      <c r="B759" s="5">
        <v>45937</v>
      </c>
      <c r="C759" s="4" t="s">
        <v>511</v>
      </c>
      <c r="D759" s="4" t="s">
        <v>43</v>
      </c>
      <c r="E759" s="4" t="s">
        <v>29</v>
      </c>
      <c r="F759" s="4" t="s">
        <v>54</v>
      </c>
      <c r="G759" s="4" t="s">
        <v>67</v>
      </c>
      <c r="H759" s="4" t="s">
        <v>68</v>
      </c>
      <c r="I759" s="4">
        <v>1</v>
      </c>
      <c r="J759" s="6">
        <v>1081.07</v>
      </c>
      <c r="K759" s="7">
        <v>0.05</v>
      </c>
      <c r="L759" s="6">
        <f t="shared" si="44"/>
        <v>1027.0165</v>
      </c>
      <c r="M759" s="6">
        <v>753.84</v>
      </c>
      <c r="N759" s="8">
        <f t="shared" si="45"/>
        <v>273.17649999999992</v>
      </c>
      <c r="O759" s="4" t="s">
        <v>51</v>
      </c>
      <c r="P759" s="4" t="s">
        <v>56</v>
      </c>
      <c r="Q759" s="4">
        <v>3</v>
      </c>
      <c r="R759" s="21">
        <f t="shared" si="46"/>
        <v>0.26599037113814622</v>
      </c>
      <c r="S759" t="str">
        <f t="shared" si="47"/>
        <v>Medium</v>
      </c>
    </row>
    <row r="760" spans="1:19" x14ac:dyDescent="0.35">
      <c r="A760" s="4" t="s">
        <v>1171</v>
      </c>
      <c r="B760" s="5">
        <v>45937</v>
      </c>
      <c r="C760" s="4" t="s">
        <v>166</v>
      </c>
      <c r="D760" s="4" t="s">
        <v>43</v>
      </c>
      <c r="E760" s="4" t="s">
        <v>87</v>
      </c>
      <c r="F760" s="4" t="s">
        <v>92</v>
      </c>
      <c r="G760" s="4" t="s">
        <v>49</v>
      </c>
      <c r="H760" s="4" t="s">
        <v>50</v>
      </c>
      <c r="I760" s="4">
        <v>1</v>
      </c>
      <c r="J760" s="6">
        <v>21.14</v>
      </c>
      <c r="K760" s="7">
        <v>0.1</v>
      </c>
      <c r="L760" s="6">
        <f t="shared" si="44"/>
        <v>19.026</v>
      </c>
      <c r="M760" s="6">
        <v>12.07</v>
      </c>
      <c r="N760" s="8">
        <f t="shared" si="45"/>
        <v>6.9559999999999995</v>
      </c>
      <c r="O760" s="4" t="s">
        <v>25</v>
      </c>
      <c r="P760" s="4" t="s">
        <v>56</v>
      </c>
      <c r="Q760" s="4">
        <v>5</v>
      </c>
      <c r="R760" s="21">
        <f t="shared" si="46"/>
        <v>0.36560496163145167</v>
      </c>
      <c r="S760" t="str">
        <f t="shared" si="47"/>
        <v>Small</v>
      </c>
    </row>
    <row r="761" spans="1:19" x14ac:dyDescent="0.35">
      <c r="A761" s="4" t="s">
        <v>1172</v>
      </c>
      <c r="B761" s="5">
        <v>45937</v>
      </c>
      <c r="C761" s="4" t="s">
        <v>291</v>
      </c>
      <c r="D761" s="4" t="s">
        <v>47</v>
      </c>
      <c r="E761" s="4" t="s">
        <v>29</v>
      </c>
      <c r="F761" s="4" t="s">
        <v>108</v>
      </c>
      <c r="G761" s="4" t="s">
        <v>38</v>
      </c>
      <c r="H761" s="4" t="s">
        <v>96</v>
      </c>
      <c r="I761" s="4">
        <v>2</v>
      </c>
      <c r="J761" s="6">
        <v>266.64</v>
      </c>
      <c r="K761" s="7">
        <v>0.05</v>
      </c>
      <c r="L761" s="6">
        <f t="shared" si="44"/>
        <v>506.61599999999993</v>
      </c>
      <c r="M761" s="6">
        <v>224.1</v>
      </c>
      <c r="N761" s="8">
        <f t="shared" si="45"/>
        <v>58.41599999999994</v>
      </c>
      <c r="O761" s="4" t="s">
        <v>60</v>
      </c>
      <c r="P761" s="4" t="s">
        <v>97</v>
      </c>
      <c r="Q761" s="4">
        <v>5</v>
      </c>
      <c r="R761" s="21">
        <f t="shared" si="46"/>
        <v>0.11530626746885204</v>
      </c>
      <c r="S761" t="str">
        <f t="shared" si="47"/>
        <v>Medium</v>
      </c>
    </row>
    <row r="762" spans="1:19" x14ac:dyDescent="0.35">
      <c r="A762" s="4" t="s">
        <v>1173</v>
      </c>
      <c r="B762" s="5">
        <v>45937</v>
      </c>
      <c r="C762" s="4" t="s">
        <v>429</v>
      </c>
      <c r="D762" s="4" t="s">
        <v>20</v>
      </c>
      <c r="E762" s="4" t="s">
        <v>36</v>
      </c>
      <c r="F762" s="4" t="s">
        <v>37</v>
      </c>
      <c r="G762" s="4" t="s">
        <v>23</v>
      </c>
      <c r="H762" s="4" t="s">
        <v>71</v>
      </c>
      <c r="I762" s="4">
        <v>3</v>
      </c>
      <c r="J762" s="6">
        <v>78.150000000000006</v>
      </c>
      <c r="K762" s="7">
        <v>0.05</v>
      </c>
      <c r="L762" s="6">
        <f t="shared" si="44"/>
        <v>222.72749999999999</v>
      </c>
      <c r="M762" s="6">
        <v>47.35</v>
      </c>
      <c r="N762" s="8">
        <f t="shared" si="45"/>
        <v>80.677499999999981</v>
      </c>
      <c r="O762" s="4" t="s">
        <v>60</v>
      </c>
      <c r="P762" s="4" t="s">
        <v>72</v>
      </c>
      <c r="Q762" s="4">
        <v>5</v>
      </c>
      <c r="R762" s="21">
        <f t="shared" si="46"/>
        <v>0.36222514058659117</v>
      </c>
      <c r="S762" t="str">
        <f t="shared" si="47"/>
        <v>Small</v>
      </c>
    </row>
    <row r="763" spans="1:19" x14ac:dyDescent="0.35">
      <c r="A763" s="4" t="s">
        <v>1174</v>
      </c>
      <c r="B763" s="5">
        <v>45938</v>
      </c>
      <c r="C763" s="4" t="s">
        <v>111</v>
      </c>
      <c r="D763" s="4" t="s">
        <v>20</v>
      </c>
      <c r="E763" s="4" t="s">
        <v>87</v>
      </c>
      <c r="F763" s="4" t="s">
        <v>88</v>
      </c>
      <c r="G763" s="4" t="s">
        <v>38</v>
      </c>
      <c r="H763" s="4" t="s">
        <v>89</v>
      </c>
      <c r="I763" s="4">
        <v>2</v>
      </c>
      <c r="J763" s="6">
        <v>1321.29</v>
      </c>
      <c r="K763" s="7">
        <v>0</v>
      </c>
      <c r="L763" s="6">
        <f t="shared" si="44"/>
        <v>2642.58</v>
      </c>
      <c r="M763" s="6">
        <v>1075.1500000000001</v>
      </c>
      <c r="N763" s="8">
        <f t="shared" si="45"/>
        <v>492.27999999999975</v>
      </c>
      <c r="O763" s="4" t="s">
        <v>40</v>
      </c>
      <c r="P763" s="4" t="s">
        <v>97</v>
      </c>
      <c r="Q763" s="4">
        <v>4</v>
      </c>
      <c r="R763" s="21">
        <f t="shared" si="46"/>
        <v>0.18628764313663154</v>
      </c>
      <c r="S763" t="str">
        <f t="shared" si="47"/>
        <v>Large</v>
      </c>
    </row>
    <row r="764" spans="1:19" x14ac:dyDescent="0.35">
      <c r="A764" s="4" t="s">
        <v>1175</v>
      </c>
      <c r="B764" s="5">
        <v>45938</v>
      </c>
      <c r="C764" s="4" t="s">
        <v>53</v>
      </c>
      <c r="D764" s="4" t="s">
        <v>20</v>
      </c>
      <c r="E764" s="4" t="s">
        <v>87</v>
      </c>
      <c r="F764" s="4" t="s">
        <v>92</v>
      </c>
      <c r="G764" s="4" t="s">
        <v>38</v>
      </c>
      <c r="H764" s="4" t="s">
        <v>55</v>
      </c>
      <c r="I764" s="4">
        <v>3</v>
      </c>
      <c r="J764" s="6">
        <v>163.69999999999999</v>
      </c>
      <c r="K764" s="7">
        <v>0.1</v>
      </c>
      <c r="L764" s="6">
        <f t="shared" si="44"/>
        <v>441.98999999999995</v>
      </c>
      <c r="M764" s="6">
        <v>143.13</v>
      </c>
      <c r="N764" s="8">
        <f t="shared" si="45"/>
        <v>12.599999999999966</v>
      </c>
      <c r="O764" s="4" t="s">
        <v>60</v>
      </c>
      <c r="P764" s="4" t="s">
        <v>56</v>
      </c>
      <c r="Q764" s="4">
        <v>3</v>
      </c>
      <c r="R764" s="21">
        <f t="shared" si="46"/>
        <v>2.8507432294848225E-2</v>
      </c>
      <c r="S764" t="str">
        <f t="shared" si="47"/>
        <v>Small</v>
      </c>
    </row>
    <row r="765" spans="1:19" x14ac:dyDescent="0.35">
      <c r="A765" s="4" t="s">
        <v>1176</v>
      </c>
      <c r="B765" s="5">
        <v>45939</v>
      </c>
      <c r="C765" s="4" t="s">
        <v>317</v>
      </c>
      <c r="D765" s="4" t="s">
        <v>43</v>
      </c>
      <c r="E765" s="4" t="s">
        <v>87</v>
      </c>
      <c r="F765" s="4" t="s">
        <v>88</v>
      </c>
      <c r="G765" s="4" t="s">
        <v>49</v>
      </c>
      <c r="H765" s="4" t="s">
        <v>187</v>
      </c>
      <c r="I765" s="4">
        <v>2</v>
      </c>
      <c r="J765" s="6">
        <v>140.86000000000001</v>
      </c>
      <c r="K765" s="7">
        <v>0</v>
      </c>
      <c r="L765" s="6">
        <f t="shared" si="44"/>
        <v>281.72000000000003</v>
      </c>
      <c r="M765" s="6">
        <v>81.63</v>
      </c>
      <c r="N765" s="8">
        <f t="shared" si="45"/>
        <v>118.46000000000004</v>
      </c>
      <c r="O765" s="4" t="s">
        <v>40</v>
      </c>
      <c r="P765" s="4" t="s">
        <v>61</v>
      </c>
      <c r="Q765" s="4">
        <v>5</v>
      </c>
      <c r="R765" s="21">
        <f t="shared" si="46"/>
        <v>0.42048842822660809</v>
      </c>
      <c r="S765" t="str">
        <f t="shared" si="47"/>
        <v>Small</v>
      </c>
    </row>
    <row r="766" spans="1:19" x14ac:dyDescent="0.35">
      <c r="A766" s="4" t="s">
        <v>1177</v>
      </c>
      <c r="B766" s="5">
        <v>45939</v>
      </c>
      <c r="C766" s="4" t="s">
        <v>371</v>
      </c>
      <c r="D766" s="4" t="s">
        <v>20</v>
      </c>
      <c r="E766" s="4" t="s">
        <v>36</v>
      </c>
      <c r="F766" s="4" t="s">
        <v>48</v>
      </c>
      <c r="G766" s="4" t="s">
        <v>31</v>
      </c>
      <c r="H766" s="4" t="s">
        <v>32</v>
      </c>
      <c r="I766" s="4">
        <v>1</v>
      </c>
      <c r="J766" s="6">
        <v>180.24</v>
      </c>
      <c r="K766" s="7">
        <v>0.1</v>
      </c>
      <c r="L766" s="6">
        <f t="shared" si="44"/>
        <v>162.21600000000001</v>
      </c>
      <c r="M766" s="6">
        <v>128.78</v>
      </c>
      <c r="N766" s="8">
        <f t="shared" si="45"/>
        <v>33.436000000000007</v>
      </c>
      <c r="O766" s="4" t="s">
        <v>25</v>
      </c>
      <c r="P766" s="4" t="s">
        <v>26</v>
      </c>
      <c r="Q766" s="4">
        <v>4</v>
      </c>
      <c r="R766" s="21">
        <f t="shared" si="46"/>
        <v>0.20612023474873012</v>
      </c>
      <c r="S766" t="str">
        <f t="shared" si="47"/>
        <v>Small</v>
      </c>
    </row>
    <row r="767" spans="1:19" x14ac:dyDescent="0.35">
      <c r="A767" s="4" t="s">
        <v>1178</v>
      </c>
      <c r="B767" s="5">
        <v>45939</v>
      </c>
      <c r="C767" s="4" t="s">
        <v>1179</v>
      </c>
      <c r="D767" s="4" t="s">
        <v>20</v>
      </c>
      <c r="E767" s="4" t="s">
        <v>21</v>
      </c>
      <c r="F767" s="4" t="s">
        <v>59</v>
      </c>
      <c r="G767" s="4" t="s">
        <v>23</v>
      </c>
      <c r="H767" s="4" t="s">
        <v>24</v>
      </c>
      <c r="I767" s="4">
        <v>3</v>
      </c>
      <c r="J767" s="6">
        <v>55.72</v>
      </c>
      <c r="K767" s="7">
        <v>0</v>
      </c>
      <c r="L767" s="6">
        <f t="shared" si="44"/>
        <v>167.16</v>
      </c>
      <c r="M767" s="6">
        <v>35.590000000000003</v>
      </c>
      <c r="N767" s="8">
        <f t="shared" si="45"/>
        <v>60.389999999999986</v>
      </c>
      <c r="O767" s="4" t="s">
        <v>51</v>
      </c>
      <c r="P767" s="4" t="s">
        <v>61</v>
      </c>
      <c r="Q767" s="4">
        <v>5</v>
      </c>
      <c r="R767" s="21">
        <f t="shared" si="46"/>
        <v>0.36127063890882977</v>
      </c>
      <c r="S767" t="str">
        <f t="shared" si="47"/>
        <v>Small</v>
      </c>
    </row>
    <row r="768" spans="1:19" x14ac:dyDescent="0.35">
      <c r="A768" s="4" t="s">
        <v>1180</v>
      </c>
      <c r="B768" s="5">
        <v>45940</v>
      </c>
      <c r="C768" s="4" t="s">
        <v>722</v>
      </c>
      <c r="D768" s="4" t="s">
        <v>20</v>
      </c>
      <c r="E768" s="4" t="s">
        <v>29</v>
      </c>
      <c r="F768" s="4" t="s">
        <v>30</v>
      </c>
      <c r="G768" s="4" t="s">
        <v>31</v>
      </c>
      <c r="H768" s="4" t="s">
        <v>147</v>
      </c>
      <c r="I768" s="4">
        <v>4</v>
      </c>
      <c r="J768" s="6">
        <v>53.94</v>
      </c>
      <c r="K768" s="7">
        <v>0.2</v>
      </c>
      <c r="L768" s="6">
        <f t="shared" si="44"/>
        <v>172.608</v>
      </c>
      <c r="M768" s="6">
        <v>32.51</v>
      </c>
      <c r="N768" s="8">
        <f t="shared" si="45"/>
        <v>42.568000000000012</v>
      </c>
      <c r="O768" s="4" t="s">
        <v>40</v>
      </c>
      <c r="P768" s="4" t="s">
        <v>33</v>
      </c>
      <c r="Q768" s="4">
        <v>4</v>
      </c>
      <c r="R768" s="21">
        <f t="shared" si="46"/>
        <v>0.24661661104931412</v>
      </c>
      <c r="S768" t="str">
        <f t="shared" si="47"/>
        <v>Small</v>
      </c>
    </row>
    <row r="769" spans="1:19" x14ac:dyDescent="0.35">
      <c r="A769" s="4" t="s">
        <v>1181</v>
      </c>
      <c r="B769" s="5">
        <v>45940</v>
      </c>
      <c r="C769" s="4" t="s">
        <v>1182</v>
      </c>
      <c r="D769" s="4" t="s">
        <v>47</v>
      </c>
      <c r="E769" s="4" t="s">
        <v>29</v>
      </c>
      <c r="F769" s="4" t="s">
        <v>54</v>
      </c>
      <c r="G769" s="4" t="s">
        <v>38</v>
      </c>
      <c r="H769" s="4" t="s">
        <v>55</v>
      </c>
      <c r="I769" s="4">
        <v>1</v>
      </c>
      <c r="J769" s="6">
        <v>111.31</v>
      </c>
      <c r="K769" s="7">
        <v>0.05</v>
      </c>
      <c r="L769" s="6">
        <f t="shared" si="44"/>
        <v>105.7445</v>
      </c>
      <c r="M769" s="6">
        <v>94.61</v>
      </c>
      <c r="N769" s="8">
        <f t="shared" si="45"/>
        <v>11.134500000000003</v>
      </c>
      <c r="O769" s="4" t="s">
        <v>84</v>
      </c>
      <c r="P769" s="4" t="s">
        <v>97</v>
      </c>
      <c r="Q769" s="4">
        <v>5</v>
      </c>
      <c r="R769" s="21">
        <f t="shared" si="46"/>
        <v>0.10529625654289351</v>
      </c>
      <c r="S769" t="str">
        <f t="shared" si="47"/>
        <v>Small</v>
      </c>
    </row>
    <row r="770" spans="1:19" x14ac:dyDescent="0.35">
      <c r="A770" s="4" t="s">
        <v>1183</v>
      </c>
      <c r="B770" s="5">
        <v>45940</v>
      </c>
      <c r="C770" s="4" t="s">
        <v>1015</v>
      </c>
      <c r="D770" s="4" t="s">
        <v>20</v>
      </c>
      <c r="E770" s="4" t="s">
        <v>29</v>
      </c>
      <c r="F770" s="4" t="s">
        <v>30</v>
      </c>
      <c r="G770" s="4" t="s">
        <v>31</v>
      </c>
      <c r="H770" s="4" t="s">
        <v>125</v>
      </c>
      <c r="I770" s="4">
        <v>1</v>
      </c>
      <c r="J770" s="6">
        <v>90.72</v>
      </c>
      <c r="K770" s="7">
        <v>0</v>
      </c>
      <c r="L770" s="6">
        <f t="shared" ref="L770:L833" si="48">I770*J770*(1-K770)</f>
        <v>90.72</v>
      </c>
      <c r="M770" s="6">
        <v>67.48</v>
      </c>
      <c r="N770" s="8">
        <f t="shared" ref="N770:N833" si="49">L770-I770*M770</f>
        <v>23.239999999999995</v>
      </c>
      <c r="O770" s="4" t="s">
        <v>60</v>
      </c>
      <c r="P770" s="4" t="s">
        <v>33</v>
      </c>
      <c r="Q770" s="4">
        <v>5</v>
      </c>
      <c r="R770" s="21">
        <f t="shared" si="46"/>
        <v>0.25617283950617281</v>
      </c>
      <c r="S770" t="str">
        <f t="shared" si="47"/>
        <v>Small</v>
      </c>
    </row>
    <row r="771" spans="1:19" x14ac:dyDescent="0.35">
      <c r="A771" s="4" t="s">
        <v>1184</v>
      </c>
      <c r="B771" s="5">
        <v>45940</v>
      </c>
      <c r="C771" s="4" t="s">
        <v>309</v>
      </c>
      <c r="D771" s="4" t="s">
        <v>43</v>
      </c>
      <c r="E771" s="4" t="s">
        <v>87</v>
      </c>
      <c r="F771" s="4" t="s">
        <v>92</v>
      </c>
      <c r="G771" s="4" t="s">
        <v>31</v>
      </c>
      <c r="H771" s="4" t="s">
        <v>32</v>
      </c>
      <c r="I771" s="4">
        <v>6</v>
      </c>
      <c r="J771" s="6">
        <v>395.82</v>
      </c>
      <c r="K771" s="7">
        <v>0</v>
      </c>
      <c r="L771" s="6">
        <f t="shared" si="48"/>
        <v>2374.92</v>
      </c>
      <c r="M771" s="6">
        <v>227.51</v>
      </c>
      <c r="N771" s="8">
        <f t="shared" si="49"/>
        <v>1009.8600000000001</v>
      </c>
      <c r="O771" s="4" t="s">
        <v>51</v>
      </c>
      <c r="P771" s="4" t="s">
        <v>97</v>
      </c>
      <c r="Q771" s="4">
        <v>5</v>
      </c>
      <c r="R771" s="21">
        <f t="shared" ref="R771:R834" si="50">IF(L771=0,0,N771/L771)</f>
        <v>0.42521853367692392</v>
      </c>
      <c r="S771" t="str">
        <f t="shared" ref="S771:S834" si="51">IF(L771&gt;=2000,"Large",IF(L771&gt;=500,"Medium","Small"))</f>
        <v>Large</v>
      </c>
    </row>
    <row r="772" spans="1:19" x14ac:dyDescent="0.35">
      <c r="A772" s="4" t="s">
        <v>1185</v>
      </c>
      <c r="B772" s="5">
        <v>45941</v>
      </c>
      <c r="C772" s="4" t="s">
        <v>589</v>
      </c>
      <c r="D772" s="4" t="s">
        <v>43</v>
      </c>
      <c r="E772" s="4" t="s">
        <v>36</v>
      </c>
      <c r="F772" s="4" t="s">
        <v>37</v>
      </c>
      <c r="G772" s="4" t="s">
        <v>67</v>
      </c>
      <c r="H772" s="4" t="s">
        <v>93</v>
      </c>
      <c r="I772" s="4">
        <v>1</v>
      </c>
      <c r="J772" s="6">
        <v>139.72999999999999</v>
      </c>
      <c r="K772" s="7">
        <v>0.1</v>
      </c>
      <c r="L772" s="6">
        <f t="shared" si="48"/>
        <v>125.75699999999999</v>
      </c>
      <c r="M772" s="6">
        <v>97.25</v>
      </c>
      <c r="N772" s="8">
        <f t="shared" si="49"/>
        <v>28.506999999999991</v>
      </c>
      <c r="O772" s="4" t="s">
        <v>25</v>
      </c>
      <c r="P772" s="4" t="s">
        <v>56</v>
      </c>
      <c r="Q772" s="4">
        <v>5</v>
      </c>
      <c r="R772" s="21">
        <f t="shared" si="50"/>
        <v>0.22668320650142729</v>
      </c>
      <c r="S772" t="str">
        <f t="shared" si="51"/>
        <v>Small</v>
      </c>
    </row>
    <row r="773" spans="1:19" x14ac:dyDescent="0.35">
      <c r="A773" s="4" t="s">
        <v>1186</v>
      </c>
      <c r="B773" s="5">
        <v>45941</v>
      </c>
      <c r="C773" s="4" t="s">
        <v>592</v>
      </c>
      <c r="D773" s="4" t="s">
        <v>43</v>
      </c>
      <c r="E773" s="4" t="s">
        <v>36</v>
      </c>
      <c r="F773" s="4" t="s">
        <v>37</v>
      </c>
      <c r="G773" s="4" t="s">
        <v>23</v>
      </c>
      <c r="H773" s="4" t="s">
        <v>24</v>
      </c>
      <c r="I773" s="4">
        <v>3</v>
      </c>
      <c r="J773" s="6">
        <v>55.31</v>
      </c>
      <c r="K773" s="7">
        <v>0</v>
      </c>
      <c r="L773" s="6">
        <f t="shared" si="48"/>
        <v>165.93</v>
      </c>
      <c r="M773" s="6">
        <v>33.869999999999997</v>
      </c>
      <c r="N773" s="8">
        <f t="shared" si="49"/>
        <v>64.320000000000022</v>
      </c>
      <c r="O773" s="4" t="s">
        <v>60</v>
      </c>
      <c r="P773" s="4" t="s">
        <v>33</v>
      </c>
      <c r="Q773" s="4">
        <v>1</v>
      </c>
      <c r="R773" s="21">
        <f t="shared" si="50"/>
        <v>0.38763333935997119</v>
      </c>
      <c r="S773" t="str">
        <f t="shared" si="51"/>
        <v>Small</v>
      </c>
    </row>
    <row r="774" spans="1:19" x14ac:dyDescent="0.35">
      <c r="A774" s="4" t="s">
        <v>1187</v>
      </c>
      <c r="B774" s="5">
        <v>45941</v>
      </c>
      <c r="C774" s="4" t="s">
        <v>1188</v>
      </c>
      <c r="D774" s="4" t="s">
        <v>47</v>
      </c>
      <c r="E774" s="4" t="s">
        <v>29</v>
      </c>
      <c r="F774" s="4" t="s">
        <v>30</v>
      </c>
      <c r="G774" s="4" t="s">
        <v>38</v>
      </c>
      <c r="H774" s="4" t="s">
        <v>55</v>
      </c>
      <c r="I774" s="4">
        <v>1</v>
      </c>
      <c r="J774" s="6">
        <v>252.88</v>
      </c>
      <c r="K774" s="7">
        <v>0</v>
      </c>
      <c r="L774" s="6">
        <f t="shared" si="48"/>
        <v>252.88</v>
      </c>
      <c r="M774" s="6">
        <v>222.91</v>
      </c>
      <c r="N774" s="8">
        <f t="shared" si="49"/>
        <v>29.97</v>
      </c>
      <c r="O774" s="4" t="s">
        <v>25</v>
      </c>
      <c r="P774" s="4" t="s">
        <v>61</v>
      </c>
      <c r="Q774" s="4">
        <v>4</v>
      </c>
      <c r="R774" s="21">
        <f t="shared" si="50"/>
        <v>0.11851471053464094</v>
      </c>
      <c r="S774" t="str">
        <f t="shared" si="51"/>
        <v>Small</v>
      </c>
    </row>
    <row r="775" spans="1:19" x14ac:dyDescent="0.35">
      <c r="A775" s="4" t="s">
        <v>1189</v>
      </c>
      <c r="B775" s="5">
        <v>45941</v>
      </c>
      <c r="C775" s="4" t="s">
        <v>1190</v>
      </c>
      <c r="D775" s="4" t="s">
        <v>43</v>
      </c>
      <c r="E775" s="4" t="s">
        <v>87</v>
      </c>
      <c r="F775" s="4" t="s">
        <v>124</v>
      </c>
      <c r="G775" s="4" t="s">
        <v>67</v>
      </c>
      <c r="H775" s="4" t="s">
        <v>93</v>
      </c>
      <c r="I775" s="4">
        <v>1</v>
      </c>
      <c r="J775" s="6">
        <v>577.77</v>
      </c>
      <c r="K775" s="7">
        <v>0.05</v>
      </c>
      <c r="L775" s="6">
        <f t="shared" si="48"/>
        <v>548.88149999999996</v>
      </c>
      <c r="M775" s="6">
        <v>379.8</v>
      </c>
      <c r="N775" s="8">
        <f t="shared" si="49"/>
        <v>169.08149999999995</v>
      </c>
      <c r="O775" s="4" t="s">
        <v>84</v>
      </c>
      <c r="P775" s="4" t="s">
        <v>75</v>
      </c>
      <c r="Q775" s="4">
        <v>4</v>
      </c>
      <c r="R775" s="21">
        <f t="shared" si="50"/>
        <v>0.30804736541493921</v>
      </c>
      <c r="S775" t="str">
        <f t="shared" si="51"/>
        <v>Medium</v>
      </c>
    </row>
    <row r="776" spans="1:19" x14ac:dyDescent="0.35">
      <c r="A776" s="4" t="s">
        <v>1191</v>
      </c>
      <c r="B776" s="5">
        <v>45941</v>
      </c>
      <c r="C776" s="4" t="s">
        <v>162</v>
      </c>
      <c r="D776" s="4" t="s">
        <v>20</v>
      </c>
      <c r="E776" s="4" t="s">
        <v>21</v>
      </c>
      <c r="F776" s="4" t="s">
        <v>81</v>
      </c>
      <c r="G776" s="4" t="s">
        <v>67</v>
      </c>
      <c r="H776" s="4" t="s">
        <v>68</v>
      </c>
      <c r="I776" s="4">
        <v>6</v>
      </c>
      <c r="J776" s="6">
        <v>680.31</v>
      </c>
      <c r="K776" s="7">
        <v>0.05</v>
      </c>
      <c r="L776" s="6">
        <f t="shared" si="48"/>
        <v>3877.7669999999994</v>
      </c>
      <c r="M776" s="6">
        <v>412.69</v>
      </c>
      <c r="N776" s="8">
        <f t="shared" si="49"/>
        <v>1401.6269999999995</v>
      </c>
      <c r="O776" s="4" t="s">
        <v>40</v>
      </c>
      <c r="P776" s="4" t="s">
        <v>118</v>
      </c>
      <c r="Q776" s="4">
        <v>5</v>
      </c>
      <c r="R776" s="21">
        <f t="shared" si="50"/>
        <v>0.36145209343418511</v>
      </c>
      <c r="S776" t="str">
        <f t="shared" si="51"/>
        <v>Large</v>
      </c>
    </row>
    <row r="777" spans="1:19" x14ac:dyDescent="0.35">
      <c r="A777" s="4" t="s">
        <v>1192</v>
      </c>
      <c r="B777" s="5">
        <v>45941</v>
      </c>
      <c r="C777" s="4" t="s">
        <v>686</v>
      </c>
      <c r="D777" s="4" t="s">
        <v>43</v>
      </c>
      <c r="E777" s="4" t="s">
        <v>87</v>
      </c>
      <c r="F777" s="4" t="s">
        <v>92</v>
      </c>
      <c r="G777" s="4" t="s">
        <v>38</v>
      </c>
      <c r="H777" s="4" t="s">
        <v>109</v>
      </c>
      <c r="I777" s="4">
        <v>2</v>
      </c>
      <c r="J777" s="6">
        <v>500.02</v>
      </c>
      <c r="K777" s="7">
        <v>0</v>
      </c>
      <c r="L777" s="6">
        <f t="shared" si="48"/>
        <v>1000.04</v>
      </c>
      <c r="M777" s="6">
        <v>418.79</v>
      </c>
      <c r="N777" s="8">
        <f t="shared" si="49"/>
        <v>162.45999999999992</v>
      </c>
      <c r="O777" s="4" t="s">
        <v>51</v>
      </c>
      <c r="P777" s="4" t="s">
        <v>61</v>
      </c>
      <c r="Q777" s="4">
        <v>4</v>
      </c>
      <c r="R777" s="21">
        <f t="shared" si="50"/>
        <v>0.16245350185992552</v>
      </c>
      <c r="S777" t="str">
        <f t="shared" si="51"/>
        <v>Medium</v>
      </c>
    </row>
    <row r="778" spans="1:19" x14ac:dyDescent="0.35">
      <c r="A778" s="4" t="s">
        <v>1193</v>
      </c>
      <c r="B778" s="5">
        <v>45941</v>
      </c>
      <c r="C778" s="4" t="s">
        <v>734</v>
      </c>
      <c r="D778" s="4" t="s">
        <v>43</v>
      </c>
      <c r="E778" s="4" t="s">
        <v>36</v>
      </c>
      <c r="F778" s="4" t="s">
        <v>37</v>
      </c>
      <c r="G778" s="4" t="s">
        <v>49</v>
      </c>
      <c r="H778" s="4" t="s">
        <v>187</v>
      </c>
      <c r="I778" s="4">
        <v>8</v>
      </c>
      <c r="J778" s="6">
        <v>44.41</v>
      </c>
      <c r="K778" s="7">
        <v>0.1</v>
      </c>
      <c r="L778" s="6">
        <f t="shared" si="48"/>
        <v>319.75200000000001</v>
      </c>
      <c r="M778" s="6">
        <v>28.63</v>
      </c>
      <c r="N778" s="8">
        <f t="shared" si="49"/>
        <v>90.712000000000018</v>
      </c>
      <c r="O778" s="4" t="s">
        <v>40</v>
      </c>
      <c r="P778" s="4" t="s">
        <v>26</v>
      </c>
      <c r="Q778" s="4">
        <v>4</v>
      </c>
      <c r="R778" s="21">
        <f t="shared" si="50"/>
        <v>0.28369486351922746</v>
      </c>
      <c r="S778" t="str">
        <f t="shared" si="51"/>
        <v>Small</v>
      </c>
    </row>
    <row r="779" spans="1:19" x14ac:dyDescent="0.35">
      <c r="A779" s="4" t="s">
        <v>1194</v>
      </c>
      <c r="B779" s="5">
        <v>45942</v>
      </c>
      <c r="C779" s="4" t="s">
        <v>1195</v>
      </c>
      <c r="D779" s="4" t="s">
        <v>47</v>
      </c>
      <c r="E779" s="4" t="s">
        <v>29</v>
      </c>
      <c r="F779" s="4" t="s">
        <v>54</v>
      </c>
      <c r="G779" s="4" t="s">
        <v>23</v>
      </c>
      <c r="H779" s="4" t="s">
        <v>135</v>
      </c>
      <c r="I779" s="4">
        <v>4</v>
      </c>
      <c r="J779" s="6">
        <v>32.64</v>
      </c>
      <c r="K779" s="7">
        <v>0.1</v>
      </c>
      <c r="L779" s="6">
        <f t="shared" si="48"/>
        <v>117.504</v>
      </c>
      <c r="M779" s="6">
        <v>21</v>
      </c>
      <c r="N779" s="8">
        <f t="shared" si="49"/>
        <v>33.504000000000005</v>
      </c>
      <c r="O779" s="4" t="s">
        <v>51</v>
      </c>
      <c r="P779" s="4" t="s">
        <v>118</v>
      </c>
      <c r="Q779" s="4">
        <v>3</v>
      </c>
      <c r="R779" s="21">
        <f t="shared" si="50"/>
        <v>0.28513071895424841</v>
      </c>
      <c r="S779" t="str">
        <f t="shared" si="51"/>
        <v>Small</v>
      </c>
    </row>
    <row r="780" spans="1:19" x14ac:dyDescent="0.35">
      <c r="A780" s="4" t="s">
        <v>1196</v>
      </c>
      <c r="B780" s="5">
        <v>45942</v>
      </c>
      <c r="C780" s="4" t="s">
        <v>144</v>
      </c>
      <c r="D780" s="4" t="s">
        <v>20</v>
      </c>
      <c r="E780" s="4" t="s">
        <v>87</v>
      </c>
      <c r="F780" s="4" t="s">
        <v>92</v>
      </c>
      <c r="G780" s="4" t="s">
        <v>23</v>
      </c>
      <c r="H780" s="4" t="s">
        <v>71</v>
      </c>
      <c r="I780" s="4">
        <v>3</v>
      </c>
      <c r="J780" s="6">
        <v>54.37</v>
      </c>
      <c r="K780" s="7">
        <v>0.05</v>
      </c>
      <c r="L780" s="6">
        <f t="shared" si="48"/>
        <v>154.95449999999997</v>
      </c>
      <c r="M780" s="6">
        <v>23.85</v>
      </c>
      <c r="N780" s="8">
        <f t="shared" si="49"/>
        <v>83.404499999999956</v>
      </c>
      <c r="O780" s="4" t="s">
        <v>40</v>
      </c>
      <c r="P780" s="4" t="s">
        <v>75</v>
      </c>
      <c r="Q780" s="4">
        <v>2</v>
      </c>
      <c r="R780" s="21">
        <f t="shared" si="50"/>
        <v>0.53825155126182189</v>
      </c>
      <c r="S780" t="str">
        <f t="shared" si="51"/>
        <v>Small</v>
      </c>
    </row>
    <row r="781" spans="1:19" x14ac:dyDescent="0.35">
      <c r="A781" s="4" t="s">
        <v>1197</v>
      </c>
      <c r="B781" s="5">
        <v>45942</v>
      </c>
      <c r="C781" s="4" t="s">
        <v>1029</v>
      </c>
      <c r="D781" s="4" t="s">
        <v>47</v>
      </c>
      <c r="E781" s="4" t="s">
        <v>36</v>
      </c>
      <c r="F781" s="4" t="s">
        <v>37</v>
      </c>
      <c r="G781" s="4" t="s">
        <v>67</v>
      </c>
      <c r="H781" s="4" t="s">
        <v>121</v>
      </c>
      <c r="I781" s="4">
        <v>2</v>
      </c>
      <c r="J781" s="6">
        <v>203.39</v>
      </c>
      <c r="K781" s="7">
        <v>0</v>
      </c>
      <c r="L781" s="6">
        <f t="shared" si="48"/>
        <v>406.78</v>
      </c>
      <c r="M781" s="6">
        <v>158.75</v>
      </c>
      <c r="N781" s="8">
        <f t="shared" si="49"/>
        <v>89.279999999999973</v>
      </c>
      <c r="O781" s="4" t="s">
        <v>51</v>
      </c>
      <c r="P781" s="4" t="s">
        <v>75</v>
      </c>
      <c r="Q781" s="4">
        <v>5</v>
      </c>
      <c r="R781" s="21">
        <f t="shared" si="50"/>
        <v>0.21947981710015235</v>
      </c>
      <c r="S781" t="str">
        <f t="shared" si="51"/>
        <v>Small</v>
      </c>
    </row>
    <row r="782" spans="1:19" x14ac:dyDescent="0.35">
      <c r="A782" s="4" t="s">
        <v>1198</v>
      </c>
      <c r="B782" s="5">
        <v>45943</v>
      </c>
      <c r="C782" s="4" t="s">
        <v>563</v>
      </c>
      <c r="D782" s="4" t="s">
        <v>43</v>
      </c>
      <c r="E782" s="4" t="s">
        <v>87</v>
      </c>
      <c r="F782" s="4" t="s">
        <v>92</v>
      </c>
      <c r="G782" s="4" t="s">
        <v>23</v>
      </c>
      <c r="H782" s="4" t="s">
        <v>44</v>
      </c>
      <c r="I782" s="4">
        <v>3</v>
      </c>
      <c r="J782" s="6">
        <v>56.37</v>
      </c>
      <c r="K782" s="7">
        <v>0.1</v>
      </c>
      <c r="L782" s="6">
        <f t="shared" si="48"/>
        <v>152.19899999999998</v>
      </c>
      <c r="M782" s="6">
        <v>24.03</v>
      </c>
      <c r="N782" s="8">
        <f t="shared" si="49"/>
        <v>80.10899999999998</v>
      </c>
      <c r="O782" s="4" t="s">
        <v>51</v>
      </c>
      <c r="P782" s="4" t="s">
        <v>72</v>
      </c>
      <c r="Q782" s="4">
        <v>2</v>
      </c>
      <c r="R782" s="21">
        <f t="shared" si="50"/>
        <v>0.52634379989356028</v>
      </c>
      <c r="S782" t="str">
        <f t="shared" si="51"/>
        <v>Small</v>
      </c>
    </row>
    <row r="783" spans="1:19" x14ac:dyDescent="0.35">
      <c r="A783" s="4" t="s">
        <v>1199</v>
      </c>
      <c r="B783" s="5">
        <v>45943</v>
      </c>
      <c r="C783" s="4" t="s">
        <v>1169</v>
      </c>
      <c r="D783" s="4" t="s">
        <v>43</v>
      </c>
      <c r="E783" s="4" t="s">
        <v>87</v>
      </c>
      <c r="F783" s="4" t="s">
        <v>88</v>
      </c>
      <c r="G783" s="4" t="s">
        <v>38</v>
      </c>
      <c r="H783" s="4" t="s">
        <v>39</v>
      </c>
      <c r="I783" s="4">
        <v>1</v>
      </c>
      <c r="J783" s="6">
        <v>405.56</v>
      </c>
      <c r="K783" s="7">
        <v>0</v>
      </c>
      <c r="L783" s="6">
        <f t="shared" si="48"/>
        <v>405.56</v>
      </c>
      <c r="M783" s="6">
        <v>333.38</v>
      </c>
      <c r="N783" s="8">
        <f t="shared" si="49"/>
        <v>72.180000000000007</v>
      </c>
      <c r="O783" s="4" t="s">
        <v>40</v>
      </c>
      <c r="P783" s="4" t="s">
        <v>75</v>
      </c>
      <c r="Q783" s="4">
        <v>5</v>
      </c>
      <c r="R783" s="21">
        <f t="shared" si="50"/>
        <v>0.177976131768419</v>
      </c>
      <c r="S783" t="str">
        <f t="shared" si="51"/>
        <v>Small</v>
      </c>
    </row>
    <row r="784" spans="1:19" x14ac:dyDescent="0.35">
      <c r="A784" s="4" t="s">
        <v>1200</v>
      </c>
      <c r="B784" s="5">
        <v>45943</v>
      </c>
      <c r="C784" s="4" t="s">
        <v>357</v>
      </c>
      <c r="D784" s="4" t="s">
        <v>47</v>
      </c>
      <c r="E784" s="4" t="s">
        <v>36</v>
      </c>
      <c r="F784" s="4" t="s">
        <v>37</v>
      </c>
      <c r="G784" s="4" t="s">
        <v>67</v>
      </c>
      <c r="H784" s="4" t="s">
        <v>68</v>
      </c>
      <c r="I784" s="4">
        <v>3</v>
      </c>
      <c r="J784" s="6">
        <v>1184.43</v>
      </c>
      <c r="K784" s="7">
        <v>0.15</v>
      </c>
      <c r="L784" s="6">
        <f t="shared" si="48"/>
        <v>3020.2964999999999</v>
      </c>
      <c r="M784" s="6">
        <v>753.23</v>
      </c>
      <c r="N784" s="8">
        <f t="shared" si="49"/>
        <v>760.60649999999987</v>
      </c>
      <c r="O784" s="4" t="s">
        <v>40</v>
      </c>
      <c r="P784" s="4" t="s">
        <v>61</v>
      </c>
      <c r="Q784" s="4">
        <v>4</v>
      </c>
      <c r="R784" s="21">
        <f t="shared" si="50"/>
        <v>0.2518317324143507</v>
      </c>
      <c r="S784" t="str">
        <f t="shared" si="51"/>
        <v>Large</v>
      </c>
    </row>
    <row r="785" spans="1:19" x14ac:dyDescent="0.35">
      <c r="A785" s="4" t="s">
        <v>1201</v>
      </c>
      <c r="B785" s="5">
        <v>45944</v>
      </c>
      <c r="C785" s="4" t="s">
        <v>83</v>
      </c>
      <c r="D785" s="4" t="s">
        <v>20</v>
      </c>
      <c r="E785" s="4" t="s">
        <v>87</v>
      </c>
      <c r="F785" s="4" t="s">
        <v>92</v>
      </c>
      <c r="G785" s="4" t="s">
        <v>38</v>
      </c>
      <c r="H785" s="4" t="s">
        <v>109</v>
      </c>
      <c r="I785" s="4">
        <v>2</v>
      </c>
      <c r="J785" s="6">
        <v>436.62</v>
      </c>
      <c r="K785" s="7">
        <v>0</v>
      </c>
      <c r="L785" s="6">
        <f t="shared" si="48"/>
        <v>873.24</v>
      </c>
      <c r="M785" s="6">
        <v>344.38</v>
      </c>
      <c r="N785" s="8">
        <f t="shared" si="49"/>
        <v>184.48000000000002</v>
      </c>
      <c r="O785" s="4" t="s">
        <v>40</v>
      </c>
      <c r="P785" s="4" t="s">
        <v>118</v>
      </c>
      <c r="Q785" s="4">
        <v>4</v>
      </c>
      <c r="R785" s="21">
        <f t="shared" si="50"/>
        <v>0.21125921854243968</v>
      </c>
      <c r="S785" t="str">
        <f t="shared" si="51"/>
        <v>Medium</v>
      </c>
    </row>
    <row r="786" spans="1:19" x14ac:dyDescent="0.35">
      <c r="A786" s="4" t="s">
        <v>1202</v>
      </c>
      <c r="B786" s="5">
        <v>45944</v>
      </c>
      <c r="C786" s="4" t="s">
        <v>614</v>
      </c>
      <c r="D786" s="4" t="s">
        <v>47</v>
      </c>
      <c r="E786" s="4" t="s">
        <v>87</v>
      </c>
      <c r="F786" s="4" t="s">
        <v>88</v>
      </c>
      <c r="G786" s="4" t="s">
        <v>67</v>
      </c>
      <c r="H786" s="4" t="s">
        <v>121</v>
      </c>
      <c r="I786" s="4">
        <v>1</v>
      </c>
      <c r="J786" s="6">
        <v>251.67</v>
      </c>
      <c r="K786" s="7">
        <v>0</v>
      </c>
      <c r="L786" s="6">
        <f t="shared" si="48"/>
        <v>251.67</v>
      </c>
      <c r="M786" s="6">
        <v>160.38999999999999</v>
      </c>
      <c r="N786" s="8">
        <f t="shared" si="49"/>
        <v>91.28</v>
      </c>
      <c r="O786" s="4" t="s">
        <v>51</v>
      </c>
      <c r="P786" s="4" t="s">
        <v>33</v>
      </c>
      <c r="Q786" s="4">
        <v>1</v>
      </c>
      <c r="R786" s="21">
        <f t="shared" si="50"/>
        <v>0.36269718281877061</v>
      </c>
      <c r="S786" t="str">
        <f t="shared" si="51"/>
        <v>Small</v>
      </c>
    </row>
    <row r="787" spans="1:19" x14ac:dyDescent="0.35">
      <c r="A787" s="4" t="s">
        <v>1203</v>
      </c>
      <c r="B787" s="5">
        <v>45945</v>
      </c>
      <c r="C787" s="4" t="s">
        <v>371</v>
      </c>
      <c r="D787" s="4" t="s">
        <v>47</v>
      </c>
      <c r="E787" s="4" t="s">
        <v>87</v>
      </c>
      <c r="F787" s="4" t="s">
        <v>92</v>
      </c>
      <c r="G787" s="4" t="s">
        <v>31</v>
      </c>
      <c r="H787" s="4" t="s">
        <v>32</v>
      </c>
      <c r="I787" s="4">
        <v>6</v>
      </c>
      <c r="J787" s="6">
        <v>84.07</v>
      </c>
      <c r="K787" s="7">
        <v>0.05</v>
      </c>
      <c r="L787" s="6">
        <f t="shared" si="48"/>
        <v>479.19899999999996</v>
      </c>
      <c r="M787" s="6">
        <v>47.8</v>
      </c>
      <c r="N787" s="8">
        <f t="shared" si="49"/>
        <v>192.399</v>
      </c>
      <c r="O787" s="4" t="s">
        <v>25</v>
      </c>
      <c r="P787" s="4" t="s">
        <v>72</v>
      </c>
      <c r="Q787" s="4">
        <v>4</v>
      </c>
      <c r="R787" s="21">
        <f t="shared" si="50"/>
        <v>0.4015012552196478</v>
      </c>
      <c r="S787" t="str">
        <f t="shared" si="51"/>
        <v>Small</v>
      </c>
    </row>
    <row r="788" spans="1:19" x14ac:dyDescent="0.35">
      <c r="A788" s="4" t="s">
        <v>1204</v>
      </c>
      <c r="B788" s="5">
        <v>45945</v>
      </c>
      <c r="C788" s="4" t="s">
        <v>1120</v>
      </c>
      <c r="D788" s="4" t="s">
        <v>20</v>
      </c>
      <c r="E788" s="4" t="s">
        <v>87</v>
      </c>
      <c r="F788" s="4" t="s">
        <v>92</v>
      </c>
      <c r="G788" s="4" t="s">
        <v>31</v>
      </c>
      <c r="H788" s="4" t="s">
        <v>32</v>
      </c>
      <c r="I788" s="4">
        <v>3</v>
      </c>
      <c r="J788" s="6">
        <v>239.3</v>
      </c>
      <c r="K788" s="7">
        <v>0.05</v>
      </c>
      <c r="L788" s="6">
        <f t="shared" si="48"/>
        <v>682.00500000000011</v>
      </c>
      <c r="M788" s="6">
        <v>171.12</v>
      </c>
      <c r="N788" s="8">
        <f t="shared" si="49"/>
        <v>168.6450000000001</v>
      </c>
      <c r="O788" s="4" t="s">
        <v>84</v>
      </c>
      <c r="P788" s="4" t="s">
        <v>33</v>
      </c>
      <c r="Q788" s="4">
        <v>5</v>
      </c>
      <c r="R788" s="21">
        <f t="shared" si="50"/>
        <v>0.24727824576066168</v>
      </c>
      <c r="S788" t="str">
        <f t="shared" si="51"/>
        <v>Medium</v>
      </c>
    </row>
    <row r="789" spans="1:19" x14ac:dyDescent="0.35">
      <c r="A789" s="4" t="s">
        <v>1205</v>
      </c>
      <c r="B789" s="5">
        <v>45945</v>
      </c>
      <c r="C789" s="4" t="s">
        <v>86</v>
      </c>
      <c r="D789" s="4" t="s">
        <v>20</v>
      </c>
      <c r="E789" s="4" t="s">
        <v>29</v>
      </c>
      <c r="F789" s="4" t="s">
        <v>30</v>
      </c>
      <c r="G789" s="4" t="s">
        <v>31</v>
      </c>
      <c r="H789" s="4" t="s">
        <v>32</v>
      </c>
      <c r="I789" s="4">
        <v>8</v>
      </c>
      <c r="J789" s="6">
        <v>92.51</v>
      </c>
      <c r="K789" s="7">
        <v>0.1</v>
      </c>
      <c r="L789" s="6">
        <f t="shared" si="48"/>
        <v>666.072</v>
      </c>
      <c r="M789" s="6">
        <v>53.85</v>
      </c>
      <c r="N789" s="8">
        <f t="shared" si="49"/>
        <v>235.27199999999999</v>
      </c>
      <c r="O789" s="4" t="s">
        <v>51</v>
      </c>
      <c r="P789" s="4" t="s">
        <v>33</v>
      </c>
      <c r="Q789" s="4">
        <v>3</v>
      </c>
      <c r="R789" s="21">
        <f t="shared" si="50"/>
        <v>0.35322307498288474</v>
      </c>
      <c r="S789" t="str">
        <f t="shared" si="51"/>
        <v>Medium</v>
      </c>
    </row>
    <row r="790" spans="1:19" x14ac:dyDescent="0.35">
      <c r="A790" s="4" t="s">
        <v>1206</v>
      </c>
      <c r="B790" s="5">
        <v>45946</v>
      </c>
      <c r="C790" s="4" t="s">
        <v>398</v>
      </c>
      <c r="D790" s="4" t="s">
        <v>47</v>
      </c>
      <c r="E790" s="4" t="s">
        <v>21</v>
      </c>
      <c r="F790" s="4" t="s">
        <v>22</v>
      </c>
      <c r="G790" s="4" t="s">
        <v>67</v>
      </c>
      <c r="H790" s="4" t="s">
        <v>140</v>
      </c>
      <c r="I790" s="4">
        <v>1</v>
      </c>
      <c r="J790" s="6">
        <v>171.05</v>
      </c>
      <c r="K790" s="7">
        <v>0.1</v>
      </c>
      <c r="L790" s="6">
        <f t="shared" si="48"/>
        <v>153.94500000000002</v>
      </c>
      <c r="M790" s="6">
        <v>108.45</v>
      </c>
      <c r="N790" s="8">
        <f t="shared" si="49"/>
        <v>45.495000000000019</v>
      </c>
      <c r="O790" s="4" t="s">
        <v>60</v>
      </c>
      <c r="P790" s="4" t="s">
        <v>26</v>
      </c>
      <c r="Q790" s="4">
        <v>5</v>
      </c>
      <c r="R790" s="21">
        <f t="shared" si="50"/>
        <v>0.29552762350190009</v>
      </c>
      <c r="S790" t="str">
        <f t="shared" si="51"/>
        <v>Small</v>
      </c>
    </row>
    <row r="791" spans="1:19" x14ac:dyDescent="0.35">
      <c r="A791" s="4" t="s">
        <v>1207</v>
      </c>
      <c r="B791" s="5">
        <v>45946</v>
      </c>
      <c r="C791" s="4" t="s">
        <v>231</v>
      </c>
      <c r="D791" s="4" t="s">
        <v>43</v>
      </c>
      <c r="E791" s="4" t="s">
        <v>87</v>
      </c>
      <c r="F791" s="4" t="s">
        <v>88</v>
      </c>
      <c r="G791" s="4" t="s">
        <v>23</v>
      </c>
      <c r="H791" s="4" t="s">
        <v>24</v>
      </c>
      <c r="I791" s="4">
        <v>6</v>
      </c>
      <c r="J791" s="6">
        <v>88.79</v>
      </c>
      <c r="K791" s="7">
        <v>0</v>
      </c>
      <c r="L791" s="6">
        <f t="shared" si="48"/>
        <v>532.74</v>
      </c>
      <c r="M791" s="6">
        <v>39.770000000000003</v>
      </c>
      <c r="N791" s="8">
        <f t="shared" si="49"/>
        <v>294.12</v>
      </c>
      <c r="O791" s="4" t="s">
        <v>60</v>
      </c>
      <c r="P791" s="4" t="s">
        <v>75</v>
      </c>
      <c r="Q791" s="4">
        <v>4</v>
      </c>
      <c r="R791" s="21">
        <f t="shared" si="50"/>
        <v>0.55208919923414801</v>
      </c>
      <c r="S791" t="str">
        <f t="shared" si="51"/>
        <v>Medium</v>
      </c>
    </row>
    <row r="792" spans="1:19" x14ac:dyDescent="0.35">
      <c r="A792" s="4" t="s">
        <v>1208</v>
      </c>
      <c r="B792" s="5">
        <v>45946</v>
      </c>
      <c r="C792" s="4" t="s">
        <v>1015</v>
      </c>
      <c r="D792" s="4" t="s">
        <v>47</v>
      </c>
      <c r="E792" s="4" t="s">
        <v>21</v>
      </c>
      <c r="F792" s="4" t="s">
        <v>22</v>
      </c>
      <c r="G792" s="4" t="s">
        <v>38</v>
      </c>
      <c r="H792" s="4" t="s">
        <v>89</v>
      </c>
      <c r="I792" s="4">
        <v>2</v>
      </c>
      <c r="J792" s="6">
        <v>981.15</v>
      </c>
      <c r="K792" s="7">
        <v>0.1</v>
      </c>
      <c r="L792" s="6">
        <f t="shared" si="48"/>
        <v>1766.07</v>
      </c>
      <c r="M792" s="6">
        <v>827.95</v>
      </c>
      <c r="N792" s="8">
        <f t="shared" si="49"/>
        <v>110.16999999999985</v>
      </c>
      <c r="O792" s="4" t="s">
        <v>51</v>
      </c>
      <c r="P792" s="4" t="s">
        <v>72</v>
      </c>
      <c r="Q792" s="4">
        <v>3</v>
      </c>
      <c r="R792" s="21">
        <f t="shared" si="50"/>
        <v>6.2381445809056184E-2</v>
      </c>
      <c r="S792" t="str">
        <f t="shared" si="51"/>
        <v>Medium</v>
      </c>
    </row>
    <row r="793" spans="1:19" x14ac:dyDescent="0.35">
      <c r="A793" s="4" t="s">
        <v>1209</v>
      </c>
      <c r="B793" s="5">
        <v>45946</v>
      </c>
      <c r="C793" s="4" t="s">
        <v>771</v>
      </c>
      <c r="D793" s="4" t="s">
        <v>47</v>
      </c>
      <c r="E793" s="4" t="s">
        <v>29</v>
      </c>
      <c r="F793" s="4" t="s">
        <v>108</v>
      </c>
      <c r="G793" s="4" t="s">
        <v>23</v>
      </c>
      <c r="H793" s="4" t="s">
        <v>71</v>
      </c>
      <c r="I793" s="4">
        <v>5</v>
      </c>
      <c r="J793" s="6">
        <v>84.46</v>
      </c>
      <c r="K793" s="7">
        <v>0</v>
      </c>
      <c r="L793" s="6">
        <f t="shared" si="48"/>
        <v>422.29999999999995</v>
      </c>
      <c r="M793" s="6">
        <v>39.229999999999997</v>
      </c>
      <c r="N793" s="8">
        <f t="shared" si="49"/>
        <v>226.14999999999998</v>
      </c>
      <c r="O793" s="4" t="s">
        <v>60</v>
      </c>
      <c r="P793" s="4" t="s">
        <v>72</v>
      </c>
      <c r="Q793" s="4">
        <v>1</v>
      </c>
      <c r="R793" s="21">
        <f t="shared" si="50"/>
        <v>0.53551977267345485</v>
      </c>
      <c r="S793" t="str">
        <f t="shared" si="51"/>
        <v>Small</v>
      </c>
    </row>
    <row r="794" spans="1:19" x14ac:dyDescent="0.35">
      <c r="A794" s="4" t="s">
        <v>1210</v>
      </c>
      <c r="B794" s="5">
        <v>45947</v>
      </c>
      <c r="C794" s="4" t="s">
        <v>609</v>
      </c>
      <c r="D794" s="4" t="s">
        <v>20</v>
      </c>
      <c r="E794" s="4" t="s">
        <v>21</v>
      </c>
      <c r="F794" s="4" t="s">
        <v>81</v>
      </c>
      <c r="G794" s="4" t="s">
        <v>38</v>
      </c>
      <c r="H794" s="4" t="s">
        <v>89</v>
      </c>
      <c r="I794" s="4">
        <v>1</v>
      </c>
      <c r="J794" s="6">
        <v>919.67</v>
      </c>
      <c r="K794" s="7">
        <v>0.1</v>
      </c>
      <c r="L794" s="6">
        <f t="shared" si="48"/>
        <v>827.70299999999997</v>
      </c>
      <c r="M794" s="6">
        <v>771.42</v>
      </c>
      <c r="N794" s="8">
        <f t="shared" si="49"/>
        <v>56.283000000000015</v>
      </c>
      <c r="O794" s="4" t="s">
        <v>51</v>
      </c>
      <c r="P794" s="4" t="s">
        <v>26</v>
      </c>
      <c r="Q794" s="4">
        <v>3</v>
      </c>
      <c r="R794" s="21">
        <f t="shared" si="50"/>
        <v>6.7999028637083611E-2</v>
      </c>
      <c r="S794" t="str">
        <f t="shared" si="51"/>
        <v>Medium</v>
      </c>
    </row>
    <row r="795" spans="1:19" x14ac:dyDescent="0.35">
      <c r="A795" s="4" t="s">
        <v>1211</v>
      </c>
      <c r="B795" s="5">
        <v>45947</v>
      </c>
      <c r="C795" s="4" t="s">
        <v>594</v>
      </c>
      <c r="D795" s="4" t="s">
        <v>20</v>
      </c>
      <c r="E795" s="4" t="s">
        <v>87</v>
      </c>
      <c r="F795" s="4" t="s">
        <v>88</v>
      </c>
      <c r="G795" s="4" t="s">
        <v>38</v>
      </c>
      <c r="H795" s="4" t="s">
        <v>96</v>
      </c>
      <c r="I795" s="4">
        <v>2</v>
      </c>
      <c r="J795" s="6">
        <v>425.47</v>
      </c>
      <c r="K795" s="7">
        <v>0.1</v>
      </c>
      <c r="L795" s="6">
        <f t="shared" si="48"/>
        <v>765.84600000000012</v>
      </c>
      <c r="M795" s="6">
        <v>360.17</v>
      </c>
      <c r="N795" s="8">
        <f t="shared" si="49"/>
        <v>45.506000000000085</v>
      </c>
      <c r="O795" s="4" t="s">
        <v>60</v>
      </c>
      <c r="P795" s="4" t="s">
        <v>61</v>
      </c>
      <c r="Q795" s="4">
        <v>5</v>
      </c>
      <c r="R795" s="21">
        <f t="shared" si="50"/>
        <v>5.9419256612948397E-2</v>
      </c>
      <c r="S795" t="str">
        <f t="shared" si="51"/>
        <v>Medium</v>
      </c>
    </row>
    <row r="796" spans="1:19" x14ac:dyDescent="0.35">
      <c r="A796" s="4" t="s">
        <v>1212</v>
      </c>
      <c r="B796" s="5">
        <v>45948</v>
      </c>
      <c r="C796" s="4" t="s">
        <v>183</v>
      </c>
      <c r="D796" s="4" t="s">
        <v>43</v>
      </c>
      <c r="E796" s="4" t="s">
        <v>36</v>
      </c>
      <c r="F796" s="4" t="s">
        <v>48</v>
      </c>
      <c r="G796" s="4" t="s">
        <v>67</v>
      </c>
      <c r="H796" s="4" t="s">
        <v>121</v>
      </c>
      <c r="I796" s="4">
        <v>1</v>
      </c>
      <c r="J796" s="6">
        <v>264.52</v>
      </c>
      <c r="K796" s="7">
        <v>0.2</v>
      </c>
      <c r="L796" s="6">
        <f t="shared" si="48"/>
        <v>211.61599999999999</v>
      </c>
      <c r="M796" s="6">
        <v>208.89</v>
      </c>
      <c r="N796" s="8">
        <f t="shared" si="49"/>
        <v>2.7259999999999991</v>
      </c>
      <c r="O796" s="4" t="s">
        <v>25</v>
      </c>
      <c r="P796" s="4" t="s">
        <v>56</v>
      </c>
      <c r="Q796" s="4">
        <v>5</v>
      </c>
      <c r="R796" s="21">
        <f t="shared" si="50"/>
        <v>1.2881823680629061E-2</v>
      </c>
      <c r="S796" t="str">
        <f t="shared" si="51"/>
        <v>Small</v>
      </c>
    </row>
    <row r="797" spans="1:19" x14ac:dyDescent="0.35">
      <c r="A797" s="4" t="s">
        <v>1213</v>
      </c>
      <c r="B797" s="5">
        <v>45948</v>
      </c>
      <c r="C797" s="4" t="s">
        <v>648</v>
      </c>
      <c r="D797" s="4" t="s">
        <v>20</v>
      </c>
      <c r="E797" s="4" t="s">
        <v>36</v>
      </c>
      <c r="F797" s="4" t="s">
        <v>201</v>
      </c>
      <c r="G797" s="4" t="s">
        <v>38</v>
      </c>
      <c r="H797" s="4" t="s">
        <v>55</v>
      </c>
      <c r="I797" s="4">
        <v>3</v>
      </c>
      <c r="J797" s="6">
        <v>50.19</v>
      </c>
      <c r="K797" s="7">
        <v>0.05</v>
      </c>
      <c r="L797" s="6">
        <f t="shared" si="48"/>
        <v>143.04149999999998</v>
      </c>
      <c r="M797" s="6">
        <v>40.840000000000003</v>
      </c>
      <c r="N797" s="8">
        <f t="shared" si="49"/>
        <v>20.521499999999975</v>
      </c>
      <c r="O797" s="4" t="s">
        <v>40</v>
      </c>
      <c r="P797" s="4" t="s">
        <v>33</v>
      </c>
      <c r="Q797" s="4">
        <v>4</v>
      </c>
      <c r="R797" s="21">
        <f t="shared" si="50"/>
        <v>0.1434653579555582</v>
      </c>
      <c r="S797" t="str">
        <f t="shared" si="51"/>
        <v>Small</v>
      </c>
    </row>
    <row r="798" spans="1:19" x14ac:dyDescent="0.35">
      <c r="A798" s="4" t="s">
        <v>1214</v>
      </c>
      <c r="B798" s="5">
        <v>45949</v>
      </c>
      <c r="C798" s="4" t="s">
        <v>123</v>
      </c>
      <c r="D798" s="4" t="s">
        <v>20</v>
      </c>
      <c r="E798" s="4" t="s">
        <v>21</v>
      </c>
      <c r="F798" s="4" t="s">
        <v>22</v>
      </c>
      <c r="G798" s="4" t="s">
        <v>38</v>
      </c>
      <c r="H798" s="4" t="s">
        <v>96</v>
      </c>
      <c r="I798" s="4">
        <v>1</v>
      </c>
      <c r="J798" s="6">
        <v>293.48</v>
      </c>
      <c r="K798" s="7">
        <v>0.15</v>
      </c>
      <c r="L798" s="6">
        <f t="shared" si="48"/>
        <v>249.458</v>
      </c>
      <c r="M798" s="6">
        <v>249.4</v>
      </c>
      <c r="N798" s="8">
        <f t="shared" si="49"/>
        <v>5.7999999999992724E-2</v>
      </c>
      <c r="O798" s="4" t="s">
        <v>60</v>
      </c>
      <c r="P798" s="4" t="s">
        <v>72</v>
      </c>
      <c r="Q798" s="4">
        <v>4</v>
      </c>
      <c r="R798" s="21">
        <f t="shared" si="50"/>
        <v>2.3250406882117521E-4</v>
      </c>
      <c r="S798" t="str">
        <f t="shared" si="51"/>
        <v>Small</v>
      </c>
    </row>
    <row r="799" spans="1:19" x14ac:dyDescent="0.35">
      <c r="A799" s="4" t="s">
        <v>1215</v>
      </c>
      <c r="B799" s="5">
        <v>45949</v>
      </c>
      <c r="C799" s="4" t="s">
        <v>303</v>
      </c>
      <c r="D799" s="4" t="s">
        <v>43</v>
      </c>
      <c r="E799" s="4" t="s">
        <v>29</v>
      </c>
      <c r="F799" s="4" t="s">
        <v>108</v>
      </c>
      <c r="G799" s="4" t="s">
        <v>31</v>
      </c>
      <c r="H799" s="4" t="s">
        <v>147</v>
      </c>
      <c r="I799" s="4">
        <v>4</v>
      </c>
      <c r="J799" s="6">
        <v>57.86</v>
      </c>
      <c r="K799" s="7">
        <v>0.2</v>
      </c>
      <c r="L799" s="6">
        <f t="shared" si="48"/>
        <v>185.15200000000002</v>
      </c>
      <c r="M799" s="6">
        <v>42.58</v>
      </c>
      <c r="N799" s="8">
        <f t="shared" si="49"/>
        <v>14.832000000000022</v>
      </c>
      <c r="O799" s="4" t="s">
        <v>84</v>
      </c>
      <c r="P799" s="4" t="s">
        <v>33</v>
      </c>
      <c r="Q799" s="4">
        <v>5</v>
      </c>
      <c r="R799" s="21">
        <f t="shared" si="50"/>
        <v>8.0107155202212343E-2</v>
      </c>
      <c r="S799" t="str">
        <f t="shared" si="51"/>
        <v>Small</v>
      </c>
    </row>
    <row r="800" spans="1:19" x14ac:dyDescent="0.35">
      <c r="A800" s="4" t="s">
        <v>1216</v>
      </c>
      <c r="B800" s="5">
        <v>45949</v>
      </c>
      <c r="C800" s="4" t="s">
        <v>1179</v>
      </c>
      <c r="D800" s="4" t="s">
        <v>47</v>
      </c>
      <c r="E800" s="4" t="s">
        <v>29</v>
      </c>
      <c r="F800" s="4" t="s">
        <v>30</v>
      </c>
      <c r="G800" s="4" t="s">
        <v>38</v>
      </c>
      <c r="H800" s="4" t="s">
        <v>96</v>
      </c>
      <c r="I800" s="4">
        <v>2</v>
      </c>
      <c r="J800" s="6">
        <v>429.18</v>
      </c>
      <c r="K800" s="7">
        <v>0.15</v>
      </c>
      <c r="L800" s="6">
        <f t="shared" si="48"/>
        <v>729.60599999999999</v>
      </c>
      <c r="M800" s="6">
        <v>344.4</v>
      </c>
      <c r="N800" s="8">
        <f t="shared" si="49"/>
        <v>40.80600000000004</v>
      </c>
      <c r="O800" s="4" t="s">
        <v>60</v>
      </c>
      <c r="P800" s="4" t="s">
        <v>75</v>
      </c>
      <c r="Q800" s="4">
        <v>5</v>
      </c>
      <c r="R800" s="21">
        <f t="shared" si="50"/>
        <v>5.5928816374865395E-2</v>
      </c>
      <c r="S800" t="str">
        <f t="shared" si="51"/>
        <v>Medium</v>
      </c>
    </row>
    <row r="801" spans="1:19" x14ac:dyDescent="0.35">
      <c r="A801" s="4" t="s">
        <v>1217</v>
      </c>
      <c r="B801" s="5">
        <v>45949</v>
      </c>
      <c r="C801" s="4" t="s">
        <v>1218</v>
      </c>
      <c r="D801" s="4" t="s">
        <v>43</v>
      </c>
      <c r="E801" s="4" t="s">
        <v>29</v>
      </c>
      <c r="F801" s="4" t="s">
        <v>54</v>
      </c>
      <c r="G801" s="4" t="s">
        <v>31</v>
      </c>
      <c r="H801" s="4" t="s">
        <v>32</v>
      </c>
      <c r="I801" s="4">
        <v>2</v>
      </c>
      <c r="J801" s="6">
        <v>295.04000000000002</v>
      </c>
      <c r="K801" s="7">
        <v>0</v>
      </c>
      <c r="L801" s="6">
        <f t="shared" si="48"/>
        <v>590.08000000000004</v>
      </c>
      <c r="M801" s="6">
        <v>177.74</v>
      </c>
      <c r="N801" s="8">
        <f t="shared" si="49"/>
        <v>234.60000000000002</v>
      </c>
      <c r="O801" s="4" t="s">
        <v>40</v>
      </c>
      <c r="P801" s="4" t="s">
        <v>61</v>
      </c>
      <c r="Q801" s="4">
        <v>2</v>
      </c>
      <c r="R801" s="21">
        <f t="shared" si="50"/>
        <v>0.39757321041214749</v>
      </c>
      <c r="S801" t="str">
        <f t="shared" si="51"/>
        <v>Medium</v>
      </c>
    </row>
    <row r="802" spans="1:19" x14ac:dyDescent="0.35">
      <c r="A802" s="4" t="s">
        <v>1219</v>
      </c>
      <c r="B802" s="5">
        <v>45950</v>
      </c>
      <c r="C802" s="4" t="s">
        <v>398</v>
      </c>
      <c r="D802" s="4" t="s">
        <v>47</v>
      </c>
      <c r="E802" s="4" t="s">
        <v>87</v>
      </c>
      <c r="F802" s="4" t="s">
        <v>92</v>
      </c>
      <c r="G802" s="4" t="s">
        <v>38</v>
      </c>
      <c r="H802" s="4" t="s">
        <v>39</v>
      </c>
      <c r="I802" s="4">
        <v>2</v>
      </c>
      <c r="J802" s="6">
        <v>443.54</v>
      </c>
      <c r="K802" s="7">
        <v>0</v>
      </c>
      <c r="L802" s="6">
        <f t="shared" si="48"/>
        <v>887.08</v>
      </c>
      <c r="M802" s="6">
        <v>374.72</v>
      </c>
      <c r="N802" s="8">
        <f t="shared" si="49"/>
        <v>137.63999999999999</v>
      </c>
      <c r="O802" s="4" t="s">
        <v>51</v>
      </c>
      <c r="P802" s="4" t="s">
        <v>75</v>
      </c>
      <c r="Q802" s="4">
        <v>3</v>
      </c>
      <c r="R802" s="21">
        <f t="shared" si="50"/>
        <v>0.15516075213058572</v>
      </c>
      <c r="S802" t="str">
        <f t="shared" si="51"/>
        <v>Medium</v>
      </c>
    </row>
    <row r="803" spans="1:19" x14ac:dyDescent="0.35">
      <c r="A803" s="4" t="s">
        <v>1220</v>
      </c>
      <c r="B803" s="5">
        <v>45951</v>
      </c>
      <c r="C803" s="4" t="s">
        <v>86</v>
      </c>
      <c r="D803" s="4" t="s">
        <v>43</v>
      </c>
      <c r="E803" s="4" t="s">
        <v>87</v>
      </c>
      <c r="F803" s="4" t="s">
        <v>88</v>
      </c>
      <c r="G803" s="4" t="s">
        <v>31</v>
      </c>
      <c r="H803" s="4" t="s">
        <v>147</v>
      </c>
      <c r="I803" s="4">
        <v>1</v>
      </c>
      <c r="J803" s="6">
        <v>119.14</v>
      </c>
      <c r="K803" s="7">
        <v>0</v>
      </c>
      <c r="L803" s="6">
        <f t="shared" si="48"/>
        <v>119.14</v>
      </c>
      <c r="M803" s="6">
        <v>89</v>
      </c>
      <c r="N803" s="8">
        <f t="shared" si="49"/>
        <v>30.14</v>
      </c>
      <c r="O803" s="4" t="s">
        <v>60</v>
      </c>
      <c r="P803" s="4" t="s">
        <v>118</v>
      </c>
      <c r="Q803" s="4">
        <v>4</v>
      </c>
      <c r="R803" s="21">
        <f t="shared" si="50"/>
        <v>0.25297968776229646</v>
      </c>
      <c r="S803" t="str">
        <f t="shared" si="51"/>
        <v>Small</v>
      </c>
    </row>
    <row r="804" spans="1:19" x14ac:dyDescent="0.35">
      <c r="A804" s="4" t="s">
        <v>1221</v>
      </c>
      <c r="B804" s="5">
        <v>45952</v>
      </c>
      <c r="C804" s="4" t="s">
        <v>270</v>
      </c>
      <c r="D804" s="4" t="s">
        <v>43</v>
      </c>
      <c r="E804" s="4" t="s">
        <v>29</v>
      </c>
      <c r="F804" s="4" t="s">
        <v>30</v>
      </c>
      <c r="G804" s="4" t="s">
        <v>31</v>
      </c>
      <c r="H804" s="4" t="s">
        <v>125</v>
      </c>
      <c r="I804" s="4">
        <v>3</v>
      </c>
      <c r="J804" s="6">
        <v>199.68</v>
      </c>
      <c r="K804" s="7">
        <v>0.1</v>
      </c>
      <c r="L804" s="6">
        <f t="shared" si="48"/>
        <v>539.13599999999997</v>
      </c>
      <c r="M804" s="6">
        <v>144.58000000000001</v>
      </c>
      <c r="N804" s="8">
        <f t="shared" si="49"/>
        <v>105.39599999999996</v>
      </c>
      <c r="O804" s="4" t="s">
        <v>51</v>
      </c>
      <c r="P804" s="4" t="s">
        <v>72</v>
      </c>
      <c r="Q804" s="4">
        <v>4</v>
      </c>
      <c r="R804" s="21">
        <f t="shared" si="50"/>
        <v>0.19549056267806261</v>
      </c>
      <c r="S804" t="str">
        <f t="shared" si="51"/>
        <v>Medium</v>
      </c>
    </row>
    <row r="805" spans="1:19" x14ac:dyDescent="0.35">
      <c r="A805" s="4" t="s">
        <v>1222</v>
      </c>
      <c r="B805" s="5">
        <v>45952</v>
      </c>
      <c r="C805" s="4" t="s">
        <v>303</v>
      </c>
      <c r="D805" s="4" t="s">
        <v>43</v>
      </c>
      <c r="E805" s="4" t="s">
        <v>29</v>
      </c>
      <c r="F805" s="4" t="s">
        <v>108</v>
      </c>
      <c r="G805" s="4" t="s">
        <v>31</v>
      </c>
      <c r="H805" s="4" t="s">
        <v>64</v>
      </c>
      <c r="I805" s="4">
        <v>2</v>
      </c>
      <c r="J805" s="6">
        <v>228.5</v>
      </c>
      <c r="K805" s="7">
        <v>0</v>
      </c>
      <c r="L805" s="6">
        <f t="shared" si="48"/>
        <v>457</v>
      </c>
      <c r="M805" s="6">
        <v>132.13</v>
      </c>
      <c r="N805" s="8">
        <f t="shared" si="49"/>
        <v>192.74</v>
      </c>
      <c r="O805" s="4" t="s">
        <v>84</v>
      </c>
      <c r="P805" s="4" t="s">
        <v>33</v>
      </c>
      <c r="Q805" s="4">
        <v>3</v>
      </c>
      <c r="R805" s="21">
        <f t="shared" si="50"/>
        <v>0.42175054704595188</v>
      </c>
      <c r="S805" t="str">
        <f t="shared" si="51"/>
        <v>Small</v>
      </c>
    </row>
    <row r="806" spans="1:19" x14ac:dyDescent="0.35">
      <c r="A806" s="4" t="s">
        <v>1223</v>
      </c>
      <c r="B806" s="5">
        <v>45952</v>
      </c>
      <c r="C806" s="4" t="s">
        <v>481</v>
      </c>
      <c r="D806" s="4" t="s">
        <v>47</v>
      </c>
      <c r="E806" s="4" t="s">
        <v>29</v>
      </c>
      <c r="F806" s="4" t="s">
        <v>30</v>
      </c>
      <c r="G806" s="4" t="s">
        <v>23</v>
      </c>
      <c r="H806" s="4" t="s">
        <v>135</v>
      </c>
      <c r="I806" s="4">
        <v>1</v>
      </c>
      <c r="J806" s="6">
        <v>9.4600000000000009</v>
      </c>
      <c r="K806" s="7">
        <v>0.15</v>
      </c>
      <c r="L806" s="6">
        <f t="shared" si="48"/>
        <v>8.0410000000000004</v>
      </c>
      <c r="M806" s="6">
        <v>4.0199999999999996</v>
      </c>
      <c r="N806" s="8">
        <f t="shared" si="49"/>
        <v>4.0210000000000008</v>
      </c>
      <c r="O806" s="4" t="s">
        <v>25</v>
      </c>
      <c r="P806" s="4" t="s">
        <v>72</v>
      </c>
      <c r="Q806" s="4">
        <v>3</v>
      </c>
      <c r="R806" s="21">
        <f t="shared" si="50"/>
        <v>0.50006218132073132</v>
      </c>
      <c r="S806" t="str">
        <f t="shared" si="51"/>
        <v>Small</v>
      </c>
    </row>
    <row r="807" spans="1:19" x14ac:dyDescent="0.35">
      <c r="A807" s="4" t="s">
        <v>1224</v>
      </c>
      <c r="B807" s="5">
        <v>45953</v>
      </c>
      <c r="C807" s="4" t="s">
        <v>120</v>
      </c>
      <c r="D807" s="4" t="s">
        <v>43</v>
      </c>
      <c r="E807" s="4" t="s">
        <v>29</v>
      </c>
      <c r="F807" s="4" t="s">
        <v>108</v>
      </c>
      <c r="G807" s="4" t="s">
        <v>31</v>
      </c>
      <c r="H807" s="4" t="s">
        <v>125</v>
      </c>
      <c r="I807" s="4">
        <v>4</v>
      </c>
      <c r="J807" s="6">
        <v>36.1</v>
      </c>
      <c r="K807" s="7">
        <v>0.2</v>
      </c>
      <c r="L807" s="6">
        <f t="shared" si="48"/>
        <v>115.52000000000001</v>
      </c>
      <c r="M807" s="6">
        <v>25.38</v>
      </c>
      <c r="N807" s="8">
        <f t="shared" si="49"/>
        <v>14.000000000000014</v>
      </c>
      <c r="O807" s="4" t="s">
        <v>60</v>
      </c>
      <c r="P807" s="4" t="s">
        <v>33</v>
      </c>
      <c r="Q807" s="4">
        <v>3</v>
      </c>
      <c r="R807" s="21">
        <f t="shared" si="50"/>
        <v>0.12119113573407213</v>
      </c>
      <c r="S807" t="str">
        <f t="shared" si="51"/>
        <v>Small</v>
      </c>
    </row>
    <row r="808" spans="1:19" x14ac:dyDescent="0.35">
      <c r="A808" s="4" t="s">
        <v>1225</v>
      </c>
      <c r="B808" s="5">
        <v>45953</v>
      </c>
      <c r="C808" s="4" t="s">
        <v>1095</v>
      </c>
      <c r="D808" s="4" t="s">
        <v>47</v>
      </c>
      <c r="E808" s="4" t="s">
        <v>29</v>
      </c>
      <c r="F808" s="4" t="s">
        <v>30</v>
      </c>
      <c r="G808" s="4" t="s">
        <v>67</v>
      </c>
      <c r="H808" s="4" t="s">
        <v>121</v>
      </c>
      <c r="I808" s="4">
        <v>1</v>
      </c>
      <c r="J808" s="6">
        <v>102.1</v>
      </c>
      <c r="K808" s="7">
        <v>0</v>
      </c>
      <c r="L808" s="6">
        <f t="shared" si="48"/>
        <v>102.1</v>
      </c>
      <c r="M808" s="6">
        <v>64.23</v>
      </c>
      <c r="N808" s="8">
        <f t="shared" si="49"/>
        <v>37.86999999999999</v>
      </c>
      <c r="O808" s="4" t="s">
        <v>84</v>
      </c>
      <c r="P808" s="4" t="s">
        <v>72</v>
      </c>
      <c r="Q808" s="4">
        <v>4</v>
      </c>
      <c r="R808" s="21">
        <f t="shared" si="50"/>
        <v>0.37091087169441717</v>
      </c>
      <c r="S808" t="str">
        <f t="shared" si="51"/>
        <v>Small</v>
      </c>
    </row>
    <row r="809" spans="1:19" x14ac:dyDescent="0.35">
      <c r="A809" s="4" t="s">
        <v>1226</v>
      </c>
      <c r="B809" s="5">
        <v>45953</v>
      </c>
      <c r="C809" s="4" t="s">
        <v>834</v>
      </c>
      <c r="D809" s="4" t="s">
        <v>43</v>
      </c>
      <c r="E809" s="4" t="s">
        <v>36</v>
      </c>
      <c r="F809" s="4" t="s">
        <v>48</v>
      </c>
      <c r="G809" s="4" t="s">
        <v>31</v>
      </c>
      <c r="H809" s="4" t="s">
        <v>147</v>
      </c>
      <c r="I809" s="4">
        <v>6</v>
      </c>
      <c r="J809" s="6">
        <v>87.74</v>
      </c>
      <c r="K809" s="7">
        <v>0.1</v>
      </c>
      <c r="L809" s="6">
        <f t="shared" si="48"/>
        <v>473.79599999999994</v>
      </c>
      <c r="M809" s="6">
        <v>65.260000000000005</v>
      </c>
      <c r="N809" s="8">
        <f t="shared" si="49"/>
        <v>82.235999999999876</v>
      </c>
      <c r="O809" s="4" t="s">
        <v>51</v>
      </c>
      <c r="P809" s="4" t="s">
        <v>72</v>
      </c>
      <c r="Q809" s="4">
        <v>5</v>
      </c>
      <c r="R809" s="21">
        <f t="shared" si="50"/>
        <v>0.17356837119773044</v>
      </c>
      <c r="S809" t="str">
        <f t="shared" si="51"/>
        <v>Small</v>
      </c>
    </row>
    <row r="810" spans="1:19" x14ac:dyDescent="0.35">
      <c r="A810" s="4" t="s">
        <v>1227</v>
      </c>
      <c r="B810" s="5">
        <v>45953</v>
      </c>
      <c r="C810" s="4" t="s">
        <v>101</v>
      </c>
      <c r="D810" s="4" t="s">
        <v>43</v>
      </c>
      <c r="E810" s="4" t="s">
        <v>21</v>
      </c>
      <c r="F810" s="4" t="s">
        <v>22</v>
      </c>
      <c r="G810" s="4" t="s">
        <v>67</v>
      </c>
      <c r="H810" s="4" t="s">
        <v>68</v>
      </c>
      <c r="I810" s="4">
        <v>3</v>
      </c>
      <c r="J810" s="6">
        <v>1079.17</v>
      </c>
      <c r="K810" s="7">
        <v>0.2</v>
      </c>
      <c r="L810" s="6">
        <f t="shared" si="48"/>
        <v>2590.0080000000003</v>
      </c>
      <c r="M810" s="6">
        <v>694.42</v>
      </c>
      <c r="N810" s="8">
        <f t="shared" si="49"/>
        <v>506.7480000000005</v>
      </c>
      <c r="O810" s="4" t="s">
        <v>51</v>
      </c>
      <c r="P810" s="4" t="s">
        <v>26</v>
      </c>
      <c r="Q810" s="4">
        <v>4</v>
      </c>
      <c r="R810" s="21">
        <f t="shared" si="50"/>
        <v>0.19565499411584847</v>
      </c>
      <c r="S810" t="str">
        <f t="shared" si="51"/>
        <v>Large</v>
      </c>
    </row>
    <row r="811" spans="1:19" x14ac:dyDescent="0.35">
      <c r="A811" s="4" t="s">
        <v>1228</v>
      </c>
      <c r="B811" s="5">
        <v>45954</v>
      </c>
      <c r="C811" s="4" t="s">
        <v>442</v>
      </c>
      <c r="D811" s="4" t="s">
        <v>43</v>
      </c>
      <c r="E811" s="4" t="s">
        <v>87</v>
      </c>
      <c r="F811" s="4" t="s">
        <v>88</v>
      </c>
      <c r="G811" s="4" t="s">
        <v>31</v>
      </c>
      <c r="H811" s="4" t="s">
        <v>64</v>
      </c>
      <c r="I811" s="4">
        <v>6</v>
      </c>
      <c r="J811" s="6">
        <v>74.14</v>
      </c>
      <c r="K811" s="7">
        <v>0</v>
      </c>
      <c r="L811" s="6">
        <f t="shared" si="48"/>
        <v>444.84000000000003</v>
      </c>
      <c r="M811" s="6">
        <v>49.95</v>
      </c>
      <c r="N811" s="8">
        <f t="shared" si="49"/>
        <v>145.13999999999999</v>
      </c>
      <c r="O811" s="4" t="s">
        <v>60</v>
      </c>
      <c r="P811" s="4" t="s">
        <v>72</v>
      </c>
      <c r="Q811" s="4">
        <v>5</v>
      </c>
      <c r="R811" s="21">
        <f t="shared" si="50"/>
        <v>0.32627461559212295</v>
      </c>
      <c r="S811" t="str">
        <f t="shared" si="51"/>
        <v>Small</v>
      </c>
    </row>
    <row r="812" spans="1:19" x14ac:dyDescent="0.35">
      <c r="A812" s="4" t="s">
        <v>1229</v>
      </c>
      <c r="B812" s="5">
        <v>45954</v>
      </c>
      <c r="C812" s="4" t="s">
        <v>729</v>
      </c>
      <c r="D812" s="4" t="s">
        <v>20</v>
      </c>
      <c r="E812" s="4" t="s">
        <v>36</v>
      </c>
      <c r="F812" s="4" t="s">
        <v>37</v>
      </c>
      <c r="G812" s="4" t="s">
        <v>67</v>
      </c>
      <c r="H812" s="4" t="s">
        <v>68</v>
      </c>
      <c r="I812" s="4">
        <v>1</v>
      </c>
      <c r="J812" s="6">
        <v>334.75</v>
      </c>
      <c r="K812" s="7">
        <v>0.1</v>
      </c>
      <c r="L812" s="6">
        <f t="shared" si="48"/>
        <v>301.27500000000003</v>
      </c>
      <c r="M812" s="6">
        <v>249.44</v>
      </c>
      <c r="N812" s="8">
        <f t="shared" si="49"/>
        <v>51.835000000000036</v>
      </c>
      <c r="O812" s="4" t="s">
        <v>60</v>
      </c>
      <c r="P812" s="4" t="s">
        <v>56</v>
      </c>
      <c r="Q812" s="4">
        <v>3</v>
      </c>
      <c r="R812" s="21">
        <f t="shared" si="50"/>
        <v>0.1720521118579372</v>
      </c>
      <c r="S812" t="str">
        <f t="shared" si="51"/>
        <v>Small</v>
      </c>
    </row>
    <row r="813" spans="1:19" x14ac:dyDescent="0.35">
      <c r="A813" s="4" t="s">
        <v>1230</v>
      </c>
      <c r="B813" s="5">
        <v>45954</v>
      </c>
      <c r="C813" s="4" t="s">
        <v>127</v>
      </c>
      <c r="D813" s="4" t="s">
        <v>43</v>
      </c>
      <c r="E813" s="4" t="s">
        <v>21</v>
      </c>
      <c r="F813" s="4" t="s">
        <v>81</v>
      </c>
      <c r="G813" s="4" t="s">
        <v>31</v>
      </c>
      <c r="H813" s="4" t="s">
        <v>64</v>
      </c>
      <c r="I813" s="4">
        <v>1</v>
      </c>
      <c r="J813" s="6">
        <v>217.99</v>
      </c>
      <c r="K813" s="7">
        <v>0</v>
      </c>
      <c r="L813" s="6">
        <f t="shared" si="48"/>
        <v>217.99</v>
      </c>
      <c r="M813" s="6">
        <v>144.13999999999999</v>
      </c>
      <c r="N813" s="8">
        <f t="shared" si="49"/>
        <v>73.850000000000023</v>
      </c>
      <c r="O813" s="4" t="s">
        <v>51</v>
      </c>
      <c r="P813" s="4" t="s">
        <v>72</v>
      </c>
      <c r="Q813" s="4">
        <v>4</v>
      </c>
      <c r="R813" s="21">
        <f t="shared" si="50"/>
        <v>0.33877700811963862</v>
      </c>
      <c r="S813" t="str">
        <f t="shared" si="51"/>
        <v>Small</v>
      </c>
    </row>
    <row r="814" spans="1:19" x14ac:dyDescent="0.35">
      <c r="A814" s="4" t="s">
        <v>1231</v>
      </c>
      <c r="B814" s="5">
        <v>45954</v>
      </c>
      <c r="C814" s="4" t="s">
        <v>323</v>
      </c>
      <c r="D814" s="4" t="s">
        <v>43</v>
      </c>
      <c r="E814" s="4" t="s">
        <v>36</v>
      </c>
      <c r="F814" s="4" t="s">
        <v>48</v>
      </c>
      <c r="G814" s="4" t="s">
        <v>23</v>
      </c>
      <c r="H814" s="4" t="s">
        <v>135</v>
      </c>
      <c r="I814" s="4">
        <v>2</v>
      </c>
      <c r="J814" s="6">
        <v>15.46</v>
      </c>
      <c r="K814" s="7">
        <v>0</v>
      </c>
      <c r="L814" s="6">
        <f t="shared" si="48"/>
        <v>30.92</v>
      </c>
      <c r="M814" s="6">
        <v>7.69</v>
      </c>
      <c r="N814" s="8">
        <f t="shared" si="49"/>
        <v>15.540000000000001</v>
      </c>
      <c r="O814" s="4" t="s">
        <v>40</v>
      </c>
      <c r="P814" s="4" t="s">
        <v>61</v>
      </c>
      <c r="Q814" s="4">
        <v>3</v>
      </c>
      <c r="R814" s="21">
        <f t="shared" si="50"/>
        <v>0.50258732212160417</v>
      </c>
      <c r="S814" t="str">
        <f t="shared" si="51"/>
        <v>Small</v>
      </c>
    </row>
    <row r="815" spans="1:19" x14ac:dyDescent="0.35">
      <c r="A815" s="4" t="s">
        <v>1232</v>
      </c>
      <c r="B815" s="5">
        <v>45955</v>
      </c>
      <c r="C815" s="4" t="s">
        <v>1233</v>
      </c>
      <c r="D815" s="4" t="s">
        <v>43</v>
      </c>
      <c r="E815" s="4" t="s">
        <v>21</v>
      </c>
      <c r="F815" s="4" t="s">
        <v>22</v>
      </c>
      <c r="G815" s="4" t="s">
        <v>38</v>
      </c>
      <c r="H815" s="4" t="s">
        <v>39</v>
      </c>
      <c r="I815" s="4">
        <v>3</v>
      </c>
      <c r="J815" s="6">
        <v>322.70999999999998</v>
      </c>
      <c r="K815" s="7">
        <v>0.15</v>
      </c>
      <c r="L815" s="6">
        <f t="shared" si="48"/>
        <v>822.91049999999984</v>
      </c>
      <c r="M815" s="6">
        <v>279.18</v>
      </c>
      <c r="N815" s="8">
        <f t="shared" si="49"/>
        <v>-14.629500000000121</v>
      </c>
      <c r="O815" s="4" t="s">
        <v>60</v>
      </c>
      <c r="P815" s="4" t="s">
        <v>72</v>
      </c>
      <c r="Q815" s="4">
        <v>2</v>
      </c>
      <c r="R815" s="21">
        <f t="shared" si="50"/>
        <v>-1.7777753473798334E-2</v>
      </c>
      <c r="S815" t="str">
        <f t="shared" si="51"/>
        <v>Medium</v>
      </c>
    </row>
    <row r="816" spans="1:19" x14ac:dyDescent="0.35">
      <c r="A816" s="4" t="s">
        <v>1234</v>
      </c>
      <c r="B816" s="5">
        <v>45955</v>
      </c>
      <c r="C816" s="4" t="s">
        <v>174</v>
      </c>
      <c r="D816" s="4" t="s">
        <v>47</v>
      </c>
      <c r="E816" s="4" t="s">
        <v>36</v>
      </c>
      <c r="F816" s="4" t="s">
        <v>37</v>
      </c>
      <c r="G816" s="4" t="s">
        <v>31</v>
      </c>
      <c r="H816" s="4" t="s">
        <v>64</v>
      </c>
      <c r="I816" s="4">
        <v>4</v>
      </c>
      <c r="J816" s="6">
        <v>244.81</v>
      </c>
      <c r="K816" s="7">
        <v>0.1</v>
      </c>
      <c r="L816" s="6">
        <f t="shared" si="48"/>
        <v>881.31600000000003</v>
      </c>
      <c r="M816" s="6">
        <v>182.82</v>
      </c>
      <c r="N816" s="8">
        <f t="shared" si="49"/>
        <v>150.03600000000006</v>
      </c>
      <c r="O816" s="4" t="s">
        <v>60</v>
      </c>
      <c r="P816" s="4" t="s">
        <v>26</v>
      </c>
      <c r="Q816" s="4">
        <v>2</v>
      </c>
      <c r="R816" s="21">
        <f t="shared" si="50"/>
        <v>0.17024086706697716</v>
      </c>
      <c r="S816" t="str">
        <f t="shared" si="51"/>
        <v>Medium</v>
      </c>
    </row>
    <row r="817" spans="1:19" x14ac:dyDescent="0.35">
      <c r="A817" s="4" t="s">
        <v>1235</v>
      </c>
      <c r="B817" s="5">
        <v>45956</v>
      </c>
      <c r="C817" s="4" t="s">
        <v>1093</v>
      </c>
      <c r="D817" s="4" t="s">
        <v>47</v>
      </c>
      <c r="E817" s="4" t="s">
        <v>29</v>
      </c>
      <c r="F817" s="4" t="s">
        <v>54</v>
      </c>
      <c r="G817" s="4" t="s">
        <v>38</v>
      </c>
      <c r="H817" s="4" t="s">
        <v>109</v>
      </c>
      <c r="I817" s="4">
        <v>3</v>
      </c>
      <c r="J817" s="6">
        <v>560.63</v>
      </c>
      <c r="K817" s="7">
        <v>0.15</v>
      </c>
      <c r="L817" s="6">
        <f t="shared" si="48"/>
        <v>1429.6064999999999</v>
      </c>
      <c r="M817" s="6">
        <v>473.34</v>
      </c>
      <c r="N817" s="8">
        <f t="shared" si="49"/>
        <v>9.5864999999998872</v>
      </c>
      <c r="O817" s="4" t="s">
        <v>25</v>
      </c>
      <c r="P817" s="4" t="s">
        <v>118</v>
      </c>
      <c r="Q817" s="4">
        <v>4</v>
      </c>
      <c r="R817" s="21">
        <f t="shared" si="50"/>
        <v>6.705691391302354E-3</v>
      </c>
      <c r="S817" t="str">
        <f t="shared" si="51"/>
        <v>Medium</v>
      </c>
    </row>
    <row r="818" spans="1:19" x14ac:dyDescent="0.35">
      <c r="A818" s="4" t="s">
        <v>1236</v>
      </c>
      <c r="B818" s="5">
        <v>45956</v>
      </c>
      <c r="C818" s="4" t="s">
        <v>305</v>
      </c>
      <c r="D818" s="4" t="s">
        <v>20</v>
      </c>
      <c r="E818" s="4" t="s">
        <v>21</v>
      </c>
      <c r="F818" s="4" t="s">
        <v>22</v>
      </c>
      <c r="G818" s="4" t="s">
        <v>23</v>
      </c>
      <c r="H818" s="4" t="s">
        <v>71</v>
      </c>
      <c r="I818" s="4">
        <v>2</v>
      </c>
      <c r="J818" s="6">
        <v>127.37</v>
      </c>
      <c r="K818" s="7">
        <v>0</v>
      </c>
      <c r="L818" s="6">
        <f t="shared" si="48"/>
        <v>254.74</v>
      </c>
      <c r="M818" s="6">
        <v>51.79</v>
      </c>
      <c r="N818" s="8">
        <f t="shared" si="49"/>
        <v>151.16000000000003</v>
      </c>
      <c r="O818" s="4" t="s">
        <v>60</v>
      </c>
      <c r="P818" s="4" t="s">
        <v>56</v>
      </c>
      <c r="Q818" s="4">
        <v>4</v>
      </c>
      <c r="R818" s="21">
        <f t="shared" si="50"/>
        <v>0.59338933814870076</v>
      </c>
      <c r="S818" t="str">
        <f t="shared" si="51"/>
        <v>Small</v>
      </c>
    </row>
    <row r="819" spans="1:19" x14ac:dyDescent="0.35">
      <c r="A819" s="4" t="s">
        <v>1237</v>
      </c>
      <c r="B819" s="5">
        <v>45956</v>
      </c>
      <c r="C819" s="4" t="s">
        <v>886</v>
      </c>
      <c r="D819" s="4" t="s">
        <v>47</v>
      </c>
      <c r="E819" s="4" t="s">
        <v>21</v>
      </c>
      <c r="F819" s="4" t="s">
        <v>59</v>
      </c>
      <c r="G819" s="4" t="s">
        <v>31</v>
      </c>
      <c r="H819" s="4" t="s">
        <v>64</v>
      </c>
      <c r="I819" s="4">
        <v>4</v>
      </c>
      <c r="J819" s="6">
        <v>237.39</v>
      </c>
      <c r="K819" s="7">
        <v>0</v>
      </c>
      <c r="L819" s="6">
        <f t="shared" si="48"/>
        <v>949.56</v>
      </c>
      <c r="M819" s="6">
        <v>160.06</v>
      </c>
      <c r="N819" s="8">
        <f t="shared" si="49"/>
        <v>309.31999999999994</v>
      </c>
      <c r="O819" s="4" t="s">
        <v>60</v>
      </c>
      <c r="P819" s="4" t="s">
        <v>72</v>
      </c>
      <c r="Q819" s="4">
        <v>4</v>
      </c>
      <c r="R819" s="21">
        <f t="shared" si="50"/>
        <v>0.32575087408905173</v>
      </c>
      <c r="S819" t="str">
        <f t="shared" si="51"/>
        <v>Medium</v>
      </c>
    </row>
    <row r="820" spans="1:19" x14ac:dyDescent="0.35">
      <c r="A820" s="4" t="s">
        <v>1238</v>
      </c>
      <c r="B820" s="5">
        <v>45957</v>
      </c>
      <c r="C820" s="4" t="s">
        <v>1239</v>
      </c>
      <c r="D820" s="4" t="s">
        <v>43</v>
      </c>
      <c r="E820" s="4" t="s">
        <v>21</v>
      </c>
      <c r="F820" s="4" t="s">
        <v>59</v>
      </c>
      <c r="G820" s="4" t="s">
        <v>49</v>
      </c>
      <c r="H820" s="4" t="s">
        <v>187</v>
      </c>
      <c r="I820" s="4">
        <v>2</v>
      </c>
      <c r="J820" s="6">
        <v>110.85</v>
      </c>
      <c r="K820" s="7">
        <v>0.05</v>
      </c>
      <c r="L820" s="6">
        <f t="shared" si="48"/>
        <v>210.61499999999998</v>
      </c>
      <c r="M820" s="6">
        <v>80.45</v>
      </c>
      <c r="N820" s="8">
        <f t="shared" si="49"/>
        <v>49.714999999999975</v>
      </c>
      <c r="O820" s="4" t="s">
        <v>25</v>
      </c>
      <c r="P820" s="4" t="s">
        <v>72</v>
      </c>
      <c r="Q820" s="4">
        <v>5</v>
      </c>
      <c r="R820" s="21">
        <f t="shared" si="50"/>
        <v>0.2360468152790636</v>
      </c>
      <c r="S820" t="str">
        <f t="shared" si="51"/>
        <v>Small</v>
      </c>
    </row>
    <row r="821" spans="1:19" x14ac:dyDescent="0.35">
      <c r="A821" s="4" t="s">
        <v>1240</v>
      </c>
      <c r="B821" s="5">
        <v>45957</v>
      </c>
      <c r="C821" s="4" t="s">
        <v>337</v>
      </c>
      <c r="D821" s="4" t="s">
        <v>20</v>
      </c>
      <c r="E821" s="4" t="s">
        <v>36</v>
      </c>
      <c r="F821" s="4" t="s">
        <v>48</v>
      </c>
      <c r="G821" s="4" t="s">
        <v>67</v>
      </c>
      <c r="H821" s="4" t="s">
        <v>93</v>
      </c>
      <c r="I821" s="4">
        <v>2</v>
      </c>
      <c r="J821" s="6">
        <v>277.77</v>
      </c>
      <c r="K821" s="7">
        <v>0.1</v>
      </c>
      <c r="L821" s="6">
        <f t="shared" si="48"/>
        <v>499.98599999999999</v>
      </c>
      <c r="M821" s="6">
        <v>177.83</v>
      </c>
      <c r="N821" s="8">
        <f t="shared" si="49"/>
        <v>144.32599999999996</v>
      </c>
      <c r="O821" s="4" t="s">
        <v>84</v>
      </c>
      <c r="P821" s="4" t="s">
        <v>26</v>
      </c>
      <c r="Q821" s="4">
        <v>5</v>
      </c>
      <c r="R821" s="21">
        <f t="shared" si="50"/>
        <v>0.28866008248230945</v>
      </c>
      <c r="S821" t="str">
        <f t="shared" si="51"/>
        <v>Small</v>
      </c>
    </row>
    <row r="822" spans="1:19" x14ac:dyDescent="0.35">
      <c r="A822" s="4" t="s">
        <v>1241</v>
      </c>
      <c r="B822" s="5">
        <v>45957</v>
      </c>
      <c r="C822" s="4" t="s">
        <v>497</v>
      </c>
      <c r="D822" s="4" t="s">
        <v>43</v>
      </c>
      <c r="E822" s="4" t="s">
        <v>21</v>
      </c>
      <c r="F822" s="4" t="s">
        <v>81</v>
      </c>
      <c r="G822" s="4" t="s">
        <v>49</v>
      </c>
      <c r="H822" s="4" t="s">
        <v>78</v>
      </c>
      <c r="I822" s="4">
        <v>3</v>
      </c>
      <c r="J822" s="6">
        <v>201.8</v>
      </c>
      <c r="K822" s="7">
        <v>0.1</v>
      </c>
      <c r="L822" s="6">
        <f t="shared" si="48"/>
        <v>544.86000000000013</v>
      </c>
      <c r="M822" s="6">
        <v>128.72999999999999</v>
      </c>
      <c r="N822" s="8">
        <f t="shared" si="49"/>
        <v>158.67000000000019</v>
      </c>
      <c r="O822" s="4" t="s">
        <v>84</v>
      </c>
      <c r="P822" s="4" t="s">
        <v>61</v>
      </c>
      <c r="Q822" s="4">
        <v>5</v>
      </c>
      <c r="R822" s="21">
        <f t="shared" si="50"/>
        <v>0.29121242153947829</v>
      </c>
      <c r="S822" t="str">
        <f t="shared" si="51"/>
        <v>Medium</v>
      </c>
    </row>
    <row r="823" spans="1:19" x14ac:dyDescent="0.35">
      <c r="A823" s="4" t="s">
        <v>1242</v>
      </c>
      <c r="B823" s="5">
        <v>45959</v>
      </c>
      <c r="C823" s="4" t="s">
        <v>1004</v>
      </c>
      <c r="D823" s="4" t="s">
        <v>43</v>
      </c>
      <c r="E823" s="4" t="s">
        <v>36</v>
      </c>
      <c r="F823" s="4" t="s">
        <v>201</v>
      </c>
      <c r="G823" s="4" t="s">
        <v>38</v>
      </c>
      <c r="H823" s="4" t="s">
        <v>96</v>
      </c>
      <c r="I823" s="4">
        <v>2</v>
      </c>
      <c r="J823" s="6">
        <v>520.76</v>
      </c>
      <c r="K823" s="7">
        <v>0</v>
      </c>
      <c r="L823" s="6">
        <f t="shared" si="48"/>
        <v>1041.52</v>
      </c>
      <c r="M823" s="6">
        <v>416.67</v>
      </c>
      <c r="N823" s="8">
        <f t="shared" si="49"/>
        <v>208.17999999999995</v>
      </c>
      <c r="O823" s="4" t="s">
        <v>51</v>
      </c>
      <c r="P823" s="4" t="s">
        <v>61</v>
      </c>
      <c r="Q823" s="4">
        <v>4</v>
      </c>
      <c r="R823" s="21">
        <f t="shared" si="50"/>
        <v>0.19988094323680769</v>
      </c>
      <c r="S823" t="str">
        <f t="shared" si="51"/>
        <v>Medium</v>
      </c>
    </row>
    <row r="824" spans="1:19" x14ac:dyDescent="0.35">
      <c r="A824" s="4" t="s">
        <v>1243</v>
      </c>
      <c r="B824" s="5">
        <v>45959</v>
      </c>
      <c r="C824" s="4" t="s">
        <v>797</v>
      </c>
      <c r="D824" s="4" t="s">
        <v>20</v>
      </c>
      <c r="E824" s="4" t="s">
        <v>21</v>
      </c>
      <c r="F824" s="4" t="s">
        <v>22</v>
      </c>
      <c r="G824" s="4" t="s">
        <v>23</v>
      </c>
      <c r="H824" s="4" t="s">
        <v>24</v>
      </c>
      <c r="I824" s="4">
        <v>1</v>
      </c>
      <c r="J824" s="6">
        <v>83.49</v>
      </c>
      <c r="K824" s="7">
        <v>0</v>
      </c>
      <c r="L824" s="6">
        <f t="shared" si="48"/>
        <v>83.49</v>
      </c>
      <c r="M824" s="6">
        <v>35.979999999999997</v>
      </c>
      <c r="N824" s="8">
        <f t="shared" si="49"/>
        <v>47.51</v>
      </c>
      <c r="O824" s="4" t="s">
        <v>40</v>
      </c>
      <c r="P824" s="4" t="s">
        <v>56</v>
      </c>
      <c r="Q824" s="4">
        <v>3</v>
      </c>
      <c r="R824" s="21">
        <f t="shared" si="50"/>
        <v>0.5690501856509762</v>
      </c>
      <c r="S824" t="str">
        <f t="shared" si="51"/>
        <v>Small</v>
      </c>
    </row>
    <row r="825" spans="1:19" x14ac:dyDescent="0.35">
      <c r="A825" s="4" t="s">
        <v>1244</v>
      </c>
      <c r="B825" s="5">
        <v>45959</v>
      </c>
      <c r="C825" s="4" t="s">
        <v>195</v>
      </c>
      <c r="D825" s="4" t="s">
        <v>43</v>
      </c>
      <c r="E825" s="4" t="s">
        <v>21</v>
      </c>
      <c r="F825" s="4" t="s">
        <v>22</v>
      </c>
      <c r="G825" s="4" t="s">
        <v>38</v>
      </c>
      <c r="H825" s="4" t="s">
        <v>96</v>
      </c>
      <c r="I825" s="4">
        <v>2</v>
      </c>
      <c r="J825" s="6">
        <v>163.16</v>
      </c>
      <c r="K825" s="7">
        <v>0.05</v>
      </c>
      <c r="L825" s="6">
        <f t="shared" si="48"/>
        <v>310.00399999999996</v>
      </c>
      <c r="M825" s="6">
        <v>142.76</v>
      </c>
      <c r="N825" s="8">
        <f t="shared" si="49"/>
        <v>24.48399999999998</v>
      </c>
      <c r="O825" s="4" t="s">
        <v>25</v>
      </c>
      <c r="P825" s="4" t="s">
        <v>61</v>
      </c>
      <c r="Q825" s="4">
        <v>4</v>
      </c>
      <c r="R825" s="21">
        <f t="shared" si="50"/>
        <v>7.8979626069340989E-2</v>
      </c>
      <c r="S825" t="str">
        <f t="shared" si="51"/>
        <v>Small</v>
      </c>
    </row>
    <row r="826" spans="1:19" x14ac:dyDescent="0.35">
      <c r="A826" s="4" t="s">
        <v>1245</v>
      </c>
      <c r="B826" s="5">
        <v>45959</v>
      </c>
      <c r="C826" s="4" t="s">
        <v>77</v>
      </c>
      <c r="D826" s="4" t="s">
        <v>47</v>
      </c>
      <c r="E826" s="4" t="s">
        <v>36</v>
      </c>
      <c r="F826" s="4" t="s">
        <v>37</v>
      </c>
      <c r="G826" s="4" t="s">
        <v>23</v>
      </c>
      <c r="H826" s="4" t="s">
        <v>71</v>
      </c>
      <c r="I826" s="4">
        <v>3</v>
      </c>
      <c r="J826" s="6">
        <v>65.83</v>
      </c>
      <c r="K826" s="7">
        <v>0</v>
      </c>
      <c r="L826" s="6">
        <f t="shared" si="48"/>
        <v>197.49</v>
      </c>
      <c r="M826" s="6">
        <v>28.02</v>
      </c>
      <c r="N826" s="8">
        <f t="shared" si="49"/>
        <v>113.43</v>
      </c>
      <c r="O826" s="4" t="s">
        <v>60</v>
      </c>
      <c r="P826" s="4" t="s">
        <v>118</v>
      </c>
      <c r="Q826" s="4">
        <v>5</v>
      </c>
      <c r="R826" s="21">
        <f t="shared" si="50"/>
        <v>0.57435819535166344</v>
      </c>
      <c r="S826" t="str">
        <f t="shared" si="51"/>
        <v>Small</v>
      </c>
    </row>
    <row r="827" spans="1:19" x14ac:dyDescent="0.35">
      <c r="A827" s="4" t="s">
        <v>1246</v>
      </c>
      <c r="B827" s="5">
        <v>45959</v>
      </c>
      <c r="C827" s="4" t="s">
        <v>493</v>
      </c>
      <c r="D827" s="4" t="s">
        <v>20</v>
      </c>
      <c r="E827" s="4" t="s">
        <v>29</v>
      </c>
      <c r="F827" s="4" t="s">
        <v>108</v>
      </c>
      <c r="G827" s="4" t="s">
        <v>49</v>
      </c>
      <c r="H827" s="4" t="s">
        <v>187</v>
      </c>
      <c r="I827" s="4">
        <v>1</v>
      </c>
      <c r="J827" s="6">
        <v>141.1</v>
      </c>
      <c r="K827" s="7">
        <v>0</v>
      </c>
      <c r="L827" s="6">
        <f t="shared" si="48"/>
        <v>141.1</v>
      </c>
      <c r="M827" s="6">
        <v>93.53</v>
      </c>
      <c r="N827" s="8">
        <f t="shared" si="49"/>
        <v>47.569999999999993</v>
      </c>
      <c r="O827" s="4" t="s">
        <v>51</v>
      </c>
      <c r="P827" s="4" t="s">
        <v>56</v>
      </c>
      <c r="Q827" s="4">
        <v>3</v>
      </c>
      <c r="R827" s="21">
        <f t="shared" si="50"/>
        <v>0.33713678242381284</v>
      </c>
      <c r="S827" t="str">
        <f t="shared" si="51"/>
        <v>Small</v>
      </c>
    </row>
    <row r="828" spans="1:19" x14ac:dyDescent="0.35">
      <c r="A828" s="4" t="s">
        <v>1247</v>
      </c>
      <c r="B828" s="5">
        <v>45959</v>
      </c>
      <c r="C828" s="4" t="s">
        <v>917</v>
      </c>
      <c r="D828" s="4" t="s">
        <v>43</v>
      </c>
      <c r="E828" s="4" t="s">
        <v>29</v>
      </c>
      <c r="F828" s="4" t="s">
        <v>30</v>
      </c>
      <c r="G828" s="4" t="s">
        <v>38</v>
      </c>
      <c r="H828" s="4" t="s">
        <v>39</v>
      </c>
      <c r="I828" s="4">
        <v>2</v>
      </c>
      <c r="J828" s="6">
        <v>216.85</v>
      </c>
      <c r="K828" s="7">
        <v>0.05</v>
      </c>
      <c r="L828" s="6">
        <f t="shared" si="48"/>
        <v>412.01499999999999</v>
      </c>
      <c r="M828" s="6">
        <v>174.04</v>
      </c>
      <c r="N828" s="8">
        <f t="shared" si="49"/>
        <v>63.935000000000002</v>
      </c>
      <c r="O828" s="4" t="s">
        <v>60</v>
      </c>
      <c r="P828" s="4" t="s">
        <v>72</v>
      </c>
      <c r="Q828" s="4">
        <v>3</v>
      </c>
      <c r="R828" s="21">
        <f t="shared" si="50"/>
        <v>0.15517638920913074</v>
      </c>
      <c r="S828" t="str">
        <f t="shared" si="51"/>
        <v>Small</v>
      </c>
    </row>
    <row r="829" spans="1:19" x14ac:dyDescent="0.35">
      <c r="A829" s="4" t="s">
        <v>1248</v>
      </c>
      <c r="B829" s="5">
        <v>45960</v>
      </c>
      <c r="C829" s="4" t="s">
        <v>1249</v>
      </c>
      <c r="D829" s="4" t="s">
        <v>47</v>
      </c>
      <c r="E829" s="4" t="s">
        <v>87</v>
      </c>
      <c r="F829" s="4" t="s">
        <v>88</v>
      </c>
      <c r="G829" s="4" t="s">
        <v>67</v>
      </c>
      <c r="H829" s="4" t="s">
        <v>68</v>
      </c>
      <c r="I829" s="4">
        <v>1</v>
      </c>
      <c r="J829" s="6">
        <v>556.73</v>
      </c>
      <c r="K829" s="7">
        <v>0.2</v>
      </c>
      <c r="L829" s="6">
        <f t="shared" si="48"/>
        <v>445.38400000000001</v>
      </c>
      <c r="M829" s="6">
        <v>402.62</v>
      </c>
      <c r="N829" s="8">
        <f t="shared" si="49"/>
        <v>42.76400000000001</v>
      </c>
      <c r="O829" s="4" t="s">
        <v>40</v>
      </c>
      <c r="P829" s="4" t="s">
        <v>33</v>
      </c>
      <c r="Q829" s="4">
        <v>4</v>
      </c>
      <c r="R829" s="21">
        <f t="shared" si="50"/>
        <v>9.601602212921885E-2</v>
      </c>
      <c r="S829" t="str">
        <f t="shared" si="51"/>
        <v>Small</v>
      </c>
    </row>
    <row r="830" spans="1:19" x14ac:dyDescent="0.35">
      <c r="A830" s="4" t="s">
        <v>1250</v>
      </c>
      <c r="B830" s="5">
        <v>45961</v>
      </c>
      <c r="C830" s="4" t="s">
        <v>299</v>
      </c>
      <c r="D830" s="4" t="s">
        <v>43</v>
      </c>
      <c r="E830" s="4" t="s">
        <v>36</v>
      </c>
      <c r="F830" s="4" t="s">
        <v>201</v>
      </c>
      <c r="G830" s="4" t="s">
        <v>23</v>
      </c>
      <c r="H830" s="4" t="s">
        <v>135</v>
      </c>
      <c r="I830" s="4">
        <v>2</v>
      </c>
      <c r="J830" s="6">
        <v>17.38</v>
      </c>
      <c r="K830" s="7">
        <v>0</v>
      </c>
      <c r="L830" s="6">
        <f t="shared" si="48"/>
        <v>34.76</v>
      </c>
      <c r="M830" s="6">
        <v>10.58</v>
      </c>
      <c r="N830" s="8">
        <f t="shared" si="49"/>
        <v>13.599999999999998</v>
      </c>
      <c r="O830" s="4" t="s">
        <v>25</v>
      </c>
      <c r="P830" s="4" t="s">
        <v>56</v>
      </c>
      <c r="Q830" s="4">
        <v>5</v>
      </c>
      <c r="R830" s="21">
        <f t="shared" si="50"/>
        <v>0.3912543153049482</v>
      </c>
      <c r="S830" t="str">
        <f t="shared" si="51"/>
        <v>Small</v>
      </c>
    </row>
    <row r="831" spans="1:19" x14ac:dyDescent="0.35">
      <c r="A831" s="4" t="s">
        <v>1251</v>
      </c>
      <c r="B831" s="5">
        <v>45961</v>
      </c>
      <c r="C831" s="4" t="s">
        <v>313</v>
      </c>
      <c r="D831" s="4" t="s">
        <v>20</v>
      </c>
      <c r="E831" s="4" t="s">
        <v>87</v>
      </c>
      <c r="F831" s="4" t="s">
        <v>88</v>
      </c>
      <c r="G831" s="4" t="s">
        <v>31</v>
      </c>
      <c r="H831" s="4" t="s">
        <v>125</v>
      </c>
      <c r="I831" s="4">
        <v>3</v>
      </c>
      <c r="J831" s="6">
        <v>46.32</v>
      </c>
      <c r="K831" s="7">
        <v>0</v>
      </c>
      <c r="L831" s="6">
        <f t="shared" si="48"/>
        <v>138.96</v>
      </c>
      <c r="M831" s="6">
        <v>29.62</v>
      </c>
      <c r="N831" s="8">
        <f t="shared" si="49"/>
        <v>50.100000000000009</v>
      </c>
      <c r="O831" s="4" t="s">
        <v>84</v>
      </c>
      <c r="P831" s="4" t="s">
        <v>75</v>
      </c>
      <c r="Q831" s="4">
        <v>4</v>
      </c>
      <c r="R831" s="21">
        <f t="shared" si="50"/>
        <v>0.36053540587219346</v>
      </c>
      <c r="S831" t="str">
        <f t="shared" si="51"/>
        <v>Small</v>
      </c>
    </row>
    <row r="832" spans="1:19" x14ac:dyDescent="0.35">
      <c r="A832" s="4" t="s">
        <v>1252</v>
      </c>
      <c r="B832" s="5">
        <v>45961</v>
      </c>
      <c r="C832" s="4" t="s">
        <v>676</v>
      </c>
      <c r="D832" s="4" t="s">
        <v>43</v>
      </c>
      <c r="E832" s="4" t="s">
        <v>29</v>
      </c>
      <c r="F832" s="4" t="s">
        <v>108</v>
      </c>
      <c r="G832" s="4" t="s">
        <v>31</v>
      </c>
      <c r="H832" s="4" t="s">
        <v>64</v>
      </c>
      <c r="I832" s="4">
        <v>2</v>
      </c>
      <c r="J832" s="6">
        <v>82.66</v>
      </c>
      <c r="K832" s="7">
        <v>0</v>
      </c>
      <c r="L832" s="6">
        <f t="shared" si="48"/>
        <v>165.32</v>
      </c>
      <c r="M832" s="6">
        <v>46.43</v>
      </c>
      <c r="N832" s="8">
        <f t="shared" si="49"/>
        <v>72.459999999999994</v>
      </c>
      <c r="O832" s="4" t="s">
        <v>60</v>
      </c>
      <c r="P832" s="4" t="s">
        <v>56</v>
      </c>
      <c r="Q832" s="4">
        <v>4</v>
      </c>
      <c r="R832" s="21">
        <f t="shared" si="50"/>
        <v>0.43830147592547786</v>
      </c>
      <c r="S832" t="str">
        <f t="shared" si="51"/>
        <v>Small</v>
      </c>
    </row>
    <row r="833" spans="1:19" x14ac:dyDescent="0.35">
      <c r="A833" s="4" t="s">
        <v>1253</v>
      </c>
      <c r="B833" s="5">
        <v>45962</v>
      </c>
      <c r="C833" s="4" t="s">
        <v>189</v>
      </c>
      <c r="D833" s="4" t="s">
        <v>20</v>
      </c>
      <c r="E833" s="4" t="s">
        <v>36</v>
      </c>
      <c r="F833" s="4" t="s">
        <v>37</v>
      </c>
      <c r="G833" s="4" t="s">
        <v>23</v>
      </c>
      <c r="H833" s="4" t="s">
        <v>71</v>
      </c>
      <c r="I833" s="4">
        <v>3</v>
      </c>
      <c r="J833" s="6">
        <v>60.2</v>
      </c>
      <c r="K833" s="7">
        <v>0.2</v>
      </c>
      <c r="L833" s="6">
        <f t="shared" si="48"/>
        <v>144.48000000000002</v>
      </c>
      <c r="M833" s="6">
        <v>37.07</v>
      </c>
      <c r="N833" s="8">
        <f t="shared" si="49"/>
        <v>33.27000000000001</v>
      </c>
      <c r="O833" s="4" t="s">
        <v>84</v>
      </c>
      <c r="P833" s="4" t="s">
        <v>56</v>
      </c>
      <c r="Q833" s="4">
        <v>4</v>
      </c>
      <c r="R833" s="21">
        <f t="shared" si="50"/>
        <v>0.23027408637873759</v>
      </c>
      <c r="S833" t="str">
        <f t="shared" si="51"/>
        <v>Small</v>
      </c>
    </row>
    <row r="834" spans="1:19" x14ac:dyDescent="0.35">
      <c r="A834" s="4" t="s">
        <v>1254</v>
      </c>
      <c r="B834" s="5">
        <v>45962</v>
      </c>
      <c r="C834" s="4" t="s">
        <v>448</v>
      </c>
      <c r="D834" s="4" t="s">
        <v>43</v>
      </c>
      <c r="E834" s="4" t="s">
        <v>21</v>
      </c>
      <c r="F834" s="4" t="s">
        <v>59</v>
      </c>
      <c r="G834" s="4" t="s">
        <v>23</v>
      </c>
      <c r="H834" s="4" t="s">
        <v>71</v>
      </c>
      <c r="I834" s="4">
        <v>3</v>
      </c>
      <c r="J834" s="6">
        <v>124.36</v>
      </c>
      <c r="K834" s="7">
        <v>0.15</v>
      </c>
      <c r="L834" s="6">
        <f t="shared" ref="L834:L897" si="52">I834*J834*(1-K834)</f>
        <v>317.11799999999999</v>
      </c>
      <c r="M834" s="6">
        <v>57.97</v>
      </c>
      <c r="N834" s="8">
        <f t="shared" ref="N834:N897" si="53">L834-I834*M834</f>
        <v>143.208</v>
      </c>
      <c r="O834" s="4" t="s">
        <v>60</v>
      </c>
      <c r="P834" s="4" t="s">
        <v>118</v>
      </c>
      <c r="Q834" s="4">
        <v>3</v>
      </c>
      <c r="R834" s="21">
        <f t="shared" si="50"/>
        <v>0.45159215181730461</v>
      </c>
      <c r="S834" t="str">
        <f t="shared" si="51"/>
        <v>Small</v>
      </c>
    </row>
    <row r="835" spans="1:19" x14ac:dyDescent="0.35">
      <c r="A835" s="4" t="s">
        <v>1255</v>
      </c>
      <c r="B835" s="5">
        <v>45962</v>
      </c>
      <c r="C835" s="4" t="s">
        <v>749</v>
      </c>
      <c r="D835" s="4" t="s">
        <v>20</v>
      </c>
      <c r="E835" s="4" t="s">
        <v>87</v>
      </c>
      <c r="F835" s="4" t="s">
        <v>88</v>
      </c>
      <c r="G835" s="4" t="s">
        <v>23</v>
      </c>
      <c r="H835" s="4" t="s">
        <v>135</v>
      </c>
      <c r="I835" s="4">
        <v>3</v>
      </c>
      <c r="J835" s="6">
        <v>33.630000000000003</v>
      </c>
      <c r="K835" s="7">
        <v>0.15</v>
      </c>
      <c r="L835" s="6">
        <f t="shared" si="52"/>
        <v>85.756500000000017</v>
      </c>
      <c r="M835" s="6">
        <v>16.59</v>
      </c>
      <c r="N835" s="8">
        <f t="shared" si="53"/>
        <v>35.986500000000021</v>
      </c>
      <c r="O835" s="4" t="s">
        <v>84</v>
      </c>
      <c r="P835" s="4" t="s">
        <v>33</v>
      </c>
      <c r="Q835" s="4">
        <v>4</v>
      </c>
      <c r="R835" s="21">
        <f t="shared" ref="R835:R898" si="54">IF(L835=0,0,N835/L835)</f>
        <v>0.41963582935404331</v>
      </c>
      <c r="S835" t="str">
        <f t="shared" ref="S835:S898" si="55">IF(L835&gt;=2000,"Large",IF(L835&gt;=500,"Medium","Small"))</f>
        <v>Small</v>
      </c>
    </row>
    <row r="836" spans="1:19" x14ac:dyDescent="0.35">
      <c r="A836" s="4" t="s">
        <v>1256</v>
      </c>
      <c r="B836" s="5">
        <v>45962</v>
      </c>
      <c r="C836" s="4" t="s">
        <v>256</v>
      </c>
      <c r="D836" s="4" t="s">
        <v>20</v>
      </c>
      <c r="E836" s="4" t="s">
        <v>87</v>
      </c>
      <c r="F836" s="4" t="s">
        <v>124</v>
      </c>
      <c r="G836" s="4" t="s">
        <v>23</v>
      </c>
      <c r="H836" s="4" t="s">
        <v>24</v>
      </c>
      <c r="I836" s="4">
        <v>5</v>
      </c>
      <c r="J836" s="6">
        <v>72.680000000000007</v>
      </c>
      <c r="K836" s="7">
        <v>0.2</v>
      </c>
      <c r="L836" s="6">
        <f t="shared" si="52"/>
        <v>290.72000000000003</v>
      </c>
      <c r="M836" s="6">
        <v>42.11</v>
      </c>
      <c r="N836" s="8">
        <f t="shared" si="53"/>
        <v>80.170000000000016</v>
      </c>
      <c r="O836" s="4" t="s">
        <v>84</v>
      </c>
      <c r="P836" s="4" t="s">
        <v>75</v>
      </c>
      <c r="Q836" s="4">
        <v>4</v>
      </c>
      <c r="R836" s="21">
        <f t="shared" si="54"/>
        <v>0.27576362135388005</v>
      </c>
      <c r="S836" t="str">
        <f t="shared" si="55"/>
        <v>Small</v>
      </c>
    </row>
    <row r="837" spans="1:19" x14ac:dyDescent="0.35">
      <c r="A837" s="4" t="s">
        <v>1257</v>
      </c>
      <c r="B837" s="5">
        <v>45963</v>
      </c>
      <c r="C837" s="4" t="s">
        <v>499</v>
      </c>
      <c r="D837" s="4" t="s">
        <v>43</v>
      </c>
      <c r="E837" s="4" t="s">
        <v>36</v>
      </c>
      <c r="F837" s="4" t="s">
        <v>37</v>
      </c>
      <c r="G837" s="4" t="s">
        <v>23</v>
      </c>
      <c r="H837" s="4" t="s">
        <v>24</v>
      </c>
      <c r="I837" s="4">
        <v>2</v>
      </c>
      <c r="J837" s="6">
        <v>71.150000000000006</v>
      </c>
      <c r="K837" s="7">
        <v>0.05</v>
      </c>
      <c r="L837" s="6">
        <f t="shared" si="52"/>
        <v>135.185</v>
      </c>
      <c r="M837" s="6">
        <v>45.56</v>
      </c>
      <c r="N837" s="8">
        <f t="shared" si="53"/>
        <v>44.064999999999998</v>
      </c>
      <c r="O837" s="4" t="s">
        <v>40</v>
      </c>
      <c r="P837" s="4" t="s">
        <v>61</v>
      </c>
      <c r="Q837" s="4">
        <v>5</v>
      </c>
      <c r="R837" s="21">
        <f t="shared" si="54"/>
        <v>0.32596072049413766</v>
      </c>
      <c r="S837" t="str">
        <f t="shared" si="55"/>
        <v>Small</v>
      </c>
    </row>
    <row r="838" spans="1:19" x14ac:dyDescent="0.35">
      <c r="A838" s="4" t="s">
        <v>1258</v>
      </c>
      <c r="B838" s="5">
        <v>45963</v>
      </c>
      <c r="C838" s="4" t="s">
        <v>805</v>
      </c>
      <c r="D838" s="4" t="s">
        <v>47</v>
      </c>
      <c r="E838" s="4" t="s">
        <v>29</v>
      </c>
      <c r="F838" s="4" t="s">
        <v>108</v>
      </c>
      <c r="G838" s="4" t="s">
        <v>31</v>
      </c>
      <c r="H838" s="4" t="s">
        <v>64</v>
      </c>
      <c r="I838" s="4">
        <v>2</v>
      </c>
      <c r="J838" s="6">
        <v>180.27</v>
      </c>
      <c r="K838" s="7">
        <v>0.05</v>
      </c>
      <c r="L838" s="6">
        <f t="shared" si="52"/>
        <v>342.51299999999998</v>
      </c>
      <c r="M838" s="6">
        <v>117.53</v>
      </c>
      <c r="N838" s="8">
        <f t="shared" si="53"/>
        <v>107.45299999999997</v>
      </c>
      <c r="O838" s="4" t="s">
        <v>60</v>
      </c>
      <c r="P838" s="4" t="s">
        <v>33</v>
      </c>
      <c r="Q838" s="4">
        <v>4</v>
      </c>
      <c r="R838" s="21">
        <f t="shared" si="54"/>
        <v>0.31371947926064114</v>
      </c>
      <c r="S838" t="str">
        <f t="shared" si="55"/>
        <v>Small</v>
      </c>
    </row>
    <row r="839" spans="1:19" x14ac:dyDescent="0.35">
      <c r="A839" s="4" t="s">
        <v>1259</v>
      </c>
      <c r="B839" s="5">
        <v>45963</v>
      </c>
      <c r="C839" s="4" t="s">
        <v>217</v>
      </c>
      <c r="D839" s="4" t="s">
        <v>20</v>
      </c>
      <c r="E839" s="4" t="s">
        <v>29</v>
      </c>
      <c r="F839" s="4" t="s">
        <v>30</v>
      </c>
      <c r="G839" s="4" t="s">
        <v>23</v>
      </c>
      <c r="H839" s="4" t="s">
        <v>24</v>
      </c>
      <c r="I839" s="4">
        <v>3</v>
      </c>
      <c r="J839" s="6">
        <v>68.06</v>
      </c>
      <c r="K839" s="7">
        <v>0</v>
      </c>
      <c r="L839" s="6">
        <f t="shared" si="52"/>
        <v>204.18</v>
      </c>
      <c r="M839" s="6">
        <v>42.27</v>
      </c>
      <c r="N839" s="8">
        <f t="shared" si="53"/>
        <v>77.37</v>
      </c>
      <c r="O839" s="4" t="s">
        <v>84</v>
      </c>
      <c r="P839" s="4" t="s">
        <v>26</v>
      </c>
      <c r="Q839" s="4">
        <v>5</v>
      </c>
      <c r="R839" s="21">
        <f t="shared" si="54"/>
        <v>0.37893035556861593</v>
      </c>
      <c r="S839" t="str">
        <f t="shared" si="55"/>
        <v>Small</v>
      </c>
    </row>
    <row r="840" spans="1:19" x14ac:dyDescent="0.35">
      <c r="A840" s="4" t="s">
        <v>1260</v>
      </c>
      <c r="B840" s="5">
        <v>45963</v>
      </c>
      <c r="C840" s="4" t="s">
        <v>1004</v>
      </c>
      <c r="D840" s="4" t="s">
        <v>47</v>
      </c>
      <c r="E840" s="4" t="s">
        <v>36</v>
      </c>
      <c r="F840" s="4" t="s">
        <v>37</v>
      </c>
      <c r="G840" s="4" t="s">
        <v>49</v>
      </c>
      <c r="H840" s="4" t="s">
        <v>187</v>
      </c>
      <c r="I840" s="4">
        <v>1</v>
      </c>
      <c r="J840" s="6">
        <v>133.08000000000001</v>
      </c>
      <c r="K840" s="7">
        <v>0.15</v>
      </c>
      <c r="L840" s="6">
        <f t="shared" si="52"/>
        <v>113.11800000000001</v>
      </c>
      <c r="M840" s="6">
        <v>99.04</v>
      </c>
      <c r="N840" s="8">
        <f t="shared" si="53"/>
        <v>14.078000000000003</v>
      </c>
      <c r="O840" s="4" t="s">
        <v>51</v>
      </c>
      <c r="P840" s="4" t="s">
        <v>118</v>
      </c>
      <c r="Q840" s="4">
        <v>3</v>
      </c>
      <c r="R840" s="21">
        <f t="shared" si="54"/>
        <v>0.12445410986757194</v>
      </c>
      <c r="S840" t="str">
        <f t="shared" si="55"/>
        <v>Small</v>
      </c>
    </row>
    <row r="841" spans="1:19" x14ac:dyDescent="0.35">
      <c r="A841" s="4" t="s">
        <v>1261</v>
      </c>
      <c r="B841" s="5">
        <v>45963</v>
      </c>
      <c r="C841" s="4" t="s">
        <v>137</v>
      </c>
      <c r="D841" s="4" t="s">
        <v>20</v>
      </c>
      <c r="E841" s="4" t="s">
        <v>36</v>
      </c>
      <c r="F841" s="4" t="s">
        <v>48</v>
      </c>
      <c r="G841" s="4" t="s">
        <v>67</v>
      </c>
      <c r="H841" s="4" t="s">
        <v>68</v>
      </c>
      <c r="I841" s="4">
        <v>1</v>
      </c>
      <c r="J841" s="6">
        <v>1028.1300000000001</v>
      </c>
      <c r="K841" s="7">
        <v>0.1</v>
      </c>
      <c r="L841" s="6">
        <f t="shared" si="52"/>
        <v>925.31700000000012</v>
      </c>
      <c r="M841" s="6">
        <v>735.07</v>
      </c>
      <c r="N841" s="8">
        <f t="shared" si="53"/>
        <v>190.24700000000007</v>
      </c>
      <c r="O841" s="4" t="s">
        <v>60</v>
      </c>
      <c r="P841" s="4" t="s">
        <v>33</v>
      </c>
      <c r="Q841" s="4">
        <v>4</v>
      </c>
      <c r="R841" s="21">
        <f t="shared" si="54"/>
        <v>0.20560197208091935</v>
      </c>
      <c r="S841" t="str">
        <f t="shared" si="55"/>
        <v>Medium</v>
      </c>
    </row>
    <row r="842" spans="1:19" x14ac:dyDescent="0.35">
      <c r="A842" s="4" t="s">
        <v>1262</v>
      </c>
      <c r="B842" s="5">
        <v>45963</v>
      </c>
      <c r="C842" s="4" t="s">
        <v>313</v>
      </c>
      <c r="D842" s="4" t="s">
        <v>47</v>
      </c>
      <c r="E842" s="4" t="s">
        <v>21</v>
      </c>
      <c r="F842" s="4" t="s">
        <v>59</v>
      </c>
      <c r="G842" s="4" t="s">
        <v>38</v>
      </c>
      <c r="H842" s="4" t="s">
        <v>109</v>
      </c>
      <c r="I842" s="4">
        <v>3</v>
      </c>
      <c r="J842" s="6">
        <v>728.81</v>
      </c>
      <c r="K842" s="7">
        <v>0</v>
      </c>
      <c r="L842" s="6">
        <f t="shared" si="52"/>
        <v>2186.4299999999998</v>
      </c>
      <c r="M842" s="6">
        <v>570.71</v>
      </c>
      <c r="N842" s="8">
        <f t="shared" si="53"/>
        <v>474.29999999999973</v>
      </c>
      <c r="O842" s="4" t="s">
        <v>60</v>
      </c>
      <c r="P842" s="4" t="s">
        <v>97</v>
      </c>
      <c r="Q842" s="4">
        <v>2</v>
      </c>
      <c r="R842" s="21">
        <f t="shared" si="54"/>
        <v>0.21692896639727766</v>
      </c>
      <c r="S842" t="str">
        <f t="shared" si="55"/>
        <v>Large</v>
      </c>
    </row>
    <row r="843" spans="1:19" x14ac:dyDescent="0.35">
      <c r="A843" s="4" t="s">
        <v>1263</v>
      </c>
      <c r="B843" s="5">
        <v>45964</v>
      </c>
      <c r="C843" s="4" t="s">
        <v>254</v>
      </c>
      <c r="D843" s="4" t="s">
        <v>20</v>
      </c>
      <c r="E843" s="4" t="s">
        <v>21</v>
      </c>
      <c r="F843" s="4" t="s">
        <v>59</v>
      </c>
      <c r="G843" s="4" t="s">
        <v>31</v>
      </c>
      <c r="H843" s="4" t="s">
        <v>64</v>
      </c>
      <c r="I843" s="4">
        <v>1</v>
      </c>
      <c r="J843" s="6">
        <v>201.04</v>
      </c>
      <c r="K843" s="7">
        <v>0.05</v>
      </c>
      <c r="L843" s="6">
        <f t="shared" si="52"/>
        <v>190.98799999999997</v>
      </c>
      <c r="M843" s="6">
        <v>128.55000000000001</v>
      </c>
      <c r="N843" s="8">
        <f t="shared" si="53"/>
        <v>62.43799999999996</v>
      </c>
      <c r="O843" s="4" t="s">
        <v>40</v>
      </c>
      <c r="P843" s="4" t="s">
        <v>72</v>
      </c>
      <c r="Q843" s="4">
        <v>3</v>
      </c>
      <c r="R843" s="21">
        <f t="shared" si="54"/>
        <v>0.32692106310344088</v>
      </c>
      <c r="S843" t="str">
        <f t="shared" si="55"/>
        <v>Small</v>
      </c>
    </row>
    <row r="844" spans="1:19" x14ac:dyDescent="0.35">
      <c r="A844" s="4" t="s">
        <v>1264</v>
      </c>
      <c r="B844" s="5">
        <v>45965</v>
      </c>
      <c r="C844" s="4" t="s">
        <v>413</v>
      </c>
      <c r="D844" s="4" t="s">
        <v>47</v>
      </c>
      <c r="E844" s="4" t="s">
        <v>87</v>
      </c>
      <c r="F844" s="4" t="s">
        <v>88</v>
      </c>
      <c r="G844" s="4" t="s">
        <v>38</v>
      </c>
      <c r="H844" s="4" t="s">
        <v>55</v>
      </c>
      <c r="I844" s="4">
        <v>1</v>
      </c>
      <c r="J844" s="6">
        <v>119.51</v>
      </c>
      <c r="K844" s="7">
        <v>0</v>
      </c>
      <c r="L844" s="6">
        <f t="shared" si="52"/>
        <v>119.51</v>
      </c>
      <c r="M844" s="6">
        <v>103.69</v>
      </c>
      <c r="N844" s="8">
        <f t="shared" si="53"/>
        <v>15.820000000000007</v>
      </c>
      <c r="O844" s="4" t="s">
        <v>51</v>
      </c>
      <c r="P844" s="4" t="s">
        <v>97</v>
      </c>
      <c r="Q844" s="4">
        <v>5</v>
      </c>
      <c r="R844" s="21">
        <f t="shared" si="54"/>
        <v>0.13237385992803954</v>
      </c>
      <c r="S844" t="str">
        <f t="shared" si="55"/>
        <v>Small</v>
      </c>
    </row>
    <row r="845" spans="1:19" x14ac:dyDescent="0.35">
      <c r="A845" s="4" t="s">
        <v>1265</v>
      </c>
      <c r="B845" s="5">
        <v>45966</v>
      </c>
      <c r="C845" s="4" t="s">
        <v>1015</v>
      </c>
      <c r="D845" s="4" t="s">
        <v>20</v>
      </c>
      <c r="E845" s="4" t="s">
        <v>87</v>
      </c>
      <c r="F845" s="4" t="s">
        <v>88</v>
      </c>
      <c r="G845" s="4" t="s">
        <v>38</v>
      </c>
      <c r="H845" s="4" t="s">
        <v>55</v>
      </c>
      <c r="I845" s="4">
        <v>1</v>
      </c>
      <c r="J845" s="6">
        <v>111.4</v>
      </c>
      <c r="K845" s="7">
        <v>0</v>
      </c>
      <c r="L845" s="6">
        <f t="shared" si="52"/>
        <v>111.4</v>
      </c>
      <c r="M845" s="6">
        <v>96.42</v>
      </c>
      <c r="N845" s="8">
        <f t="shared" si="53"/>
        <v>14.980000000000004</v>
      </c>
      <c r="O845" s="4" t="s">
        <v>40</v>
      </c>
      <c r="P845" s="4" t="s">
        <v>61</v>
      </c>
      <c r="Q845" s="4">
        <v>5</v>
      </c>
      <c r="R845" s="21">
        <f t="shared" si="54"/>
        <v>0.13447037701974868</v>
      </c>
      <c r="S845" t="str">
        <f t="shared" si="55"/>
        <v>Small</v>
      </c>
    </row>
    <row r="846" spans="1:19" x14ac:dyDescent="0.35">
      <c r="A846" s="4" t="s">
        <v>1266</v>
      </c>
      <c r="B846" s="5">
        <v>45966</v>
      </c>
      <c r="C846" s="4" t="s">
        <v>1267</v>
      </c>
      <c r="D846" s="4" t="s">
        <v>47</v>
      </c>
      <c r="E846" s="4" t="s">
        <v>29</v>
      </c>
      <c r="F846" s="4" t="s">
        <v>54</v>
      </c>
      <c r="G846" s="4" t="s">
        <v>49</v>
      </c>
      <c r="H846" s="4" t="s">
        <v>50</v>
      </c>
      <c r="I846" s="4">
        <v>1</v>
      </c>
      <c r="J846" s="6">
        <v>14.91</v>
      </c>
      <c r="K846" s="7">
        <v>0.15</v>
      </c>
      <c r="L846" s="6">
        <f t="shared" si="52"/>
        <v>12.673500000000001</v>
      </c>
      <c r="M846" s="6">
        <v>9.68</v>
      </c>
      <c r="N846" s="8">
        <f t="shared" si="53"/>
        <v>2.9935000000000009</v>
      </c>
      <c r="O846" s="4" t="s">
        <v>60</v>
      </c>
      <c r="P846" s="4" t="s">
        <v>97</v>
      </c>
      <c r="Q846" s="4">
        <v>3</v>
      </c>
      <c r="R846" s="21">
        <f t="shared" si="54"/>
        <v>0.23620152286266627</v>
      </c>
      <c r="S846" t="str">
        <f t="shared" si="55"/>
        <v>Small</v>
      </c>
    </row>
    <row r="847" spans="1:19" x14ac:dyDescent="0.35">
      <c r="A847" s="4" t="s">
        <v>1268</v>
      </c>
      <c r="B847" s="5">
        <v>45967</v>
      </c>
      <c r="C847" s="4" t="s">
        <v>521</v>
      </c>
      <c r="D847" s="4" t="s">
        <v>20</v>
      </c>
      <c r="E847" s="4" t="s">
        <v>21</v>
      </c>
      <c r="F847" s="4" t="s">
        <v>81</v>
      </c>
      <c r="G847" s="4" t="s">
        <v>23</v>
      </c>
      <c r="H847" s="4" t="s">
        <v>71</v>
      </c>
      <c r="I847" s="4">
        <v>1</v>
      </c>
      <c r="J847" s="6">
        <v>182.34</v>
      </c>
      <c r="K847" s="7">
        <v>0</v>
      </c>
      <c r="L847" s="6">
        <f t="shared" si="52"/>
        <v>182.34</v>
      </c>
      <c r="M847" s="6">
        <v>99.14</v>
      </c>
      <c r="N847" s="8">
        <f t="shared" si="53"/>
        <v>83.2</v>
      </c>
      <c r="O847" s="4" t="s">
        <v>51</v>
      </c>
      <c r="P847" s="4" t="s">
        <v>26</v>
      </c>
      <c r="Q847" s="4">
        <v>4</v>
      </c>
      <c r="R847" s="21">
        <f t="shared" si="54"/>
        <v>0.45629044641877814</v>
      </c>
      <c r="S847" t="str">
        <f t="shared" si="55"/>
        <v>Small</v>
      </c>
    </row>
    <row r="848" spans="1:19" x14ac:dyDescent="0.35">
      <c r="A848" s="4" t="s">
        <v>1269</v>
      </c>
      <c r="B848" s="5">
        <v>45967</v>
      </c>
      <c r="C848" s="4" t="s">
        <v>958</v>
      </c>
      <c r="D848" s="4" t="s">
        <v>43</v>
      </c>
      <c r="E848" s="4" t="s">
        <v>29</v>
      </c>
      <c r="F848" s="4" t="s">
        <v>30</v>
      </c>
      <c r="G848" s="4" t="s">
        <v>23</v>
      </c>
      <c r="H848" s="4" t="s">
        <v>24</v>
      </c>
      <c r="I848" s="4">
        <v>6</v>
      </c>
      <c r="J848" s="6">
        <v>87.85</v>
      </c>
      <c r="K848" s="7">
        <v>0.05</v>
      </c>
      <c r="L848" s="6">
        <f t="shared" si="52"/>
        <v>500.74499999999989</v>
      </c>
      <c r="M848" s="6">
        <v>44.78</v>
      </c>
      <c r="N848" s="8">
        <f t="shared" si="53"/>
        <v>232.06499999999988</v>
      </c>
      <c r="O848" s="4" t="s">
        <v>60</v>
      </c>
      <c r="P848" s="4" t="s">
        <v>26</v>
      </c>
      <c r="Q848" s="4">
        <v>5</v>
      </c>
      <c r="R848" s="21">
        <f t="shared" si="54"/>
        <v>0.4634394751819787</v>
      </c>
      <c r="S848" t="str">
        <f t="shared" si="55"/>
        <v>Medium</v>
      </c>
    </row>
    <row r="849" spans="1:19" x14ac:dyDescent="0.35">
      <c r="A849" s="4" t="s">
        <v>1270</v>
      </c>
      <c r="B849" s="5">
        <v>45968</v>
      </c>
      <c r="C849" s="4" t="s">
        <v>1271</v>
      </c>
      <c r="D849" s="4" t="s">
        <v>20</v>
      </c>
      <c r="E849" s="4" t="s">
        <v>21</v>
      </c>
      <c r="F849" s="4" t="s">
        <v>81</v>
      </c>
      <c r="G849" s="4" t="s">
        <v>49</v>
      </c>
      <c r="H849" s="4" t="s">
        <v>50</v>
      </c>
      <c r="I849" s="4">
        <v>4</v>
      </c>
      <c r="J849" s="6">
        <v>29.19</v>
      </c>
      <c r="K849" s="7">
        <v>0.05</v>
      </c>
      <c r="L849" s="6">
        <f t="shared" si="52"/>
        <v>110.922</v>
      </c>
      <c r="M849" s="6">
        <v>18.52</v>
      </c>
      <c r="N849" s="8">
        <f t="shared" si="53"/>
        <v>36.841999999999999</v>
      </c>
      <c r="O849" s="4" t="s">
        <v>60</v>
      </c>
      <c r="P849" s="4" t="s">
        <v>33</v>
      </c>
      <c r="Q849" s="4">
        <v>4</v>
      </c>
      <c r="R849" s="21">
        <f t="shared" si="54"/>
        <v>0.33214330791006291</v>
      </c>
      <c r="S849" t="str">
        <f t="shared" si="55"/>
        <v>Small</v>
      </c>
    </row>
    <row r="850" spans="1:19" x14ac:dyDescent="0.35">
      <c r="A850" s="4" t="s">
        <v>1272</v>
      </c>
      <c r="B850" s="5">
        <v>45968</v>
      </c>
      <c r="C850" s="4" t="s">
        <v>357</v>
      </c>
      <c r="D850" s="4" t="s">
        <v>43</v>
      </c>
      <c r="E850" s="4" t="s">
        <v>29</v>
      </c>
      <c r="F850" s="4" t="s">
        <v>108</v>
      </c>
      <c r="G850" s="4" t="s">
        <v>31</v>
      </c>
      <c r="H850" s="4" t="s">
        <v>147</v>
      </c>
      <c r="I850" s="4">
        <v>1</v>
      </c>
      <c r="J850" s="6">
        <v>34.06</v>
      </c>
      <c r="K850" s="7">
        <v>0</v>
      </c>
      <c r="L850" s="6">
        <f t="shared" si="52"/>
        <v>34.06</v>
      </c>
      <c r="M850" s="6">
        <v>24.39</v>
      </c>
      <c r="N850" s="8">
        <f t="shared" si="53"/>
        <v>9.6700000000000017</v>
      </c>
      <c r="O850" s="4" t="s">
        <v>51</v>
      </c>
      <c r="P850" s="4" t="s">
        <v>72</v>
      </c>
      <c r="Q850" s="4">
        <v>2</v>
      </c>
      <c r="R850" s="21">
        <f t="shared" si="54"/>
        <v>0.28391074574280684</v>
      </c>
      <c r="S850" t="str">
        <f t="shared" si="55"/>
        <v>Small</v>
      </c>
    </row>
    <row r="851" spans="1:19" x14ac:dyDescent="0.35">
      <c r="A851" s="4" t="s">
        <v>1273</v>
      </c>
      <c r="B851" s="5">
        <v>45968</v>
      </c>
      <c r="C851" s="4" t="s">
        <v>532</v>
      </c>
      <c r="D851" s="4" t="s">
        <v>47</v>
      </c>
      <c r="E851" s="4" t="s">
        <v>87</v>
      </c>
      <c r="F851" s="4" t="s">
        <v>88</v>
      </c>
      <c r="G851" s="4" t="s">
        <v>23</v>
      </c>
      <c r="H851" s="4" t="s">
        <v>44</v>
      </c>
      <c r="I851" s="4">
        <v>2</v>
      </c>
      <c r="J851" s="6">
        <v>77.37</v>
      </c>
      <c r="K851" s="7">
        <v>0.05</v>
      </c>
      <c r="L851" s="6">
        <f t="shared" si="52"/>
        <v>147.00300000000001</v>
      </c>
      <c r="M851" s="6">
        <v>43.76</v>
      </c>
      <c r="N851" s="8">
        <f t="shared" si="53"/>
        <v>59.483000000000018</v>
      </c>
      <c r="O851" s="4" t="s">
        <v>25</v>
      </c>
      <c r="P851" s="4" t="s">
        <v>72</v>
      </c>
      <c r="Q851" s="4">
        <v>5</v>
      </c>
      <c r="R851" s="21">
        <f t="shared" si="54"/>
        <v>0.40463800058502214</v>
      </c>
      <c r="S851" t="str">
        <f t="shared" si="55"/>
        <v>Small</v>
      </c>
    </row>
    <row r="852" spans="1:19" x14ac:dyDescent="0.35">
      <c r="A852" s="4" t="s">
        <v>1274</v>
      </c>
      <c r="B852" s="5">
        <v>45968</v>
      </c>
      <c r="C852" s="4" t="s">
        <v>176</v>
      </c>
      <c r="D852" s="4" t="s">
        <v>20</v>
      </c>
      <c r="E852" s="4" t="s">
        <v>36</v>
      </c>
      <c r="F852" s="4" t="s">
        <v>201</v>
      </c>
      <c r="G852" s="4" t="s">
        <v>31</v>
      </c>
      <c r="H852" s="4" t="s">
        <v>32</v>
      </c>
      <c r="I852" s="4">
        <v>4</v>
      </c>
      <c r="J852" s="6">
        <v>173.3</v>
      </c>
      <c r="K852" s="7">
        <v>0.05</v>
      </c>
      <c r="L852" s="6">
        <f t="shared" si="52"/>
        <v>658.54</v>
      </c>
      <c r="M852" s="6">
        <v>107.38</v>
      </c>
      <c r="N852" s="8">
        <f t="shared" si="53"/>
        <v>229.01999999999998</v>
      </c>
      <c r="O852" s="4" t="s">
        <v>60</v>
      </c>
      <c r="P852" s="4" t="s">
        <v>56</v>
      </c>
      <c r="Q852" s="4">
        <v>4</v>
      </c>
      <c r="R852" s="21">
        <f t="shared" si="54"/>
        <v>0.3477693078628481</v>
      </c>
      <c r="S852" t="str">
        <f t="shared" si="55"/>
        <v>Medium</v>
      </c>
    </row>
    <row r="853" spans="1:19" x14ac:dyDescent="0.35">
      <c r="A853" s="4" t="s">
        <v>1275</v>
      </c>
      <c r="B853" s="5">
        <v>45968</v>
      </c>
      <c r="C853" s="4" t="s">
        <v>58</v>
      </c>
      <c r="D853" s="4" t="s">
        <v>47</v>
      </c>
      <c r="E853" s="4" t="s">
        <v>21</v>
      </c>
      <c r="F853" s="4" t="s">
        <v>22</v>
      </c>
      <c r="G853" s="4" t="s">
        <v>38</v>
      </c>
      <c r="H853" s="4" t="s">
        <v>109</v>
      </c>
      <c r="I853" s="4">
        <v>1</v>
      </c>
      <c r="J853" s="6">
        <v>905.51</v>
      </c>
      <c r="K853" s="7">
        <v>0.15</v>
      </c>
      <c r="L853" s="6">
        <f t="shared" si="52"/>
        <v>769.68349999999998</v>
      </c>
      <c r="M853" s="6">
        <v>792.94</v>
      </c>
      <c r="N853" s="8">
        <f t="shared" si="53"/>
        <v>-23.256500000000074</v>
      </c>
      <c r="O853" s="4" t="s">
        <v>40</v>
      </c>
      <c r="P853" s="4" t="s">
        <v>26</v>
      </c>
      <c r="Q853" s="4">
        <v>3</v>
      </c>
      <c r="R853" s="21">
        <f t="shared" si="54"/>
        <v>-3.0215666569440653E-2</v>
      </c>
      <c r="S853" t="str">
        <f t="shared" si="55"/>
        <v>Medium</v>
      </c>
    </row>
    <row r="854" spans="1:19" x14ac:dyDescent="0.35">
      <c r="A854" s="4" t="s">
        <v>1276</v>
      </c>
      <c r="B854" s="5">
        <v>45968</v>
      </c>
      <c r="C854" s="4" t="s">
        <v>719</v>
      </c>
      <c r="D854" s="4" t="s">
        <v>20</v>
      </c>
      <c r="E854" s="4" t="s">
        <v>29</v>
      </c>
      <c r="F854" s="4" t="s">
        <v>30</v>
      </c>
      <c r="G854" s="4" t="s">
        <v>31</v>
      </c>
      <c r="H854" s="4" t="s">
        <v>32</v>
      </c>
      <c r="I854" s="4">
        <v>1</v>
      </c>
      <c r="J854" s="6">
        <v>116.16</v>
      </c>
      <c r="K854" s="7">
        <v>0</v>
      </c>
      <c r="L854" s="6">
        <f t="shared" si="52"/>
        <v>116.16</v>
      </c>
      <c r="M854" s="6">
        <v>66.81</v>
      </c>
      <c r="N854" s="8">
        <f t="shared" si="53"/>
        <v>49.349999999999994</v>
      </c>
      <c r="O854" s="4" t="s">
        <v>25</v>
      </c>
      <c r="P854" s="4" t="s">
        <v>118</v>
      </c>
      <c r="Q854" s="4">
        <v>4</v>
      </c>
      <c r="R854" s="21">
        <f t="shared" si="54"/>
        <v>0.42484504132231399</v>
      </c>
      <c r="S854" t="str">
        <f t="shared" si="55"/>
        <v>Small</v>
      </c>
    </row>
    <row r="855" spans="1:19" x14ac:dyDescent="0.35">
      <c r="A855" s="4" t="s">
        <v>1277</v>
      </c>
      <c r="B855" s="5">
        <v>45969</v>
      </c>
      <c r="C855" s="4" t="s">
        <v>1267</v>
      </c>
      <c r="D855" s="4" t="s">
        <v>43</v>
      </c>
      <c r="E855" s="4" t="s">
        <v>87</v>
      </c>
      <c r="F855" s="4" t="s">
        <v>124</v>
      </c>
      <c r="G855" s="4" t="s">
        <v>67</v>
      </c>
      <c r="H855" s="4" t="s">
        <v>93</v>
      </c>
      <c r="I855" s="4">
        <v>8</v>
      </c>
      <c r="J855" s="6">
        <v>187.93</v>
      </c>
      <c r="K855" s="7">
        <v>0</v>
      </c>
      <c r="L855" s="6">
        <f t="shared" si="52"/>
        <v>1503.44</v>
      </c>
      <c r="M855" s="6">
        <v>130.68</v>
      </c>
      <c r="N855" s="8">
        <f t="shared" si="53"/>
        <v>458</v>
      </c>
      <c r="O855" s="4" t="s">
        <v>40</v>
      </c>
      <c r="P855" s="4" t="s">
        <v>26</v>
      </c>
      <c r="Q855" s="4">
        <v>3</v>
      </c>
      <c r="R855" s="21">
        <f t="shared" si="54"/>
        <v>0.30463470441121693</v>
      </c>
      <c r="S855" t="str">
        <f t="shared" si="55"/>
        <v>Medium</v>
      </c>
    </row>
    <row r="856" spans="1:19" x14ac:dyDescent="0.35">
      <c r="A856" s="4" t="s">
        <v>1278</v>
      </c>
      <c r="B856" s="5">
        <v>45969</v>
      </c>
      <c r="C856" s="4" t="s">
        <v>35</v>
      </c>
      <c r="D856" s="4" t="s">
        <v>47</v>
      </c>
      <c r="E856" s="4" t="s">
        <v>29</v>
      </c>
      <c r="F856" s="4" t="s">
        <v>54</v>
      </c>
      <c r="G856" s="4" t="s">
        <v>67</v>
      </c>
      <c r="H856" s="4" t="s">
        <v>93</v>
      </c>
      <c r="I856" s="4">
        <v>2</v>
      </c>
      <c r="J856" s="6">
        <v>198.83</v>
      </c>
      <c r="K856" s="7">
        <v>0</v>
      </c>
      <c r="L856" s="6">
        <f t="shared" si="52"/>
        <v>397.66</v>
      </c>
      <c r="M856" s="6">
        <v>130.63</v>
      </c>
      <c r="N856" s="8">
        <f t="shared" si="53"/>
        <v>136.40000000000003</v>
      </c>
      <c r="O856" s="4" t="s">
        <v>60</v>
      </c>
      <c r="P856" s="4" t="s">
        <v>33</v>
      </c>
      <c r="Q856" s="4">
        <v>5</v>
      </c>
      <c r="R856" s="21">
        <f t="shared" si="54"/>
        <v>0.3430065885429765</v>
      </c>
      <c r="S856" t="str">
        <f t="shared" si="55"/>
        <v>Small</v>
      </c>
    </row>
    <row r="857" spans="1:19" x14ac:dyDescent="0.35">
      <c r="A857" s="4" t="s">
        <v>1279</v>
      </c>
      <c r="B857" s="5">
        <v>45970</v>
      </c>
      <c r="C857" s="4" t="s">
        <v>174</v>
      </c>
      <c r="D857" s="4" t="s">
        <v>20</v>
      </c>
      <c r="E857" s="4" t="s">
        <v>21</v>
      </c>
      <c r="F857" s="4" t="s">
        <v>59</v>
      </c>
      <c r="G857" s="4" t="s">
        <v>38</v>
      </c>
      <c r="H857" s="4" t="s">
        <v>89</v>
      </c>
      <c r="I857" s="4">
        <v>2</v>
      </c>
      <c r="J857" s="6">
        <v>1053.3</v>
      </c>
      <c r="K857" s="7">
        <v>0</v>
      </c>
      <c r="L857" s="6">
        <f t="shared" si="52"/>
        <v>2106.6</v>
      </c>
      <c r="M857" s="6">
        <v>895.67</v>
      </c>
      <c r="N857" s="8">
        <f t="shared" si="53"/>
        <v>315.26</v>
      </c>
      <c r="O857" s="4" t="s">
        <v>51</v>
      </c>
      <c r="P857" s="4" t="s">
        <v>72</v>
      </c>
      <c r="Q857" s="4">
        <v>4</v>
      </c>
      <c r="R857" s="21">
        <f t="shared" si="54"/>
        <v>0.14965347004652046</v>
      </c>
      <c r="S857" t="str">
        <f t="shared" si="55"/>
        <v>Large</v>
      </c>
    </row>
    <row r="858" spans="1:19" x14ac:dyDescent="0.35">
      <c r="A858" s="4" t="s">
        <v>1280</v>
      </c>
      <c r="B858" s="5">
        <v>45970</v>
      </c>
      <c r="C858" s="4" t="s">
        <v>493</v>
      </c>
      <c r="D858" s="4" t="s">
        <v>43</v>
      </c>
      <c r="E858" s="4" t="s">
        <v>29</v>
      </c>
      <c r="F858" s="4" t="s">
        <v>108</v>
      </c>
      <c r="G858" s="4" t="s">
        <v>38</v>
      </c>
      <c r="H858" s="4" t="s">
        <v>109</v>
      </c>
      <c r="I858" s="4">
        <v>4</v>
      </c>
      <c r="J858" s="6">
        <v>519.66</v>
      </c>
      <c r="K858" s="7">
        <v>0</v>
      </c>
      <c r="L858" s="6">
        <f t="shared" si="52"/>
        <v>2078.64</v>
      </c>
      <c r="M858" s="6">
        <v>403.72</v>
      </c>
      <c r="N858" s="8">
        <f t="shared" si="53"/>
        <v>463.75999999999976</v>
      </c>
      <c r="O858" s="4" t="s">
        <v>25</v>
      </c>
      <c r="P858" s="4" t="s">
        <v>72</v>
      </c>
      <c r="Q858" s="4">
        <v>2</v>
      </c>
      <c r="R858" s="21">
        <f t="shared" si="54"/>
        <v>0.22310741638763798</v>
      </c>
      <c r="S858" t="str">
        <f t="shared" si="55"/>
        <v>Large</v>
      </c>
    </row>
    <row r="859" spans="1:19" x14ac:dyDescent="0.35">
      <c r="A859" s="4" t="s">
        <v>1281</v>
      </c>
      <c r="B859" s="5">
        <v>45970</v>
      </c>
      <c r="C859" s="4" t="s">
        <v>493</v>
      </c>
      <c r="D859" s="4" t="s">
        <v>43</v>
      </c>
      <c r="E859" s="4" t="s">
        <v>21</v>
      </c>
      <c r="F859" s="4" t="s">
        <v>22</v>
      </c>
      <c r="G859" s="4" t="s">
        <v>38</v>
      </c>
      <c r="H859" s="4" t="s">
        <v>109</v>
      </c>
      <c r="I859" s="4">
        <v>4</v>
      </c>
      <c r="J859" s="6">
        <v>523.99</v>
      </c>
      <c r="K859" s="7">
        <v>0.05</v>
      </c>
      <c r="L859" s="6">
        <f t="shared" si="52"/>
        <v>1991.162</v>
      </c>
      <c r="M859" s="6">
        <v>450.92</v>
      </c>
      <c r="N859" s="8">
        <f t="shared" si="53"/>
        <v>187.48199999999997</v>
      </c>
      <c r="O859" s="4" t="s">
        <v>25</v>
      </c>
      <c r="P859" s="4" t="s">
        <v>33</v>
      </c>
      <c r="Q859" s="4">
        <v>5</v>
      </c>
      <c r="R859" s="21">
        <f t="shared" si="54"/>
        <v>9.415708013712594E-2</v>
      </c>
      <c r="S859" t="str">
        <f t="shared" si="55"/>
        <v>Medium</v>
      </c>
    </row>
    <row r="860" spans="1:19" x14ac:dyDescent="0.35">
      <c r="A860" s="4" t="s">
        <v>1282</v>
      </c>
      <c r="B860" s="5">
        <v>45971</v>
      </c>
      <c r="C860" s="4" t="s">
        <v>1283</v>
      </c>
      <c r="D860" s="4" t="s">
        <v>47</v>
      </c>
      <c r="E860" s="4" t="s">
        <v>87</v>
      </c>
      <c r="F860" s="4" t="s">
        <v>88</v>
      </c>
      <c r="G860" s="4" t="s">
        <v>31</v>
      </c>
      <c r="H860" s="4" t="s">
        <v>32</v>
      </c>
      <c r="I860" s="4">
        <v>1</v>
      </c>
      <c r="J860" s="6">
        <v>139.07</v>
      </c>
      <c r="K860" s="7">
        <v>0.15</v>
      </c>
      <c r="L860" s="6">
        <f t="shared" si="52"/>
        <v>118.20949999999999</v>
      </c>
      <c r="M860" s="6">
        <v>104.23</v>
      </c>
      <c r="N860" s="8">
        <f t="shared" si="53"/>
        <v>13.979499999999987</v>
      </c>
      <c r="O860" s="4" t="s">
        <v>84</v>
      </c>
      <c r="P860" s="4" t="s">
        <v>26</v>
      </c>
      <c r="Q860" s="4">
        <v>5</v>
      </c>
      <c r="R860" s="21">
        <f t="shared" si="54"/>
        <v>0.11826037670407191</v>
      </c>
      <c r="S860" t="str">
        <f t="shared" si="55"/>
        <v>Small</v>
      </c>
    </row>
    <row r="861" spans="1:19" x14ac:dyDescent="0.35">
      <c r="A861" s="4" t="s">
        <v>1284</v>
      </c>
      <c r="B861" s="5">
        <v>45971</v>
      </c>
      <c r="C861" s="4" t="s">
        <v>296</v>
      </c>
      <c r="D861" s="4" t="s">
        <v>47</v>
      </c>
      <c r="E861" s="4" t="s">
        <v>29</v>
      </c>
      <c r="F861" s="4" t="s">
        <v>108</v>
      </c>
      <c r="G861" s="4" t="s">
        <v>67</v>
      </c>
      <c r="H861" s="4" t="s">
        <v>121</v>
      </c>
      <c r="I861" s="4">
        <v>2</v>
      </c>
      <c r="J861" s="6">
        <v>130.68</v>
      </c>
      <c r="K861" s="7">
        <v>0</v>
      </c>
      <c r="L861" s="6">
        <f t="shared" si="52"/>
        <v>261.36</v>
      </c>
      <c r="M861" s="6">
        <v>83.45</v>
      </c>
      <c r="N861" s="8">
        <f t="shared" si="53"/>
        <v>94.460000000000008</v>
      </c>
      <c r="O861" s="4" t="s">
        <v>84</v>
      </c>
      <c r="P861" s="4" t="s">
        <v>97</v>
      </c>
      <c r="Q861" s="4">
        <v>4</v>
      </c>
      <c r="R861" s="21">
        <f t="shared" si="54"/>
        <v>0.36141720232629326</v>
      </c>
      <c r="S861" t="str">
        <f t="shared" si="55"/>
        <v>Small</v>
      </c>
    </row>
    <row r="862" spans="1:19" x14ac:dyDescent="0.35">
      <c r="A862" s="4" t="s">
        <v>1285</v>
      </c>
      <c r="B862" s="5">
        <v>45973</v>
      </c>
      <c r="C862" s="4" t="s">
        <v>1065</v>
      </c>
      <c r="D862" s="4" t="s">
        <v>47</v>
      </c>
      <c r="E862" s="4" t="s">
        <v>36</v>
      </c>
      <c r="F862" s="4" t="s">
        <v>37</v>
      </c>
      <c r="G862" s="4" t="s">
        <v>67</v>
      </c>
      <c r="H862" s="4" t="s">
        <v>68</v>
      </c>
      <c r="I862" s="4">
        <v>1</v>
      </c>
      <c r="J862" s="6">
        <v>619.49</v>
      </c>
      <c r="K862" s="7">
        <v>0.1</v>
      </c>
      <c r="L862" s="6">
        <f t="shared" si="52"/>
        <v>557.54100000000005</v>
      </c>
      <c r="M862" s="6">
        <v>391.69</v>
      </c>
      <c r="N862" s="8">
        <f t="shared" si="53"/>
        <v>165.85100000000006</v>
      </c>
      <c r="O862" s="4" t="s">
        <v>25</v>
      </c>
      <c r="P862" s="4" t="s">
        <v>61</v>
      </c>
      <c r="Q862" s="4">
        <v>5</v>
      </c>
      <c r="R862" s="21">
        <f t="shared" si="54"/>
        <v>0.29746870633729183</v>
      </c>
      <c r="S862" t="str">
        <f t="shared" si="55"/>
        <v>Medium</v>
      </c>
    </row>
    <row r="863" spans="1:19" x14ac:dyDescent="0.35">
      <c r="A863" s="4" t="s">
        <v>1286</v>
      </c>
      <c r="B863" s="5">
        <v>45973</v>
      </c>
      <c r="C863" s="4" t="s">
        <v>670</v>
      </c>
      <c r="D863" s="4" t="s">
        <v>47</v>
      </c>
      <c r="E863" s="4" t="s">
        <v>21</v>
      </c>
      <c r="F863" s="4" t="s">
        <v>59</v>
      </c>
      <c r="G863" s="4" t="s">
        <v>23</v>
      </c>
      <c r="H863" s="4" t="s">
        <v>44</v>
      </c>
      <c r="I863" s="4">
        <v>6</v>
      </c>
      <c r="J863" s="6">
        <v>123.41</v>
      </c>
      <c r="K863" s="7">
        <v>0.1</v>
      </c>
      <c r="L863" s="6">
        <f t="shared" si="52"/>
        <v>666.4140000000001</v>
      </c>
      <c r="M863" s="6">
        <v>72.489999999999995</v>
      </c>
      <c r="N863" s="8">
        <f t="shared" si="53"/>
        <v>231.47400000000016</v>
      </c>
      <c r="O863" s="4" t="s">
        <v>25</v>
      </c>
      <c r="P863" s="4" t="s">
        <v>26</v>
      </c>
      <c r="Q863" s="4">
        <v>5</v>
      </c>
      <c r="R863" s="21">
        <f t="shared" si="54"/>
        <v>0.34734264286164473</v>
      </c>
      <c r="S863" t="str">
        <f t="shared" si="55"/>
        <v>Medium</v>
      </c>
    </row>
    <row r="864" spans="1:19" x14ac:dyDescent="0.35">
      <c r="A864" s="4" t="s">
        <v>1287</v>
      </c>
      <c r="B864" s="5">
        <v>45974</v>
      </c>
      <c r="C864" s="4" t="s">
        <v>640</v>
      </c>
      <c r="D864" s="4" t="s">
        <v>47</v>
      </c>
      <c r="E864" s="4" t="s">
        <v>87</v>
      </c>
      <c r="F864" s="4" t="s">
        <v>92</v>
      </c>
      <c r="G864" s="4" t="s">
        <v>67</v>
      </c>
      <c r="H864" s="4" t="s">
        <v>68</v>
      </c>
      <c r="I864" s="4">
        <v>2</v>
      </c>
      <c r="J864" s="6">
        <v>492.4</v>
      </c>
      <c r="K864" s="7">
        <v>0.2</v>
      </c>
      <c r="L864" s="6">
        <f t="shared" si="52"/>
        <v>787.84</v>
      </c>
      <c r="M864" s="6">
        <v>338.79</v>
      </c>
      <c r="N864" s="8">
        <f t="shared" si="53"/>
        <v>110.25999999999999</v>
      </c>
      <c r="O864" s="4" t="s">
        <v>40</v>
      </c>
      <c r="P864" s="4" t="s">
        <v>118</v>
      </c>
      <c r="Q864" s="4">
        <v>4</v>
      </c>
      <c r="R864" s="21">
        <f t="shared" si="54"/>
        <v>0.13995227457351744</v>
      </c>
      <c r="S864" t="str">
        <f t="shared" si="55"/>
        <v>Medium</v>
      </c>
    </row>
    <row r="865" spans="1:19" x14ac:dyDescent="0.35">
      <c r="A865" s="4" t="s">
        <v>1288</v>
      </c>
      <c r="B865" s="5">
        <v>45974</v>
      </c>
      <c r="C865" s="4" t="s">
        <v>411</v>
      </c>
      <c r="D865" s="4" t="s">
        <v>20</v>
      </c>
      <c r="E865" s="4" t="s">
        <v>36</v>
      </c>
      <c r="F865" s="4" t="s">
        <v>37</v>
      </c>
      <c r="G865" s="4" t="s">
        <v>38</v>
      </c>
      <c r="H865" s="4" t="s">
        <v>55</v>
      </c>
      <c r="I865" s="4">
        <v>6</v>
      </c>
      <c r="J865" s="6">
        <v>118.68</v>
      </c>
      <c r="K865" s="7">
        <v>0.1</v>
      </c>
      <c r="L865" s="6">
        <f t="shared" si="52"/>
        <v>640.87200000000007</v>
      </c>
      <c r="M865" s="6">
        <v>90.59</v>
      </c>
      <c r="N865" s="8">
        <f t="shared" si="53"/>
        <v>97.332000000000107</v>
      </c>
      <c r="O865" s="4" t="s">
        <v>25</v>
      </c>
      <c r="P865" s="4" t="s">
        <v>26</v>
      </c>
      <c r="Q865" s="4">
        <v>4</v>
      </c>
      <c r="R865" s="21">
        <f t="shared" si="54"/>
        <v>0.15187432123731431</v>
      </c>
      <c r="S865" t="str">
        <f t="shared" si="55"/>
        <v>Medium</v>
      </c>
    </row>
    <row r="866" spans="1:19" x14ac:dyDescent="0.35">
      <c r="A866" s="4" t="s">
        <v>1289</v>
      </c>
      <c r="B866" s="5">
        <v>45975</v>
      </c>
      <c r="C866" s="4" t="s">
        <v>172</v>
      </c>
      <c r="D866" s="4" t="s">
        <v>43</v>
      </c>
      <c r="E866" s="4" t="s">
        <v>21</v>
      </c>
      <c r="F866" s="4" t="s">
        <v>59</v>
      </c>
      <c r="G866" s="4" t="s">
        <v>49</v>
      </c>
      <c r="H866" s="4" t="s">
        <v>78</v>
      </c>
      <c r="I866" s="4">
        <v>6</v>
      </c>
      <c r="J866" s="6">
        <v>328.21</v>
      </c>
      <c r="K866" s="7">
        <v>0.2</v>
      </c>
      <c r="L866" s="6">
        <f t="shared" si="52"/>
        <v>1575.4079999999999</v>
      </c>
      <c r="M866" s="6">
        <v>242.4</v>
      </c>
      <c r="N866" s="8">
        <f t="shared" si="53"/>
        <v>121.00799999999981</v>
      </c>
      <c r="O866" s="4" t="s">
        <v>40</v>
      </c>
      <c r="P866" s="4" t="s">
        <v>61</v>
      </c>
      <c r="Q866" s="4">
        <v>4</v>
      </c>
      <c r="R866" s="21">
        <f t="shared" si="54"/>
        <v>7.6810578592973897E-2</v>
      </c>
      <c r="S866" t="str">
        <f t="shared" si="55"/>
        <v>Medium</v>
      </c>
    </row>
    <row r="867" spans="1:19" x14ac:dyDescent="0.35">
      <c r="A867" s="4" t="s">
        <v>1290</v>
      </c>
      <c r="B867" s="5">
        <v>45975</v>
      </c>
      <c r="C867" s="4" t="s">
        <v>478</v>
      </c>
      <c r="D867" s="4" t="s">
        <v>47</v>
      </c>
      <c r="E867" s="4" t="s">
        <v>87</v>
      </c>
      <c r="F867" s="4" t="s">
        <v>124</v>
      </c>
      <c r="G867" s="4" t="s">
        <v>49</v>
      </c>
      <c r="H867" s="4" t="s">
        <v>50</v>
      </c>
      <c r="I867" s="4">
        <v>4</v>
      </c>
      <c r="J867" s="6">
        <v>13.45</v>
      </c>
      <c r="K867" s="7">
        <v>0.15</v>
      </c>
      <c r="L867" s="6">
        <f t="shared" si="52"/>
        <v>45.73</v>
      </c>
      <c r="M867" s="6">
        <v>10.01</v>
      </c>
      <c r="N867" s="8">
        <f t="shared" si="53"/>
        <v>5.6899999999999977</v>
      </c>
      <c r="O867" s="4" t="s">
        <v>40</v>
      </c>
      <c r="P867" s="4" t="s">
        <v>56</v>
      </c>
      <c r="Q867" s="4">
        <v>2</v>
      </c>
      <c r="R867" s="21">
        <f t="shared" si="54"/>
        <v>0.12442597856986656</v>
      </c>
      <c r="S867" t="str">
        <f t="shared" si="55"/>
        <v>Small</v>
      </c>
    </row>
    <row r="868" spans="1:19" x14ac:dyDescent="0.35">
      <c r="A868" s="4" t="s">
        <v>1291</v>
      </c>
      <c r="B868" s="5">
        <v>45975</v>
      </c>
      <c r="C868" s="4" t="s">
        <v>655</v>
      </c>
      <c r="D868" s="4" t="s">
        <v>20</v>
      </c>
      <c r="E868" s="4" t="s">
        <v>36</v>
      </c>
      <c r="F868" s="4" t="s">
        <v>48</v>
      </c>
      <c r="G868" s="4" t="s">
        <v>23</v>
      </c>
      <c r="H868" s="4" t="s">
        <v>135</v>
      </c>
      <c r="I868" s="4">
        <v>3</v>
      </c>
      <c r="J868" s="6">
        <v>16.48</v>
      </c>
      <c r="K868" s="7">
        <v>0.1</v>
      </c>
      <c r="L868" s="6">
        <f t="shared" si="52"/>
        <v>44.496000000000002</v>
      </c>
      <c r="M868" s="6">
        <v>7.18</v>
      </c>
      <c r="N868" s="8">
        <f t="shared" si="53"/>
        <v>22.956000000000003</v>
      </c>
      <c r="O868" s="4" t="s">
        <v>25</v>
      </c>
      <c r="P868" s="4" t="s">
        <v>61</v>
      </c>
      <c r="Q868" s="4">
        <v>5</v>
      </c>
      <c r="R868" s="21">
        <f t="shared" si="54"/>
        <v>0.51591154261057182</v>
      </c>
      <c r="S868" t="str">
        <f t="shared" si="55"/>
        <v>Small</v>
      </c>
    </row>
    <row r="869" spans="1:19" x14ac:dyDescent="0.35">
      <c r="A869" s="4" t="s">
        <v>1292</v>
      </c>
      <c r="B869" s="5">
        <v>45975</v>
      </c>
      <c r="C869" s="4" t="s">
        <v>1293</v>
      </c>
      <c r="D869" s="4" t="s">
        <v>47</v>
      </c>
      <c r="E869" s="4" t="s">
        <v>29</v>
      </c>
      <c r="F869" s="4" t="s">
        <v>30</v>
      </c>
      <c r="G869" s="4" t="s">
        <v>23</v>
      </c>
      <c r="H869" s="4" t="s">
        <v>71</v>
      </c>
      <c r="I869" s="4">
        <v>5</v>
      </c>
      <c r="J869" s="6">
        <v>135.36000000000001</v>
      </c>
      <c r="K869" s="7">
        <v>0.1</v>
      </c>
      <c r="L869" s="6">
        <f t="shared" si="52"/>
        <v>609.12000000000012</v>
      </c>
      <c r="M869" s="6">
        <v>56.16</v>
      </c>
      <c r="N869" s="8">
        <f t="shared" si="53"/>
        <v>328.32000000000016</v>
      </c>
      <c r="O869" s="4" t="s">
        <v>51</v>
      </c>
      <c r="P869" s="4" t="s">
        <v>61</v>
      </c>
      <c r="Q869" s="4">
        <v>5</v>
      </c>
      <c r="R869" s="21">
        <f t="shared" si="54"/>
        <v>0.53900709219858167</v>
      </c>
      <c r="S869" t="str">
        <f t="shared" si="55"/>
        <v>Medium</v>
      </c>
    </row>
    <row r="870" spans="1:19" x14ac:dyDescent="0.35">
      <c r="A870" s="4" t="s">
        <v>1294</v>
      </c>
      <c r="B870" s="5">
        <v>45976</v>
      </c>
      <c r="C870" s="4" t="s">
        <v>1019</v>
      </c>
      <c r="D870" s="4" t="s">
        <v>43</v>
      </c>
      <c r="E870" s="4" t="s">
        <v>29</v>
      </c>
      <c r="F870" s="4" t="s">
        <v>54</v>
      </c>
      <c r="G870" s="4" t="s">
        <v>38</v>
      </c>
      <c r="H870" s="4" t="s">
        <v>96</v>
      </c>
      <c r="I870" s="4">
        <v>3</v>
      </c>
      <c r="J870" s="6">
        <v>174.48</v>
      </c>
      <c r="K870" s="7">
        <v>0.15</v>
      </c>
      <c r="L870" s="6">
        <f t="shared" si="52"/>
        <v>444.92399999999992</v>
      </c>
      <c r="M870" s="6">
        <v>141.11000000000001</v>
      </c>
      <c r="N870" s="8">
        <f t="shared" si="53"/>
        <v>21.59399999999988</v>
      </c>
      <c r="O870" s="4" t="s">
        <v>25</v>
      </c>
      <c r="P870" s="4" t="s">
        <v>118</v>
      </c>
      <c r="Q870" s="4">
        <v>2</v>
      </c>
      <c r="R870" s="21">
        <f t="shared" si="54"/>
        <v>4.8534131671925732E-2</v>
      </c>
      <c r="S870" t="str">
        <f t="shared" si="55"/>
        <v>Small</v>
      </c>
    </row>
    <row r="871" spans="1:19" x14ac:dyDescent="0.35">
      <c r="A871" s="4" t="s">
        <v>1295</v>
      </c>
      <c r="B871" s="5">
        <v>45976</v>
      </c>
      <c r="C871" s="4" t="s">
        <v>1296</v>
      </c>
      <c r="D871" s="4" t="s">
        <v>20</v>
      </c>
      <c r="E871" s="4" t="s">
        <v>21</v>
      </c>
      <c r="F871" s="4" t="s">
        <v>22</v>
      </c>
      <c r="G871" s="4" t="s">
        <v>23</v>
      </c>
      <c r="H871" s="4" t="s">
        <v>135</v>
      </c>
      <c r="I871" s="4">
        <v>1</v>
      </c>
      <c r="J871" s="6">
        <v>23.29</v>
      </c>
      <c r="K871" s="7">
        <v>0</v>
      </c>
      <c r="L871" s="6">
        <f t="shared" si="52"/>
        <v>23.29</v>
      </c>
      <c r="M871" s="6">
        <v>12.44</v>
      </c>
      <c r="N871" s="8">
        <f t="shared" si="53"/>
        <v>10.85</v>
      </c>
      <c r="O871" s="4" t="s">
        <v>60</v>
      </c>
      <c r="P871" s="4" t="s">
        <v>61</v>
      </c>
      <c r="Q871" s="4">
        <v>5</v>
      </c>
      <c r="R871" s="21">
        <f t="shared" si="54"/>
        <v>0.46586517818806356</v>
      </c>
      <c r="S871" t="str">
        <f t="shared" si="55"/>
        <v>Small</v>
      </c>
    </row>
    <row r="872" spans="1:19" x14ac:dyDescent="0.35">
      <c r="A872" s="4" t="s">
        <v>1297</v>
      </c>
      <c r="B872" s="5">
        <v>45976</v>
      </c>
      <c r="C872" s="4" t="s">
        <v>63</v>
      </c>
      <c r="D872" s="4" t="s">
        <v>20</v>
      </c>
      <c r="E872" s="4" t="s">
        <v>87</v>
      </c>
      <c r="F872" s="4" t="s">
        <v>92</v>
      </c>
      <c r="G872" s="4" t="s">
        <v>38</v>
      </c>
      <c r="H872" s="4" t="s">
        <v>55</v>
      </c>
      <c r="I872" s="4">
        <v>5</v>
      </c>
      <c r="J872" s="6">
        <v>154.29</v>
      </c>
      <c r="K872" s="7">
        <v>0.1</v>
      </c>
      <c r="L872" s="6">
        <f t="shared" si="52"/>
        <v>694.30499999999995</v>
      </c>
      <c r="M872" s="6">
        <v>118.56</v>
      </c>
      <c r="N872" s="8">
        <f t="shared" si="53"/>
        <v>101.505</v>
      </c>
      <c r="O872" s="4" t="s">
        <v>84</v>
      </c>
      <c r="P872" s="4" t="s">
        <v>33</v>
      </c>
      <c r="Q872" s="4">
        <v>2</v>
      </c>
      <c r="R872" s="21">
        <f t="shared" si="54"/>
        <v>0.14619655626849873</v>
      </c>
      <c r="S872" t="str">
        <f t="shared" si="55"/>
        <v>Medium</v>
      </c>
    </row>
    <row r="873" spans="1:19" x14ac:dyDescent="0.35">
      <c r="A873" s="4" t="s">
        <v>1298</v>
      </c>
      <c r="B873" s="5">
        <v>45977</v>
      </c>
      <c r="C873" s="4" t="s">
        <v>215</v>
      </c>
      <c r="D873" s="4" t="s">
        <v>47</v>
      </c>
      <c r="E873" s="4" t="s">
        <v>29</v>
      </c>
      <c r="F873" s="4" t="s">
        <v>54</v>
      </c>
      <c r="G873" s="4" t="s">
        <v>31</v>
      </c>
      <c r="H873" s="4" t="s">
        <v>125</v>
      </c>
      <c r="I873" s="4">
        <v>5</v>
      </c>
      <c r="J873" s="6">
        <v>77.42</v>
      </c>
      <c r="K873" s="7">
        <v>0</v>
      </c>
      <c r="L873" s="6">
        <f t="shared" si="52"/>
        <v>387.1</v>
      </c>
      <c r="M873" s="6">
        <v>49.32</v>
      </c>
      <c r="N873" s="8">
        <f t="shared" si="53"/>
        <v>140.50000000000003</v>
      </c>
      <c r="O873" s="4" t="s">
        <v>25</v>
      </c>
      <c r="P873" s="4" t="s">
        <v>33</v>
      </c>
      <c r="Q873" s="4">
        <v>4</v>
      </c>
      <c r="R873" s="21">
        <f t="shared" si="54"/>
        <v>0.36295530870576082</v>
      </c>
      <c r="S873" t="str">
        <f t="shared" si="55"/>
        <v>Small</v>
      </c>
    </row>
    <row r="874" spans="1:19" x14ac:dyDescent="0.35">
      <c r="A874" s="4" t="s">
        <v>1299</v>
      </c>
      <c r="B874" s="5">
        <v>45978</v>
      </c>
      <c r="C874" s="4" t="s">
        <v>1300</v>
      </c>
      <c r="D874" s="4" t="s">
        <v>43</v>
      </c>
      <c r="E874" s="4" t="s">
        <v>29</v>
      </c>
      <c r="F874" s="4" t="s">
        <v>108</v>
      </c>
      <c r="G874" s="4" t="s">
        <v>67</v>
      </c>
      <c r="H874" s="4" t="s">
        <v>68</v>
      </c>
      <c r="I874" s="4">
        <v>3</v>
      </c>
      <c r="J874" s="6">
        <v>619.64</v>
      </c>
      <c r="K874" s="7">
        <v>0</v>
      </c>
      <c r="L874" s="6">
        <f t="shared" si="52"/>
        <v>1858.92</v>
      </c>
      <c r="M874" s="6">
        <v>450.65</v>
      </c>
      <c r="N874" s="8">
        <f t="shared" si="53"/>
        <v>506.97000000000025</v>
      </c>
      <c r="O874" s="4" t="s">
        <v>84</v>
      </c>
      <c r="P874" s="4" t="s">
        <v>72</v>
      </c>
      <c r="Q874" s="4">
        <v>5</v>
      </c>
      <c r="R874" s="21">
        <f t="shared" si="54"/>
        <v>0.27272287134465184</v>
      </c>
      <c r="S874" t="str">
        <f t="shared" si="55"/>
        <v>Medium</v>
      </c>
    </row>
    <row r="875" spans="1:19" x14ac:dyDescent="0.35">
      <c r="A875" s="4" t="s">
        <v>1301</v>
      </c>
      <c r="B875" s="5">
        <v>45978</v>
      </c>
      <c r="C875" s="4" t="s">
        <v>616</v>
      </c>
      <c r="D875" s="4" t="s">
        <v>43</v>
      </c>
      <c r="E875" s="4" t="s">
        <v>36</v>
      </c>
      <c r="F875" s="4" t="s">
        <v>48</v>
      </c>
      <c r="G875" s="4" t="s">
        <v>23</v>
      </c>
      <c r="H875" s="4" t="s">
        <v>71</v>
      </c>
      <c r="I875" s="4">
        <v>2</v>
      </c>
      <c r="J875" s="6">
        <v>81.3</v>
      </c>
      <c r="K875" s="7">
        <v>0</v>
      </c>
      <c r="L875" s="6">
        <f t="shared" si="52"/>
        <v>162.6</v>
      </c>
      <c r="M875" s="6">
        <v>38.619999999999997</v>
      </c>
      <c r="N875" s="8">
        <f t="shared" si="53"/>
        <v>85.36</v>
      </c>
      <c r="O875" s="4" t="s">
        <v>25</v>
      </c>
      <c r="P875" s="4" t="s">
        <v>75</v>
      </c>
      <c r="Q875" s="4">
        <v>5</v>
      </c>
      <c r="R875" s="21">
        <f t="shared" si="54"/>
        <v>0.52496924969249692</v>
      </c>
      <c r="S875" t="str">
        <f t="shared" si="55"/>
        <v>Small</v>
      </c>
    </row>
    <row r="876" spans="1:19" x14ac:dyDescent="0.35">
      <c r="A876" s="4" t="s">
        <v>1302</v>
      </c>
      <c r="B876" s="5">
        <v>45978</v>
      </c>
      <c r="C876" s="4" t="s">
        <v>411</v>
      </c>
      <c r="D876" s="4" t="s">
        <v>43</v>
      </c>
      <c r="E876" s="4" t="s">
        <v>36</v>
      </c>
      <c r="F876" s="4" t="s">
        <v>201</v>
      </c>
      <c r="G876" s="4" t="s">
        <v>23</v>
      </c>
      <c r="H876" s="4" t="s">
        <v>24</v>
      </c>
      <c r="I876" s="4">
        <v>3</v>
      </c>
      <c r="J876" s="6">
        <v>55.89</v>
      </c>
      <c r="K876" s="7">
        <v>0.1</v>
      </c>
      <c r="L876" s="6">
        <f t="shared" si="52"/>
        <v>150.90300000000002</v>
      </c>
      <c r="M876" s="6">
        <v>29.8</v>
      </c>
      <c r="N876" s="8">
        <f t="shared" si="53"/>
        <v>61.503000000000014</v>
      </c>
      <c r="O876" s="4" t="s">
        <v>60</v>
      </c>
      <c r="P876" s="4" t="s">
        <v>118</v>
      </c>
      <c r="Q876" s="4">
        <v>5</v>
      </c>
      <c r="R876" s="21">
        <f t="shared" si="54"/>
        <v>0.40756644997117358</v>
      </c>
      <c r="S876" t="str">
        <f t="shared" si="55"/>
        <v>Small</v>
      </c>
    </row>
    <row r="877" spans="1:19" x14ac:dyDescent="0.35">
      <c r="A877" s="4" t="s">
        <v>1303</v>
      </c>
      <c r="B877" s="5">
        <v>45978</v>
      </c>
      <c r="C877" s="4" t="s">
        <v>734</v>
      </c>
      <c r="D877" s="4" t="s">
        <v>20</v>
      </c>
      <c r="E877" s="4" t="s">
        <v>21</v>
      </c>
      <c r="F877" s="4" t="s">
        <v>22</v>
      </c>
      <c r="G877" s="4" t="s">
        <v>38</v>
      </c>
      <c r="H877" s="4" t="s">
        <v>96</v>
      </c>
      <c r="I877" s="4">
        <v>6</v>
      </c>
      <c r="J877" s="6">
        <v>411.52</v>
      </c>
      <c r="K877" s="7">
        <v>0</v>
      </c>
      <c r="L877" s="6">
        <f t="shared" si="52"/>
        <v>2469.12</v>
      </c>
      <c r="M877" s="6">
        <v>349.59</v>
      </c>
      <c r="N877" s="8">
        <f t="shared" si="53"/>
        <v>371.57999999999993</v>
      </c>
      <c r="O877" s="4" t="s">
        <v>84</v>
      </c>
      <c r="P877" s="4" t="s">
        <v>75</v>
      </c>
      <c r="Q877" s="4">
        <v>4</v>
      </c>
      <c r="R877" s="21">
        <f t="shared" si="54"/>
        <v>0.15049086314152407</v>
      </c>
      <c r="S877" t="str">
        <f t="shared" si="55"/>
        <v>Large</v>
      </c>
    </row>
    <row r="878" spans="1:19" x14ac:dyDescent="0.35">
      <c r="A878" s="4" t="s">
        <v>1304</v>
      </c>
      <c r="B878" s="5">
        <v>45979</v>
      </c>
      <c r="C878" s="4" t="s">
        <v>576</v>
      </c>
      <c r="D878" s="4" t="s">
        <v>20</v>
      </c>
      <c r="E878" s="4" t="s">
        <v>87</v>
      </c>
      <c r="F878" s="4" t="s">
        <v>92</v>
      </c>
      <c r="G878" s="4" t="s">
        <v>23</v>
      </c>
      <c r="H878" s="4" t="s">
        <v>44</v>
      </c>
      <c r="I878" s="4">
        <v>4</v>
      </c>
      <c r="J878" s="6">
        <v>127.71</v>
      </c>
      <c r="K878" s="7">
        <v>0.1</v>
      </c>
      <c r="L878" s="6">
        <f t="shared" si="52"/>
        <v>459.75599999999997</v>
      </c>
      <c r="M878" s="6">
        <v>67.89</v>
      </c>
      <c r="N878" s="8">
        <f t="shared" si="53"/>
        <v>188.19599999999997</v>
      </c>
      <c r="O878" s="4" t="s">
        <v>40</v>
      </c>
      <c r="P878" s="4" t="s">
        <v>33</v>
      </c>
      <c r="Q878" s="4">
        <v>2</v>
      </c>
      <c r="R878" s="21">
        <f t="shared" si="54"/>
        <v>0.40933886670320774</v>
      </c>
      <c r="S878" t="str">
        <f t="shared" si="55"/>
        <v>Small</v>
      </c>
    </row>
    <row r="879" spans="1:19" x14ac:dyDescent="0.35">
      <c r="A879" s="4" t="s">
        <v>1305</v>
      </c>
      <c r="B879" s="5">
        <v>45979</v>
      </c>
      <c r="C879" s="4" t="s">
        <v>225</v>
      </c>
      <c r="D879" s="4" t="s">
        <v>43</v>
      </c>
      <c r="E879" s="4" t="s">
        <v>21</v>
      </c>
      <c r="F879" s="4" t="s">
        <v>81</v>
      </c>
      <c r="G879" s="4" t="s">
        <v>49</v>
      </c>
      <c r="H879" s="4" t="s">
        <v>128</v>
      </c>
      <c r="I879" s="4">
        <v>2</v>
      </c>
      <c r="J879" s="6">
        <v>120.4</v>
      </c>
      <c r="K879" s="7">
        <v>0</v>
      </c>
      <c r="L879" s="6">
        <f t="shared" si="52"/>
        <v>240.8</v>
      </c>
      <c r="M879" s="6">
        <v>68.61</v>
      </c>
      <c r="N879" s="8">
        <f t="shared" si="53"/>
        <v>103.58000000000001</v>
      </c>
      <c r="O879" s="4" t="s">
        <v>51</v>
      </c>
      <c r="P879" s="4" t="s">
        <v>75</v>
      </c>
      <c r="Q879" s="4">
        <v>3</v>
      </c>
      <c r="R879" s="21">
        <f t="shared" si="54"/>
        <v>0.43014950166112959</v>
      </c>
      <c r="S879" t="str">
        <f t="shared" si="55"/>
        <v>Small</v>
      </c>
    </row>
    <row r="880" spans="1:19" x14ac:dyDescent="0.35">
      <c r="A880" s="4" t="s">
        <v>1306</v>
      </c>
      <c r="B880" s="5">
        <v>45979</v>
      </c>
      <c r="C880" s="4" t="s">
        <v>655</v>
      </c>
      <c r="D880" s="4" t="s">
        <v>47</v>
      </c>
      <c r="E880" s="4" t="s">
        <v>87</v>
      </c>
      <c r="F880" s="4" t="s">
        <v>124</v>
      </c>
      <c r="G880" s="4" t="s">
        <v>38</v>
      </c>
      <c r="H880" s="4" t="s">
        <v>55</v>
      </c>
      <c r="I880" s="4">
        <v>4</v>
      </c>
      <c r="J880" s="6">
        <v>269.38</v>
      </c>
      <c r="K880" s="7">
        <v>0</v>
      </c>
      <c r="L880" s="6">
        <f t="shared" si="52"/>
        <v>1077.52</v>
      </c>
      <c r="M880" s="6">
        <v>203.44</v>
      </c>
      <c r="N880" s="8">
        <f t="shared" si="53"/>
        <v>263.76</v>
      </c>
      <c r="O880" s="4" t="s">
        <v>60</v>
      </c>
      <c r="P880" s="4" t="s">
        <v>33</v>
      </c>
      <c r="Q880" s="4">
        <v>5</v>
      </c>
      <c r="R880" s="21">
        <f t="shared" si="54"/>
        <v>0.24478431954859306</v>
      </c>
      <c r="S880" t="str">
        <f t="shared" si="55"/>
        <v>Medium</v>
      </c>
    </row>
    <row r="881" spans="1:19" x14ac:dyDescent="0.35">
      <c r="A881" s="4" t="s">
        <v>1307</v>
      </c>
      <c r="B881" s="5">
        <v>45980</v>
      </c>
      <c r="C881" s="4" t="s">
        <v>1195</v>
      </c>
      <c r="D881" s="4" t="s">
        <v>43</v>
      </c>
      <c r="E881" s="4" t="s">
        <v>21</v>
      </c>
      <c r="F881" s="4" t="s">
        <v>59</v>
      </c>
      <c r="G881" s="4" t="s">
        <v>38</v>
      </c>
      <c r="H881" s="4" t="s">
        <v>55</v>
      </c>
      <c r="I881" s="4">
        <v>1</v>
      </c>
      <c r="J881" s="6">
        <v>153.85</v>
      </c>
      <c r="K881" s="7">
        <v>0.15</v>
      </c>
      <c r="L881" s="6">
        <f t="shared" si="52"/>
        <v>130.77249999999998</v>
      </c>
      <c r="M881" s="6">
        <v>134.65</v>
      </c>
      <c r="N881" s="8">
        <f t="shared" si="53"/>
        <v>-3.8775000000000261</v>
      </c>
      <c r="O881" s="4" t="s">
        <v>60</v>
      </c>
      <c r="P881" s="4" t="s">
        <v>61</v>
      </c>
      <c r="Q881" s="4">
        <v>3</v>
      </c>
      <c r="R881" s="21">
        <f t="shared" si="54"/>
        <v>-2.9650729320002497E-2</v>
      </c>
      <c r="S881" t="str">
        <f t="shared" si="55"/>
        <v>Small</v>
      </c>
    </row>
    <row r="882" spans="1:19" x14ac:dyDescent="0.35">
      <c r="A882" s="4" t="s">
        <v>1308</v>
      </c>
      <c r="B882" s="5">
        <v>45980</v>
      </c>
      <c r="C882" s="4" t="s">
        <v>382</v>
      </c>
      <c r="D882" s="4" t="s">
        <v>20</v>
      </c>
      <c r="E882" s="4" t="s">
        <v>36</v>
      </c>
      <c r="F882" s="4" t="s">
        <v>48</v>
      </c>
      <c r="G882" s="4" t="s">
        <v>38</v>
      </c>
      <c r="H882" s="4" t="s">
        <v>89</v>
      </c>
      <c r="I882" s="4">
        <v>2</v>
      </c>
      <c r="J882" s="6">
        <v>1193.0999999999999</v>
      </c>
      <c r="K882" s="7">
        <v>0</v>
      </c>
      <c r="L882" s="6">
        <f t="shared" si="52"/>
        <v>2386.1999999999998</v>
      </c>
      <c r="M882" s="6">
        <v>1046.2</v>
      </c>
      <c r="N882" s="8">
        <f t="shared" si="53"/>
        <v>293.79999999999973</v>
      </c>
      <c r="O882" s="4" t="s">
        <v>40</v>
      </c>
      <c r="P882" s="4" t="s">
        <v>72</v>
      </c>
      <c r="Q882" s="4">
        <v>5</v>
      </c>
      <c r="R882" s="21">
        <f t="shared" si="54"/>
        <v>0.12312463330818865</v>
      </c>
      <c r="S882" t="str">
        <f t="shared" si="55"/>
        <v>Large</v>
      </c>
    </row>
    <row r="883" spans="1:19" x14ac:dyDescent="0.35">
      <c r="A883" s="4" t="s">
        <v>1309</v>
      </c>
      <c r="B883" s="5">
        <v>45981</v>
      </c>
      <c r="C883" s="4" t="s">
        <v>1310</v>
      </c>
      <c r="D883" s="4" t="s">
        <v>43</v>
      </c>
      <c r="E883" s="4" t="s">
        <v>21</v>
      </c>
      <c r="F883" s="4" t="s">
        <v>81</v>
      </c>
      <c r="G883" s="4" t="s">
        <v>31</v>
      </c>
      <c r="H883" s="4" t="s">
        <v>32</v>
      </c>
      <c r="I883" s="4">
        <v>1</v>
      </c>
      <c r="J883" s="6">
        <v>303.05</v>
      </c>
      <c r="K883" s="7">
        <v>0.1</v>
      </c>
      <c r="L883" s="6">
        <f t="shared" si="52"/>
        <v>272.745</v>
      </c>
      <c r="M883" s="6">
        <v>181.04</v>
      </c>
      <c r="N883" s="8">
        <f t="shared" si="53"/>
        <v>91.705000000000013</v>
      </c>
      <c r="O883" s="4" t="s">
        <v>25</v>
      </c>
      <c r="P883" s="4" t="s">
        <v>33</v>
      </c>
      <c r="Q883" s="4">
        <v>5</v>
      </c>
      <c r="R883" s="21">
        <f t="shared" si="54"/>
        <v>0.33622981172890432</v>
      </c>
      <c r="S883" t="str">
        <f t="shared" si="55"/>
        <v>Small</v>
      </c>
    </row>
    <row r="884" spans="1:19" x14ac:dyDescent="0.35">
      <c r="A884" s="4" t="s">
        <v>1311</v>
      </c>
      <c r="B884" s="5">
        <v>45982</v>
      </c>
      <c r="C884" s="4" t="s">
        <v>463</v>
      </c>
      <c r="D884" s="4" t="s">
        <v>47</v>
      </c>
      <c r="E884" s="4" t="s">
        <v>36</v>
      </c>
      <c r="F884" s="4" t="s">
        <v>201</v>
      </c>
      <c r="G884" s="4" t="s">
        <v>31</v>
      </c>
      <c r="H884" s="4" t="s">
        <v>32</v>
      </c>
      <c r="I884" s="4">
        <v>3</v>
      </c>
      <c r="J884" s="6">
        <v>266.99</v>
      </c>
      <c r="K884" s="7">
        <v>0.2</v>
      </c>
      <c r="L884" s="6">
        <f t="shared" si="52"/>
        <v>640.77600000000007</v>
      </c>
      <c r="M884" s="6">
        <v>171.72</v>
      </c>
      <c r="N884" s="8">
        <f t="shared" si="53"/>
        <v>125.6160000000001</v>
      </c>
      <c r="O884" s="4" t="s">
        <v>51</v>
      </c>
      <c r="P884" s="4" t="s">
        <v>61</v>
      </c>
      <c r="Q884" s="4">
        <v>5</v>
      </c>
      <c r="R884" s="21">
        <f t="shared" si="54"/>
        <v>0.19603730476796896</v>
      </c>
      <c r="S884" t="str">
        <f t="shared" si="55"/>
        <v>Medium</v>
      </c>
    </row>
    <row r="885" spans="1:19" x14ac:dyDescent="0.35">
      <c r="A885" s="4" t="s">
        <v>1312</v>
      </c>
      <c r="B885" s="5">
        <v>45982</v>
      </c>
      <c r="C885" s="4" t="s">
        <v>1313</v>
      </c>
      <c r="D885" s="4" t="s">
        <v>47</v>
      </c>
      <c r="E885" s="4" t="s">
        <v>29</v>
      </c>
      <c r="F885" s="4" t="s">
        <v>54</v>
      </c>
      <c r="G885" s="4" t="s">
        <v>67</v>
      </c>
      <c r="H885" s="4" t="s">
        <v>140</v>
      </c>
      <c r="I885" s="4">
        <v>3</v>
      </c>
      <c r="J885" s="6">
        <v>155.28</v>
      </c>
      <c r="K885" s="7">
        <v>0</v>
      </c>
      <c r="L885" s="6">
        <f t="shared" si="52"/>
        <v>465.84000000000003</v>
      </c>
      <c r="M885" s="6">
        <v>124.17</v>
      </c>
      <c r="N885" s="8">
        <f t="shared" si="53"/>
        <v>93.330000000000041</v>
      </c>
      <c r="O885" s="4" t="s">
        <v>84</v>
      </c>
      <c r="P885" s="4" t="s">
        <v>33</v>
      </c>
      <c r="Q885" s="4">
        <v>4</v>
      </c>
      <c r="R885" s="21">
        <f t="shared" si="54"/>
        <v>0.20034775888717163</v>
      </c>
      <c r="S885" t="str">
        <f t="shared" si="55"/>
        <v>Small</v>
      </c>
    </row>
    <row r="886" spans="1:19" x14ac:dyDescent="0.35">
      <c r="A886" s="4" t="s">
        <v>1314</v>
      </c>
      <c r="B886" s="5">
        <v>45982</v>
      </c>
      <c r="C886" s="4" t="s">
        <v>1315</v>
      </c>
      <c r="D886" s="4" t="s">
        <v>47</v>
      </c>
      <c r="E886" s="4" t="s">
        <v>29</v>
      </c>
      <c r="F886" s="4" t="s">
        <v>108</v>
      </c>
      <c r="G886" s="4" t="s">
        <v>67</v>
      </c>
      <c r="H886" s="4" t="s">
        <v>93</v>
      </c>
      <c r="I886" s="4">
        <v>5</v>
      </c>
      <c r="J886" s="6">
        <v>324.33999999999997</v>
      </c>
      <c r="K886" s="7">
        <v>0</v>
      </c>
      <c r="L886" s="6">
        <f t="shared" si="52"/>
        <v>1621.6999999999998</v>
      </c>
      <c r="M886" s="6">
        <v>240.99</v>
      </c>
      <c r="N886" s="8">
        <f t="shared" si="53"/>
        <v>416.74999999999977</v>
      </c>
      <c r="O886" s="4" t="s">
        <v>84</v>
      </c>
      <c r="P886" s="4" t="s">
        <v>97</v>
      </c>
      <c r="Q886" s="4">
        <v>4</v>
      </c>
      <c r="R886" s="21">
        <f t="shared" si="54"/>
        <v>0.25698341246839723</v>
      </c>
      <c r="S886" t="str">
        <f t="shared" si="55"/>
        <v>Medium</v>
      </c>
    </row>
    <row r="887" spans="1:19" x14ac:dyDescent="0.35">
      <c r="A887" s="4" t="s">
        <v>1316</v>
      </c>
      <c r="B887" s="5">
        <v>45983</v>
      </c>
      <c r="C887" s="4" t="s">
        <v>444</v>
      </c>
      <c r="D887" s="4" t="s">
        <v>47</v>
      </c>
      <c r="E887" s="4" t="s">
        <v>21</v>
      </c>
      <c r="F887" s="4" t="s">
        <v>59</v>
      </c>
      <c r="G887" s="4" t="s">
        <v>31</v>
      </c>
      <c r="H887" s="4" t="s">
        <v>32</v>
      </c>
      <c r="I887" s="4">
        <v>5</v>
      </c>
      <c r="J887" s="6">
        <v>336.06</v>
      </c>
      <c r="K887" s="7">
        <v>0.15</v>
      </c>
      <c r="L887" s="6">
        <f t="shared" si="52"/>
        <v>1428.2549999999999</v>
      </c>
      <c r="M887" s="6">
        <v>228.77</v>
      </c>
      <c r="N887" s="8">
        <f t="shared" si="53"/>
        <v>284.40499999999975</v>
      </c>
      <c r="O887" s="4" t="s">
        <v>25</v>
      </c>
      <c r="P887" s="4" t="s">
        <v>61</v>
      </c>
      <c r="Q887" s="4">
        <v>4</v>
      </c>
      <c r="R887" s="21">
        <f t="shared" si="54"/>
        <v>0.19912760676489827</v>
      </c>
      <c r="S887" t="str">
        <f t="shared" si="55"/>
        <v>Medium</v>
      </c>
    </row>
    <row r="888" spans="1:19" x14ac:dyDescent="0.35">
      <c r="A888" s="4" t="s">
        <v>1317</v>
      </c>
      <c r="B888" s="5">
        <v>45983</v>
      </c>
      <c r="C888" s="4" t="s">
        <v>456</v>
      </c>
      <c r="D888" s="4" t="s">
        <v>20</v>
      </c>
      <c r="E888" s="4" t="s">
        <v>29</v>
      </c>
      <c r="F888" s="4" t="s">
        <v>30</v>
      </c>
      <c r="G888" s="4" t="s">
        <v>67</v>
      </c>
      <c r="H888" s="4" t="s">
        <v>68</v>
      </c>
      <c r="I888" s="4">
        <v>4</v>
      </c>
      <c r="J888" s="6">
        <v>310.43</v>
      </c>
      <c r="K888" s="7">
        <v>0</v>
      </c>
      <c r="L888" s="6">
        <f t="shared" si="52"/>
        <v>1241.72</v>
      </c>
      <c r="M888" s="6">
        <v>207.75</v>
      </c>
      <c r="N888" s="8">
        <f t="shared" si="53"/>
        <v>410.72</v>
      </c>
      <c r="O888" s="4" t="s">
        <v>60</v>
      </c>
      <c r="P888" s="4" t="s">
        <v>26</v>
      </c>
      <c r="Q888" s="4">
        <v>4</v>
      </c>
      <c r="R888" s="21">
        <f t="shared" si="54"/>
        <v>0.33076700061205427</v>
      </c>
      <c r="S888" t="str">
        <f t="shared" si="55"/>
        <v>Medium</v>
      </c>
    </row>
    <row r="889" spans="1:19" x14ac:dyDescent="0.35">
      <c r="A889" s="4" t="s">
        <v>1318</v>
      </c>
      <c r="B889" s="5">
        <v>45983</v>
      </c>
      <c r="C889" s="4" t="s">
        <v>231</v>
      </c>
      <c r="D889" s="4" t="s">
        <v>20</v>
      </c>
      <c r="E889" s="4" t="s">
        <v>21</v>
      </c>
      <c r="F889" s="4" t="s">
        <v>22</v>
      </c>
      <c r="G889" s="4" t="s">
        <v>31</v>
      </c>
      <c r="H889" s="4" t="s">
        <v>64</v>
      </c>
      <c r="I889" s="4">
        <v>10</v>
      </c>
      <c r="J889" s="6">
        <v>217.28</v>
      </c>
      <c r="K889" s="7">
        <v>0.05</v>
      </c>
      <c r="L889" s="6">
        <f t="shared" si="52"/>
        <v>2064.16</v>
      </c>
      <c r="M889" s="6">
        <v>120.73</v>
      </c>
      <c r="N889" s="8">
        <f t="shared" si="53"/>
        <v>856.8599999999999</v>
      </c>
      <c r="O889" s="4" t="s">
        <v>60</v>
      </c>
      <c r="P889" s="4" t="s">
        <v>61</v>
      </c>
      <c r="Q889" s="4">
        <v>1</v>
      </c>
      <c r="R889" s="21">
        <f t="shared" si="54"/>
        <v>0.41511316952174249</v>
      </c>
      <c r="S889" t="str">
        <f t="shared" si="55"/>
        <v>Large</v>
      </c>
    </row>
    <row r="890" spans="1:19" x14ac:dyDescent="0.35">
      <c r="A890" s="4" t="s">
        <v>1319</v>
      </c>
      <c r="B890" s="5">
        <v>45984</v>
      </c>
      <c r="C890" s="4" t="s">
        <v>1320</v>
      </c>
      <c r="D890" s="4" t="s">
        <v>43</v>
      </c>
      <c r="E890" s="4" t="s">
        <v>29</v>
      </c>
      <c r="F890" s="4" t="s">
        <v>30</v>
      </c>
      <c r="G890" s="4" t="s">
        <v>49</v>
      </c>
      <c r="H890" s="4" t="s">
        <v>78</v>
      </c>
      <c r="I890" s="4">
        <v>1</v>
      </c>
      <c r="J890" s="6">
        <v>278.45</v>
      </c>
      <c r="K890" s="7">
        <v>0</v>
      </c>
      <c r="L890" s="6">
        <f t="shared" si="52"/>
        <v>278.45</v>
      </c>
      <c r="M890" s="6">
        <v>163.57</v>
      </c>
      <c r="N890" s="8">
        <f t="shared" si="53"/>
        <v>114.88</v>
      </c>
      <c r="O890" s="4" t="s">
        <v>40</v>
      </c>
      <c r="P890" s="4" t="s">
        <v>118</v>
      </c>
      <c r="Q890" s="4">
        <v>2</v>
      </c>
      <c r="R890" s="21">
        <f t="shared" si="54"/>
        <v>0.41256958161249774</v>
      </c>
      <c r="S890" t="str">
        <f t="shared" si="55"/>
        <v>Small</v>
      </c>
    </row>
    <row r="891" spans="1:19" x14ac:dyDescent="0.35">
      <c r="A891" s="4" t="s">
        <v>1321</v>
      </c>
      <c r="B891" s="5">
        <v>45984</v>
      </c>
      <c r="C891" s="4" t="s">
        <v>789</v>
      </c>
      <c r="D891" s="4" t="s">
        <v>43</v>
      </c>
      <c r="E891" s="4" t="s">
        <v>36</v>
      </c>
      <c r="F891" s="4" t="s">
        <v>48</v>
      </c>
      <c r="G891" s="4" t="s">
        <v>23</v>
      </c>
      <c r="H891" s="4" t="s">
        <v>71</v>
      </c>
      <c r="I891" s="4">
        <v>2</v>
      </c>
      <c r="J891" s="6">
        <v>89.16</v>
      </c>
      <c r="K891" s="7">
        <v>0</v>
      </c>
      <c r="L891" s="6">
        <f t="shared" si="52"/>
        <v>178.32</v>
      </c>
      <c r="M891" s="6">
        <v>50.43</v>
      </c>
      <c r="N891" s="8">
        <f t="shared" si="53"/>
        <v>77.459999999999994</v>
      </c>
      <c r="O891" s="4" t="s">
        <v>60</v>
      </c>
      <c r="P891" s="4" t="s">
        <v>26</v>
      </c>
      <c r="Q891" s="4">
        <v>4</v>
      </c>
      <c r="R891" s="21">
        <f t="shared" si="54"/>
        <v>0.43438761776581425</v>
      </c>
      <c r="S891" t="str">
        <f t="shared" si="55"/>
        <v>Small</v>
      </c>
    </row>
    <row r="892" spans="1:19" x14ac:dyDescent="0.35">
      <c r="A892" s="4" t="s">
        <v>1322</v>
      </c>
      <c r="B892" s="5">
        <v>45984</v>
      </c>
      <c r="C892" s="4" t="s">
        <v>1218</v>
      </c>
      <c r="D892" s="4" t="s">
        <v>20</v>
      </c>
      <c r="E892" s="4" t="s">
        <v>29</v>
      </c>
      <c r="F892" s="4" t="s">
        <v>54</v>
      </c>
      <c r="G892" s="4" t="s">
        <v>23</v>
      </c>
      <c r="H892" s="4" t="s">
        <v>135</v>
      </c>
      <c r="I892" s="4">
        <v>1</v>
      </c>
      <c r="J892" s="6">
        <v>17.649999999999999</v>
      </c>
      <c r="K892" s="7">
        <v>0.05</v>
      </c>
      <c r="L892" s="6">
        <f t="shared" si="52"/>
        <v>16.767499999999998</v>
      </c>
      <c r="M892" s="6">
        <v>11.31</v>
      </c>
      <c r="N892" s="8">
        <f t="shared" si="53"/>
        <v>5.4574999999999978</v>
      </c>
      <c r="O892" s="4" t="s">
        <v>84</v>
      </c>
      <c r="P892" s="4" t="s">
        <v>26</v>
      </c>
      <c r="Q892" s="4">
        <v>4</v>
      </c>
      <c r="R892" s="21">
        <f t="shared" si="54"/>
        <v>0.32548084091247942</v>
      </c>
      <c r="S892" t="str">
        <f t="shared" si="55"/>
        <v>Small</v>
      </c>
    </row>
    <row r="893" spans="1:19" x14ac:dyDescent="0.35">
      <c r="A893" s="4" t="s">
        <v>1323</v>
      </c>
      <c r="B893" s="5">
        <v>45985</v>
      </c>
      <c r="C893" s="4" t="s">
        <v>1283</v>
      </c>
      <c r="D893" s="4" t="s">
        <v>20</v>
      </c>
      <c r="E893" s="4" t="s">
        <v>29</v>
      </c>
      <c r="F893" s="4" t="s">
        <v>54</v>
      </c>
      <c r="G893" s="4" t="s">
        <v>67</v>
      </c>
      <c r="H893" s="4" t="s">
        <v>68</v>
      </c>
      <c r="I893" s="4">
        <v>1</v>
      </c>
      <c r="J893" s="6">
        <v>920.09</v>
      </c>
      <c r="K893" s="7">
        <v>0</v>
      </c>
      <c r="L893" s="6">
        <f t="shared" si="52"/>
        <v>920.09</v>
      </c>
      <c r="M893" s="6">
        <v>691.15</v>
      </c>
      <c r="N893" s="8">
        <f t="shared" si="53"/>
        <v>228.94000000000005</v>
      </c>
      <c r="O893" s="4" t="s">
        <v>60</v>
      </c>
      <c r="P893" s="4" t="s">
        <v>97</v>
      </c>
      <c r="Q893" s="4">
        <v>4</v>
      </c>
      <c r="R893" s="21">
        <f t="shared" si="54"/>
        <v>0.24882348465910947</v>
      </c>
      <c r="S893" t="str">
        <f t="shared" si="55"/>
        <v>Medium</v>
      </c>
    </row>
    <row r="894" spans="1:19" x14ac:dyDescent="0.35">
      <c r="A894" s="4" t="s">
        <v>1324</v>
      </c>
      <c r="B894" s="5">
        <v>45985</v>
      </c>
      <c r="C894" s="4" t="s">
        <v>722</v>
      </c>
      <c r="D894" s="4" t="s">
        <v>20</v>
      </c>
      <c r="E894" s="4" t="s">
        <v>29</v>
      </c>
      <c r="F894" s="4" t="s">
        <v>30</v>
      </c>
      <c r="G894" s="4" t="s">
        <v>31</v>
      </c>
      <c r="H894" s="4" t="s">
        <v>64</v>
      </c>
      <c r="I894" s="4">
        <v>1</v>
      </c>
      <c r="J894" s="6">
        <v>234.76</v>
      </c>
      <c r="K894" s="7">
        <v>0.2</v>
      </c>
      <c r="L894" s="6">
        <f t="shared" si="52"/>
        <v>187.80799999999999</v>
      </c>
      <c r="M894" s="6">
        <v>140.88999999999999</v>
      </c>
      <c r="N894" s="8">
        <f t="shared" si="53"/>
        <v>46.918000000000006</v>
      </c>
      <c r="O894" s="4" t="s">
        <v>60</v>
      </c>
      <c r="P894" s="4" t="s">
        <v>97</v>
      </c>
      <c r="Q894" s="4">
        <v>5</v>
      </c>
      <c r="R894" s="21">
        <f t="shared" si="54"/>
        <v>0.24981896404838988</v>
      </c>
      <c r="S894" t="str">
        <f t="shared" si="55"/>
        <v>Small</v>
      </c>
    </row>
    <row r="895" spans="1:19" x14ac:dyDescent="0.35">
      <c r="A895" s="4" t="s">
        <v>1325</v>
      </c>
      <c r="B895" s="5">
        <v>45985</v>
      </c>
      <c r="C895" s="4" t="s">
        <v>437</v>
      </c>
      <c r="D895" s="4" t="s">
        <v>47</v>
      </c>
      <c r="E895" s="4" t="s">
        <v>87</v>
      </c>
      <c r="F895" s="4" t="s">
        <v>124</v>
      </c>
      <c r="G895" s="4" t="s">
        <v>31</v>
      </c>
      <c r="H895" s="4" t="s">
        <v>64</v>
      </c>
      <c r="I895" s="4">
        <v>4</v>
      </c>
      <c r="J895" s="6">
        <v>248.93</v>
      </c>
      <c r="K895" s="7">
        <v>0</v>
      </c>
      <c r="L895" s="6">
        <f t="shared" si="52"/>
        <v>995.72</v>
      </c>
      <c r="M895" s="6">
        <v>156.05000000000001</v>
      </c>
      <c r="N895" s="8">
        <f t="shared" si="53"/>
        <v>371.52</v>
      </c>
      <c r="O895" s="4" t="s">
        <v>40</v>
      </c>
      <c r="P895" s="4" t="s">
        <v>33</v>
      </c>
      <c r="Q895" s="4">
        <v>5</v>
      </c>
      <c r="R895" s="21">
        <f t="shared" si="54"/>
        <v>0.37311694050536293</v>
      </c>
      <c r="S895" t="str">
        <f t="shared" si="55"/>
        <v>Medium</v>
      </c>
    </row>
    <row r="896" spans="1:19" x14ac:dyDescent="0.35">
      <c r="A896" s="4" t="s">
        <v>1326</v>
      </c>
      <c r="B896" s="5">
        <v>45986</v>
      </c>
      <c r="C896" s="4" t="s">
        <v>532</v>
      </c>
      <c r="D896" s="4" t="s">
        <v>47</v>
      </c>
      <c r="E896" s="4" t="s">
        <v>29</v>
      </c>
      <c r="F896" s="4" t="s">
        <v>54</v>
      </c>
      <c r="G896" s="4" t="s">
        <v>31</v>
      </c>
      <c r="H896" s="4" t="s">
        <v>64</v>
      </c>
      <c r="I896" s="4">
        <v>3</v>
      </c>
      <c r="J896" s="6">
        <v>145.33000000000001</v>
      </c>
      <c r="K896" s="7">
        <v>0</v>
      </c>
      <c r="L896" s="6">
        <f t="shared" si="52"/>
        <v>435.99</v>
      </c>
      <c r="M896" s="6">
        <v>107.67</v>
      </c>
      <c r="N896" s="8">
        <f t="shared" si="53"/>
        <v>112.98000000000002</v>
      </c>
      <c r="O896" s="4" t="s">
        <v>60</v>
      </c>
      <c r="P896" s="4" t="s">
        <v>97</v>
      </c>
      <c r="Q896" s="4">
        <v>4</v>
      </c>
      <c r="R896" s="21">
        <f t="shared" si="54"/>
        <v>0.25913438381614262</v>
      </c>
      <c r="S896" t="str">
        <f t="shared" si="55"/>
        <v>Small</v>
      </c>
    </row>
    <row r="897" spans="1:19" x14ac:dyDescent="0.35">
      <c r="A897" s="4" t="s">
        <v>1327</v>
      </c>
      <c r="B897" s="5">
        <v>45986</v>
      </c>
      <c r="C897" s="4" t="s">
        <v>247</v>
      </c>
      <c r="D897" s="4" t="s">
        <v>47</v>
      </c>
      <c r="E897" s="4" t="s">
        <v>36</v>
      </c>
      <c r="F897" s="4" t="s">
        <v>48</v>
      </c>
      <c r="G897" s="4" t="s">
        <v>67</v>
      </c>
      <c r="H897" s="4" t="s">
        <v>68</v>
      </c>
      <c r="I897" s="4">
        <v>1</v>
      </c>
      <c r="J897" s="6">
        <v>839.17</v>
      </c>
      <c r="K897" s="7">
        <v>0</v>
      </c>
      <c r="L897" s="6">
        <f t="shared" si="52"/>
        <v>839.17</v>
      </c>
      <c r="M897" s="6">
        <v>507.55</v>
      </c>
      <c r="N897" s="8">
        <f t="shared" si="53"/>
        <v>331.61999999999995</v>
      </c>
      <c r="O897" s="4" t="s">
        <v>60</v>
      </c>
      <c r="P897" s="4" t="s">
        <v>33</v>
      </c>
      <c r="Q897" s="4">
        <v>5</v>
      </c>
      <c r="R897" s="21">
        <f t="shared" si="54"/>
        <v>0.39517618599330284</v>
      </c>
      <c r="S897" t="str">
        <f t="shared" si="55"/>
        <v>Medium</v>
      </c>
    </row>
    <row r="898" spans="1:19" x14ac:dyDescent="0.35">
      <c r="A898" s="4" t="s">
        <v>1328</v>
      </c>
      <c r="B898" s="5">
        <v>45987</v>
      </c>
      <c r="C898" s="4" t="s">
        <v>444</v>
      </c>
      <c r="D898" s="4" t="s">
        <v>43</v>
      </c>
      <c r="E898" s="4" t="s">
        <v>36</v>
      </c>
      <c r="F898" s="4" t="s">
        <v>37</v>
      </c>
      <c r="G898" s="4" t="s">
        <v>23</v>
      </c>
      <c r="H898" s="4" t="s">
        <v>44</v>
      </c>
      <c r="I898" s="4">
        <v>2</v>
      </c>
      <c r="J898" s="6">
        <v>110.55</v>
      </c>
      <c r="K898" s="7">
        <v>0.2</v>
      </c>
      <c r="L898" s="6">
        <f t="shared" ref="L898:L961" si="56">I898*J898*(1-K898)</f>
        <v>176.88</v>
      </c>
      <c r="M898" s="6">
        <v>54.31</v>
      </c>
      <c r="N898" s="8">
        <f t="shared" ref="N898:N961" si="57">L898-I898*M898</f>
        <v>68.259999999999991</v>
      </c>
      <c r="O898" s="4" t="s">
        <v>25</v>
      </c>
      <c r="P898" s="4" t="s">
        <v>118</v>
      </c>
      <c r="Q898" s="4">
        <v>4</v>
      </c>
      <c r="R898" s="21">
        <f t="shared" si="54"/>
        <v>0.38591135232926271</v>
      </c>
      <c r="S898" t="str">
        <f t="shared" si="55"/>
        <v>Small</v>
      </c>
    </row>
    <row r="899" spans="1:19" x14ac:dyDescent="0.35">
      <c r="A899" s="4" t="s">
        <v>1329</v>
      </c>
      <c r="B899" s="5">
        <v>45987</v>
      </c>
      <c r="C899" s="4" t="s">
        <v>278</v>
      </c>
      <c r="D899" s="4" t="s">
        <v>20</v>
      </c>
      <c r="E899" s="4" t="s">
        <v>87</v>
      </c>
      <c r="F899" s="4" t="s">
        <v>124</v>
      </c>
      <c r="G899" s="4" t="s">
        <v>23</v>
      </c>
      <c r="H899" s="4" t="s">
        <v>44</v>
      </c>
      <c r="I899" s="4">
        <v>2</v>
      </c>
      <c r="J899" s="6">
        <v>142.52000000000001</v>
      </c>
      <c r="K899" s="7">
        <v>0.05</v>
      </c>
      <c r="L899" s="6">
        <f t="shared" si="56"/>
        <v>270.78800000000001</v>
      </c>
      <c r="M899" s="6">
        <v>74.86</v>
      </c>
      <c r="N899" s="8">
        <f t="shared" si="57"/>
        <v>121.06800000000001</v>
      </c>
      <c r="O899" s="4" t="s">
        <v>60</v>
      </c>
      <c r="P899" s="4" t="s">
        <v>26</v>
      </c>
      <c r="Q899" s="4">
        <v>4</v>
      </c>
      <c r="R899" s="21">
        <f t="shared" ref="R899:R962" si="58">IF(L899=0,0,N899/L899)</f>
        <v>0.44709514454111704</v>
      </c>
      <c r="S899" t="str">
        <f t="shared" ref="S899:S962" si="59">IF(L899&gt;=2000,"Large",IF(L899&gt;=500,"Medium","Small"))</f>
        <v>Small</v>
      </c>
    </row>
    <row r="900" spans="1:19" x14ac:dyDescent="0.35">
      <c r="A900" s="4" t="s">
        <v>1330</v>
      </c>
      <c r="B900" s="5">
        <v>45988</v>
      </c>
      <c r="C900" s="4" t="s">
        <v>734</v>
      </c>
      <c r="D900" s="4" t="s">
        <v>47</v>
      </c>
      <c r="E900" s="4" t="s">
        <v>36</v>
      </c>
      <c r="F900" s="4" t="s">
        <v>201</v>
      </c>
      <c r="G900" s="4" t="s">
        <v>67</v>
      </c>
      <c r="H900" s="4" t="s">
        <v>93</v>
      </c>
      <c r="I900" s="4">
        <v>4</v>
      </c>
      <c r="J900" s="6">
        <v>479.05</v>
      </c>
      <c r="K900" s="7">
        <v>0.05</v>
      </c>
      <c r="L900" s="6">
        <f t="shared" si="56"/>
        <v>1820.3899999999999</v>
      </c>
      <c r="M900" s="6">
        <v>332.5</v>
      </c>
      <c r="N900" s="8">
        <f t="shared" si="57"/>
        <v>490.38999999999987</v>
      </c>
      <c r="O900" s="4" t="s">
        <v>84</v>
      </c>
      <c r="P900" s="4" t="s">
        <v>61</v>
      </c>
      <c r="Q900" s="4">
        <v>4</v>
      </c>
      <c r="R900" s="21">
        <f t="shared" si="58"/>
        <v>0.26938732908882157</v>
      </c>
      <c r="S900" t="str">
        <f t="shared" si="59"/>
        <v>Medium</v>
      </c>
    </row>
    <row r="901" spans="1:19" x14ac:dyDescent="0.35">
      <c r="A901" s="4" t="s">
        <v>1331</v>
      </c>
      <c r="B901" s="5">
        <v>45988</v>
      </c>
      <c r="C901" s="4" t="s">
        <v>795</v>
      </c>
      <c r="D901" s="4" t="s">
        <v>20</v>
      </c>
      <c r="E901" s="4" t="s">
        <v>36</v>
      </c>
      <c r="F901" s="4" t="s">
        <v>37</v>
      </c>
      <c r="G901" s="4" t="s">
        <v>23</v>
      </c>
      <c r="H901" s="4" t="s">
        <v>44</v>
      </c>
      <c r="I901" s="4">
        <v>4</v>
      </c>
      <c r="J901" s="6">
        <v>159.5</v>
      </c>
      <c r="K901" s="7">
        <v>0.2</v>
      </c>
      <c r="L901" s="6">
        <f t="shared" si="56"/>
        <v>510.40000000000003</v>
      </c>
      <c r="M901" s="6">
        <v>102.74</v>
      </c>
      <c r="N901" s="8">
        <f t="shared" si="57"/>
        <v>99.440000000000055</v>
      </c>
      <c r="O901" s="4" t="s">
        <v>84</v>
      </c>
      <c r="P901" s="4" t="s">
        <v>97</v>
      </c>
      <c r="Q901" s="4">
        <v>4</v>
      </c>
      <c r="R901" s="21">
        <f t="shared" si="58"/>
        <v>0.19482758620689664</v>
      </c>
      <c r="S901" t="str">
        <f t="shared" si="59"/>
        <v>Medium</v>
      </c>
    </row>
    <row r="902" spans="1:19" x14ac:dyDescent="0.35">
      <c r="A902" s="4" t="s">
        <v>1332</v>
      </c>
      <c r="B902" s="5">
        <v>45988</v>
      </c>
      <c r="C902" s="4" t="s">
        <v>493</v>
      </c>
      <c r="D902" s="4" t="s">
        <v>20</v>
      </c>
      <c r="E902" s="4" t="s">
        <v>21</v>
      </c>
      <c r="F902" s="4" t="s">
        <v>59</v>
      </c>
      <c r="G902" s="4" t="s">
        <v>31</v>
      </c>
      <c r="H902" s="4" t="s">
        <v>147</v>
      </c>
      <c r="I902" s="4">
        <v>1</v>
      </c>
      <c r="J902" s="6">
        <v>62.6</v>
      </c>
      <c r="K902" s="7">
        <v>0.15</v>
      </c>
      <c r="L902" s="6">
        <f t="shared" si="56"/>
        <v>53.21</v>
      </c>
      <c r="M902" s="6">
        <v>44.3</v>
      </c>
      <c r="N902" s="8">
        <f t="shared" si="57"/>
        <v>8.9100000000000037</v>
      </c>
      <c r="O902" s="4" t="s">
        <v>40</v>
      </c>
      <c r="P902" s="4" t="s">
        <v>97</v>
      </c>
      <c r="Q902" s="4">
        <v>4</v>
      </c>
      <c r="R902" s="21">
        <f t="shared" si="58"/>
        <v>0.16744972749483186</v>
      </c>
      <c r="S902" t="str">
        <f t="shared" si="59"/>
        <v>Small</v>
      </c>
    </row>
    <row r="903" spans="1:19" x14ac:dyDescent="0.35">
      <c r="A903" s="4" t="s">
        <v>1333</v>
      </c>
      <c r="B903" s="5">
        <v>45989</v>
      </c>
      <c r="C903" s="4" t="s">
        <v>144</v>
      </c>
      <c r="D903" s="4" t="s">
        <v>20</v>
      </c>
      <c r="E903" s="4" t="s">
        <v>21</v>
      </c>
      <c r="F903" s="4" t="s">
        <v>59</v>
      </c>
      <c r="G903" s="4" t="s">
        <v>38</v>
      </c>
      <c r="H903" s="4" t="s">
        <v>39</v>
      </c>
      <c r="I903" s="4">
        <v>6</v>
      </c>
      <c r="J903" s="6">
        <v>183.19</v>
      </c>
      <c r="K903" s="7">
        <v>0.2</v>
      </c>
      <c r="L903" s="6">
        <f t="shared" si="56"/>
        <v>879.3119999999999</v>
      </c>
      <c r="M903" s="6">
        <v>143.69999999999999</v>
      </c>
      <c r="N903" s="8">
        <f t="shared" si="57"/>
        <v>17.111999999999966</v>
      </c>
      <c r="O903" s="4" t="s">
        <v>25</v>
      </c>
      <c r="P903" s="4" t="s">
        <v>97</v>
      </c>
      <c r="Q903" s="4">
        <v>3</v>
      </c>
      <c r="R903" s="21">
        <f t="shared" si="58"/>
        <v>1.9460669250504905E-2</v>
      </c>
      <c r="S903" t="str">
        <f t="shared" si="59"/>
        <v>Medium</v>
      </c>
    </row>
    <row r="904" spans="1:19" x14ac:dyDescent="0.35">
      <c r="A904" s="4" t="s">
        <v>1334</v>
      </c>
      <c r="B904" s="5">
        <v>45989</v>
      </c>
      <c r="C904" s="4" t="s">
        <v>776</v>
      </c>
      <c r="D904" s="4" t="s">
        <v>43</v>
      </c>
      <c r="E904" s="4" t="s">
        <v>87</v>
      </c>
      <c r="F904" s="4" t="s">
        <v>88</v>
      </c>
      <c r="G904" s="4" t="s">
        <v>23</v>
      </c>
      <c r="H904" s="4" t="s">
        <v>44</v>
      </c>
      <c r="I904" s="4">
        <v>2</v>
      </c>
      <c r="J904" s="6">
        <v>74.349999999999994</v>
      </c>
      <c r="K904" s="7">
        <v>0</v>
      </c>
      <c r="L904" s="6">
        <f t="shared" si="56"/>
        <v>148.69999999999999</v>
      </c>
      <c r="M904" s="6">
        <v>31.14</v>
      </c>
      <c r="N904" s="8">
        <f t="shared" si="57"/>
        <v>86.419999999999987</v>
      </c>
      <c r="O904" s="4" t="s">
        <v>84</v>
      </c>
      <c r="P904" s="4" t="s">
        <v>56</v>
      </c>
      <c r="Q904" s="4">
        <v>4</v>
      </c>
      <c r="R904" s="21">
        <f t="shared" si="58"/>
        <v>0.58117014122394073</v>
      </c>
      <c r="S904" t="str">
        <f t="shared" si="59"/>
        <v>Small</v>
      </c>
    </row>
    <row r="905" spans="1:19" x14ac:dyDescent="0.35">
      <c r="A905" s="4" t="s">
        <v>1335</v>
      </c>
      <c r="B905" s="5">
        <v>45990</v>
      </c>
      <c r="C905" s="4" t="s">
        <v>1190</v>
      </c>
      <c r="D905" s="4" t="s">
        <v>20</v>
      </c>
      <c r="E905" s="4" t="s">
        <v>87</v>
      </c>
      <c r="F905" s="4" t="s">
        <v>88</v>
      </c>
      <c r="G905" s="4" t="s">
        <v>31</v>
      </c>
      <c r="H905" s="4" t="s">
        <v>32</v>
      </c>
      <c r="I905" s="4">
        <v>3</v>
      </c>
      <c r="J905" s="6">
        <v>205.4</v>
      </c>
      <c r="K905" s="7">
        <v>0.05</v>
      </c>
      <c r="L905" s="6">
        <f t="shared" si="56"/>
        <v>585.39</v>
      </c>
      <c r="M905" s="6">
        <v>127.91</v>
      </c>
      <c r="N905" s="8">
        <f t="shared" si="57"/>
        <v>201.65999999999997</v>
      </c>
      <c r="O905" s="4" t="s">
        <v>51</v>
      </c>
      <c r="P905" s="4" t="s">
        <v>97</v>
      </c>
      <c r="Q905" s="4">
        <v>5</v>
      </c>
      <c r="R905" s="21">
        <f t="shared" si="58"/>
        <v>0.34448828985804331</v>
      </c>
      <c r="S905" t="str">
        <f t="shared" si="59"/>
        <v>Medium</v>
      </c>
    </row>
    <row r="906" spans="1:19" x14ac:dyDescent="0.35">
      <c r="A906" s="4" t="s">
        <v>1336</v>
      </c>
      <c r="B906" s="5">
        <v>45990</v>
      </c>
      <c r="C906" s="4" t="s">
        <v>235</v>
      </c>
      <c r="D906" s="4" t="s">
        <v>43</v>
      </c>
      <c r="E906" s="4" t="s">
        <v>21</v>
      </c>
      <c r="F906" s="4" t="s">
        <v>81</v>
      </c>
      <c r="G906" s="4" t="s">
        <v>67</v>
      </c>
      <c r="H906" s="4" t="s">
        <v>93</v>
      </c>
      <c r="I906" s="4">
        <v>1</v>
      </c>
      <c r="J906" s="6">
        <v>199.9</v>
      </c>
      <c r="K906" s="7">
        <v>0.1</v>
      </c>
      <c r="L906" s="6">
        <f t="shared" si="56"/>
        <v>179.91</v>
      </c>
      <c r="M906" s="6">
        <v>134.91</v>
      </c>
      <c r="N906" s="8">
        <f t="shared" si="57"/>
        <v>45</v>
      </c>
      <c r="O906" s="4" t="s">
        <v>51</v>
      </c>
      <c r="P906" s="4" t="s">
        <v>72</v>
      </c>
      <c r="Q906" s="4">
        <v>5</v>
      </c>
      <c r="R906" s="21">
        <f t="shared" si="58"/>
        <v>0.25012506253126565</v>
      </c>
      <c r="S906" t="str">
        <f t="shared" si="59"/>
        <v>Small</v>
      </c>
    </row>
    <row r="907" spans="1:19" x14ac:dyDescent="0.35">
      <c r="A907" s="4" t="s">
        <v>1337</v>
      </c>
      <c r="B907" s="5">
        <v>45990</v>
      </c>
      <c r="C907" s="4" t="s">
        <v>719</v>
      </c>
      <c r="D907" s="4" t="s">
        <v>47</v>
      </c>
      <c r="E907" s="4" t="s">
        <v>29</v>
      </c>
      <c r="F907" s="4" t="s">
        <v>108</v>
      </c>
      <c r="G907" s="4" t="s">
        <v>38</v>
      </c>
      <c r="H907" s="4" t="s">
        <v>55</v>
      </c>
      <c r="I907" s="4">
        <v>6</v>
      </c>
      <c r="J907" s="6">
        <v>225.23</v>
      </c>
      <c r="K907" s="7">
        <v>0</v>
      </c>
      <c r="L907" s="6">
        <f t="shared" si="56"/>
        <v>1351.3799999999999</v>
      </c>
      <c r="M907" s="6">
        <v>194.62</v>
      </c>
      <c r="N907" s="8">
        <f t="shared" si="57"/>
        <v>183.65999999999985</v>
      </c>
      <c r="O907" s="4" t="s">
        <v>60</v>
      </c>
      <c r="P907" s="4" t="s">
        <v>72</v>
      </c>
      <c r="Q907" s="4">
        <v>4</v>
      </c>
      <c r="R907" s="21">
        <f t="shared" si="58"/>
        <v>0.13590551880300128</v>
      </c>
      <c r="S907" t="str">
        <f t="shared" si="59"/>
        <v>Medium</v>
      </c>
    </row>
    <row r="908" spans="1:19" x14ac:dyDescent="0.35">
      <c r="A908" s="4" t="s">
        <v>1338</v>
      </c>
      <c r="B908" s="5">
        <v>45991</v>
      </c>
      <c r="C908" s="4" t="s">
        <v>309</v>
      </c>
      <c r="D908" s="4" t="s">
        <v>47</v>
      </c>
      <c r="E908" s="4" t="s">
        <v>29</v>
      </c>
      <c r="F908" s="4" t="s">
        <v>108</v>
      </c>
      <c r="G908" s="4" t="s">
        <v>23</v>
      </c>
      <c r="H908" s="4" t="s">
        <v>44</v>
      </c>
      <c r="I908" s="4">
        <v>3</v>
      </c>
      <c r="J908" s="6">
        <v>158.77000000000001</v>
      </c>
      <c r="K908" s="7">
        <v>0.15</v>
      </c>
      <c r="L908" s="6">
        <f t="shared" si="56"/>
        <v>404.86350000000004</v>
      </c>
      <c r="M908" s="6">
        <v>71.58</v>
      </c>
      <c r="N908" s="8">
        <f t="shared" si="57"/>
        <v>190.12350000000004</v>
      </c>
      <c r="O908" s="4" t="s">
        <v>84</v>
      </c>
      <c r="P908" s="4" t="s">
        <v>26</v>
      </c>
      <c r="Q908" s="4">
        <v>5</v>
      </c>
      <c r="R908" s="21">
        <f t="shared" si="58"/>
        <v>0.46959901300067802</v>
      </c>
      <c r="S908" t="str">
        <f t="shared" si="59"/>
        <v>Small</v>
      </c>
    </row>
    <row r="909" spans="1:19" x14ac:dyDescent="0.35">
      <c r="A909" s="4" t="s">
        <v>1339</v>
      </c>
      <c r="B909" s="5">
        <v>45991</v>
      </c>
      <c r="C909" s="4" t="s">
        <v>1340</v>
      </c>
      <c r="D909" s="4" t="s">
        <v>20</v>
      </c>
      <c r="E909" s="4" t="s">
        <v>29</v>
      </c>
      <c r="F909" s="4" t="s">
        <v>30</v>
      </c>
      <c r="G909" s="4" t="s">
        <v>38</v>
      </c>
      <c r="H909" s="4" t="s">
        <v>89</v>
      </c>
      <c r="I909" s="4">
        <v>1</v>
      </c>
      <c r="J909" s="6">
        <v>1161.52</v>
      </c>
      <c r="K909" s="7">
        <v>0.05</v>
      </c>
      <c r="L909" s="6">
        <f t="shared" si="56"/>
        <v>1103.444</v>
      </c>
      <c r="M909" s="6">
        <v>974.57</v>
      </c>
      <c r="N909" s="8">
        <f t="shared" si="57"/>
        <v>128.87399999999991</v>
      </c>
      <c r="O909" s="4" t="s">
        <v>51</v>
      </c>
      <c r="P909" s="4" t="s">
        <v>56</v>
      </c>
      <c r="Q909" s="4">
        <v>5</v>
      </c>
      <c r="R909" s="21">
        <f t="shared" si="58"/>
        <v>0.11679251507099582</v>
      </c>
      <c r="S909" t="str">
        <f t="shared" si="59"/>
        <v>Medium</v>
      </c>
    </row>
    <row r="910" spans="1:19" x14ac:dyDescent="0.35">
      <c r="A910" s="4" t="s">
        <v>1341</v>
      </c>
      <c r="B910" s="5">
        <v>45991</v>
      </c>
      <c r="C910" s="4" t="s">
        <v>633</v>
      </c>
      <c r="D910" s="4" t="s">
        <v>47</v>
      </c>
      <c r="E910" s="4" t="s">
        <v>21</v>
      </c>
      <c r="F910" s="4" t="s">
        <v>81</v>
      </c>
      <c r="G910" s="4" t="s">
        <v>23</v>
      </c>
      <c r="H910" s="4" t="s">
        <v>135</v>
      </c>
      <c r="I910" s="4">
        <v>5</v>
      </c>
      <c r="J910" s="6">
        <v>19.84</v>
      </c>
      <c r="K910" s="7">
        <v>0.15</v>
      </c>
      <c r="L910" s="6">
        <f t="shared" si="56"/>
        <v>84.32</v>
      </c>
      <c r="M910" s="6">
        <v>8.7899999999999991</v>
      </c>
      <c r="N910" s="8">
        <f t="shared" si="57"/>
        <v>40.369999999999997</v>
      </c>
      <c r="O910" s="4" t="s">
        <v>25</v>
      </c>
      <c r="P910" s="4" t="s">
        <v>97</v>
      </c>
      <c r="Q910" s="4">
        <v>5</v>
      </c>
      <c r="R910" s="21">
        <f t="shared" si="58"/>
        <v>0.47877134724857684</v>
      </c>
      <c r="S910" t="str">
        <f t="shared" si="59"/>
        <v>Small</v>
      </c>
    </row>
    <row r="911" spans="1:19" x14ac:dyDescent="0.35">
      <c r="A911" s="4" t="s">
        <v>1342</v>
      </c>
      <c r="B911" s="5">
        <v>45992</v>
      </c>
      <c r="C911" s="4" t="s">
        <v>1343</v>
      </c>
      <c r="D911" s="4" t="s">
        <v>20</v>
      </c>
      <c r="E911" s="4" t="s">
        <v>87</v>
      </c>
      <c r="F911" s="4" t="s">
        <v>92</v>
      </c>
      <c r="G911" s="4" t="s">
        <v>23</v>
      </c>
      <c r="H911" s="4" t="s">
        <v>44</v>
      </c>
      <c r="I911" s="4">
        <v>4</v>
      </c>
      <c r="J911" s="6">
        <v>91.43</v>
      </c>
      <c r="K911" s="7">
        <v>0.05</v>
      </c>
      <c r="L911" s="6">
        <f t="shared" si="56"/>
        <v>347.43400000000003</v>
      </c>
      <c r="M911" s="6">
        <v>56.59</v>
      </c>
      <c r="N911" s="8">
        <f t="shared" si="57"/>
        <v>121.07400000000001</v>
      </c>
      <c r="O911" s="4" t="s">
        <v>84</v>
      </c>
      <c r="P911" s="4" t="s">
        <v>118</v>
      </c>
      <c r="Q911" s="4">
        <v>4</v>
      </c>
      <c r="R911" s="21">
        <f t="shared" si="58"/>
        <v>0.34848057472786198</v>
      </c>
      <c r="S911" t="str">
        <f t="shared" si="59"/>
        <v>Small</v>
      </c>
    </row>
    <row r="912" spans="1:19" x14ac:dyDescent="0.35">
      <c r="A912" s="4" t="s">
        <v>1344</v>
      </c>
      <c r="B912" s="5">
        <v>45992</v>
      </c>
      <c r="C912" s="4" t="s">
        <v>653</v>
      </c>
      <c r="D912" s="4" t="s">
        <v>43</v>
      </c>
      <c r="E912" s="4" t="s">
        <v>21</v>
      </c>
      <c r="F912" s="4" t="s">
        <v>81</v>
      </c>
      <c r="G912" s="4" t="s">
        <v>67</v>
      </c>
      <c r="H912" s="4" t="s">
        <v>93</v>
      </c>
      <c r="I912" s="4">
        <v>3</v>
      </c>
      <c r="J912" s="6">
        <v>501.87</v>
      </c>
      <c r="K912" s="7">
        <v>0</v>
      </c>
      <c r="L912" s="6">
        <f t="shared" si="56"/>
        <v>1505.6100000000001</v>
      </c>
      <c r="M912" s="6">
        <v>380.41</v>
      </c>
      <c r="N912" s="8">
        <f t="shared" si="57"/>
        <v>364.38000000000011</v>
      </c>
      <c r="O912" s="4" t="s">
        <v>84</v>
      </c>
      <c r="P912" s="4" t="s">
        <v>33</v>
      </c>
      <c r="Q912" s="4">
        <v>4</v>
      </c>
      <c r="R912" s="21">
        <f t="shared" si="58"/>
        <v>0.24201486440711742</v>
      </c>
      <c r="S912" t="str">
        <f t="shared" si="59"/>
        <v>Medium</v>
      </c>
    </row>
    <row r="913" spans="1:19" x14ac:dyDescent="0.35">
      <c r="A913" s="4" t="s">
        <v>1345</v>
      </c>
      <c r="B913" s="5">
        <v>45993</v>
      </c>
      <c r="C913" s="4" t="s">
        <v>483</v>
      </c>
      <c r="D913" s="4" t="s">
        <v>43</v>
      </c>
      <c r="E913" s="4" t="s">
        <v>36</v>
      </c>
      <c r="F913" s="4" t="s">
        <v>37</v>
      </c>
      <c r="G913" s="4" t="s">
        <v>31</v>
      </c>
      <c r="H913" s="4" t="s">
        <v>64</v>
      </c>
      <c r="I913" s="4">
        <v>1</v>
      </c>
      <c r="J913" s="6">
        <v>205.35</v>
      </c>
      <c r="K913" s="7">
        <v>0</v>
      </c>
      <c r="L913" s="6">
        <f t="shared" si="56"/>
        <v>205.35</v>
      </c>
      <c r="M913" s="6">
        <v>125.28</v>
      </c>
      <c r="N913" s="8">
        <f t="shared" si="57"/>
        <v>80.069999999999993</v>
      </c>
      <c r="O913" s="4" t="s">
        <v>60</v>
      </c>
      <c r="P913" s="4" t="s">
        <v>72</v>
      </c>
      <c r="Q913" s="4">
        <v>5</v>
      </c>
      <c r="R913" s="21">
        <f t="shared" si="58"/>
        <v>0.38991964937910883</v>
      </c>
      <c r="S913" t="str">
        <f t="shared" si="59"/>
        <v>Small</v>
      </c>
    </row>
    <row r="914" spans="1:19" x14ac:dyDescent="0.35">
      <c r="A914" s="4" t="s">
        <v>1346</v>
      </c>
      <c r="B914" s="5">
        <v>45993</v>
      </c>
      <c r="C914" s="4" t="s">
        <v>1347</v>
      </c>
      <c r="D914" s="4" t="s">
        <v>20</v>
      </c>
      <c r="E914" s="4" t="s">
        <v>36</v>
      </c>
      <c r="F914" s="4" t="s">
        <v>201</v>
      </c>
      <c r="G914" s="4" t="s">
        <v>23</v>
      </c>
      <c r="H914" s="4" t="s">
        <v>71</v>
      </c>
      <c r="I914" s="4">
        <v>4</v>
      </c>
      <c r="J914" s="6">
        <v>98.67</v>
      </c>
      <c r="K914" s="7">
        <v>0.1</v>
      </c>
      <c r="L914" s="6">
        <f t="shared" si="56"/>
        <v>355.21199999999999</v>
      </c>
      <c r="M914" s="6">
        <v>46.48</v>
      </c>
      <c r="N914" s="8">
        <f t="shared" si="57"/>
        <v>169.292</v>
      </c>
      <c r="O914" s="4" t="s">
        <v>84</v>
      </c>
      <c r="P914" s="4" t="s">
        <v>61</v>
      </c>
      <c r="Q914" s="4">
        <v>4</v>
      </c>
      <c r="R914" s="21">
        <f t="shared" si="58"/>
        <v>0.4765942592029549</v>
      </c>
      <c r="S914" t="str">
        <f t="shared" si="59"/>
        <v>Small</v>
      </c>
    </row>
    <row r="915" spans="1:19" x14ac:dyDescent="0.35">
      <c r="A915" s="4" t="s">
        <v>1348</v>
      </c>
      <c r="B915" s="5">
        <v>45993</v>
      </c>
      <c r="C915" s="4" t="s">
        <v>456</v>
      </c>
      <c r="D915" s="4" t="s">
        <v>43</v>
      </c>
      <c r="E915" s="4" t="s">
        <v>87</v>
      </c>
      <c r="F915" s="4" t="s">
        <v>124</v>
      </c>
      <c r="G915" s="4" t="s">
        <v>49</v>
      </c>
      <c r="H915" s="4" t="s">
        <v>78</v>
      </c>
      <c r="I915" s="4">
        <v>2</v>
      </c>
      <c r="J915" s="6">
        <v>563.9</v>
      </c>
      <c r="K915" s="7">
        <v>0.05</v>
      </c>
      <c r="L915" s="6">
        <f t="shared" si="56"/>
        <v>1071.4099999999999</v>
      </c>
      <c r="M915" s="6">
        <v>419.77</v>
      </c>
      <c r="N915" s="8">
        <f t="shared" si="57"/>
        <v>231.86999999999989</v>
      </c>
      <c r="O915" s="4" t="s">
        <v>51</v>
      </c>
      <c r="P915" s="4" t="s">
        <v>97</v>
      </c>
      <c r="Q915" s="4">
        <v>4</v>
      </c>
      <c r="R915" s="21">
        <f t="shared" si="58"/>
        <v>0.21641575120635417</v>
      </c>
      <c r="S915" t="str">
        <f t="shared" si="59"/>
        <v>Medium</v>
      </c>
    </row>
    <row r="916" spans="1:19" x14ac:dyDescent="0.35">
      <c r="A916" s="4" t="s">
        <v>1349</v>
      </c>
      <c r="B916" s="5">
        <v>45994</v>
      </c>
      <c r="C916" s="4" t="s">
        <v>365</v>
      </c>
      <c r="D916" s="4" t="s">
        <v>20</v>
      </c>
      <c r="E916" s="4" t="s">
        <v>36</v>
      </c>
      <c r="F916" s="4" t="s">
        <v>37</v>
      </c>
      <c r="G916" s="4" t="s">
        <v>49</v>
      </c>
      <c r="H916" s="4" t="s">
        <v>78</v>
      </c>
      <c r="I916" s="4">
        <v>2</v>
      </c>
      <c r="J916" s="6">
        <v>568.5</v>
      </c>
      <c r="K916" s="7">
        <v>0.15</v>
      </c>
      <c r="L916" s="6">
        <f t="shared" si="56"/>
        <v>966.44999999999993</v>
      </c>
      <c r="M916" s="6">
        <v>359.62</v>
      </c>
      <c r="N916" s="8">
        <f t="shared" si="57"/>
        <v>247.20999999999992</v>
      </c>
      <c r="O916" s="4" t="s">
        <v>84</v>
      </c>
      <c r="P916" s="4" t="s">
        <v>26</v>
      </c>
      <c r="Q916" s="4">
        <v>3</v>
      </c>
      <c r="R916" s="21">
        <f t="shared" si="58"/>
        <v>0.25579181540690149</v>
      </c>
      <c r="S916" t="str">
        <f t="shared" si="59"/>
        <v>Medium</v>
      </c>
    </row>
    <row r="917" spans="1:19" x14ac:dyDescent="0.35">
      <c r="A917" s="4" t="s">
        <v>1350</v>
      </c>
      <c r="B917" s="5">
        <v>45995</v>
      </c>
      <c r="C917" s="4" t="s">
        <v>459</v>
      </c>
      <c r="D917" s="4" t="s">
        <v>20</v>
      </c>
      <c r="E917" s="4" t="s">
        <v>87</v>
      </c>
      <c r="F917" s="4" t="s">
        <v>92</v>
      </c>
      <c r="G917" s="4" t="s">
        <v>49</v>
      </c>
      <c r="H917" s="4" t="s">
        <v>50</v>
      </c>
      <c r="I917" s="4">
        <v>1</v>
      </c>
      <c r="J917" s="6">
        <v>37.409999999999997</v>
      </c>
      <c r="K917" s="7">
        <v>0</v>
      </c>
      <c r="L917" s="6">
        <f t="shared" si="56"/>
        <v>37.409999999999997</v>
      </c>
      <c r="M917" s="6">
        <v>27.57</v>
      </c>
      <c r="N917" s="8">
        <f t="shared" si="57"/>
        <v>9.8399999999999963</v>
      </c>
      <c r="O917" s="4" t="s">
        <v>60</v>
      </c>
      <c r="P917" s="4" t="s">
        <v>72</v>
      </c>
      <c r="Q917" s="4">
        <v>4</v>
      </c>
      <c r="R917" s="21">
        <f t="shared" si="58"/>
        <v>0.26303127506014429</v>
      </c>
      <c r="S917" t="str">
        <f t="shared" si="59"/>
        <v>Small</v>
      </c>
    </row>
    <row r="918" spans="1:19" x14ac:dyDescent="0.35">
      <c r="A918" s="4" t="s">
        <v>1351</v>
      </c>
      <c r="B918" s="5">
        <v>45995</v>
      </c>
      <c r="C918" s="4" t="s">
        <v>1352</v>
      </c>
      <c r="D918" s="4" t="s">
        <v>20</v>
      </c>
      <c r="E918" s="4" t="s">
        <v>87</v>
      </c>
      <c r="F918" s="4" t="s">
        <v>124</v>
      </c>
      <c r="G918" s="4" t="s">
        <v>23</v>
      </c>
      <c r="H918" s="4" t="s">
        <v>135</v>
      </c>
      <c r="I918" s="4">
        <v>1</v>
      </c>
      <c r="J918" s="6">
        <v>30.68</v>
      </c>
      <c r="K918" s="7">
        <v>0.1</v>
      </c>
      <c r="L918" s="6">
        <f t="shared" si="56"/>
        <v>27.612000000000002</v>
      </c>
      <c r="M918" s="6">
        <v>13.46</v>
      </c>
      <c r="N918" s="8">
        <f t="shared" si="57"/>
        <v>14.152000000000001</v>
      </c>
      <c r="O918" s="4" t="s">
        <v>60</v>
      </c>
      <c r="P918" s="4" t="s">
        <v>118</v>
      </c>
      <c r="Q918" s="4">
        <v>4</v>
      </c>
      <c r="R918" s="21">
        <f t="shared" si="58"/>
        <v>0.51253078371722438</v>
      </c>
      <c r="S918" t="str">
        <f t="shared" si="59"/>
        <v>Small</v>
      </c>
    </row>
    <row r="919" spans="1:19" x14ac:dyDescent="0.35">
      <c r="A919" s="4" t="s">
        <v>1353</v>
      </c>
      <c r="B919" s="5">
        <v>45995</v>
      </c>
      <c r="C919" s="4" t="s">
        <v>618</v>
      </c>
      <c r="D919" s="4" t="s">
        <v>20</v>
      </c>
      <c r="E919" s="4" t="s">
        <v>87</v>
      </c>
      <c r="F919" s="4" t="s">
        <v>88</v>
      </c>
      <c r="G919" s="4" t="s">
        <v>67</v>
      </c>
      <c r="H919" s="4" t="s">
        <v>121</v>
      </c>
      <c r="I919" s="4">
        <v>1</v>
      </c>
      <c r="J919" s="6">
        <v>439.06</v>
      </c>
      <c r="K919" s="7">
        <v>0.1</v>
      </c>
      <c r="L919" s="6">
        <f t="shared" si="56"/>
        <v>395.154</v>
      </c>
      <c r="M919" s="6">
        <v>346.33</v>
      </c>
      <c r="N919" s="8">
        <f t="shared" si="57"/>
        <v>48.824000000000012</v>
      </c>
      <c r="O919" s="4" t="s">
        <v>84</v>
      </c>
      <c r="P919" s="4" t="s">
        <v>72</v>
      </c>
      <c r="Q919" s="4">
        <v>4</v>
      </c>
      <c r="R919" s="21">
        <f t="shared" si="58"/>
        <v>0.1235568917434722</v>
      </c>
      <c r="S919" t="str">
        <f t="shared" si="59"/>
        <v>Small</v>
      </c>
    </row>
    <row r="920" spans="1:19" x14ac:dyDescent="0.35">
      <c r="A920" s="4" t="s">
        <v>1354</v>
      </c>
      <c r="B920" s="5">
        <v>45995</v>
      </c>
      <c r="C920" s="4" t="s">
        <v>550</v>
      </c>
      <c r="D920" s="4" t="s">
        <v>47</v>
      </c>
      <c r="E920" s="4" t="s">
        <v>36</v>
      </c>
      <c r="F920" s="4" t="s">
        <v>48</v>
      </c>
      <c r="G920" s="4" t="s">
        <v>23</v>
      </c>
      <c r="H920" s="4" t="s">
        <v>135</v>
      </c>
      <c r="I920" s="4">
        <v>4</v>
      </c>
      <c r="J920" s="6">
        <v>34.44</v>
      </c>
      <c r="K920" s="7">
        <v>0.1</v>
      </c>
      <c r="L920" s="6">
        <f t="shared" si="56"/>
        <v>123.98399999999999</v>
      </c>
      <c r="M920" s="6">
        <v>20.100000000000001</v>
      </c>
      <c r="N920" s="8">
        <f t="shared" si="57"/>
        <v>43.583999999999989</v>
      </c>
      <c r="O920" s="4" t="s">
        <v>51</v>
      </c>
      <c r="P920" s="4" t="s">
        <v>33</v>
      </c>
      <c r="Q920" s="4">
        <v>2</v>
      </c>
      <c r="R920" s="21">
        <f t="shared" si="58"/>
        <v>0.35152922957800997</v>
      </c>
      <c r="S920" t="str">
        <f t="shared" si="59"/>
        <v>Small</v>
      </c>
    </row>
    <row r="921" spans="1:19" x14ac:dyDescent="0.35">
      <c r="A921" s="4" t="s">
        <v>1355</v>
      </c>
      <c r="B921" s="5">
        <v>45996</v>
      </c>
      <c r="C921" s="4" t="s">
        <v>385</v>
      </c>
      <c r="D921" s="4" t="s">
        <v>47</v>
      </c>
      <c r="E921" s="4" t="s">
        <v>21</v>
      </c>
      <c r="F921" s="4" t="s">
        <v>59</v>
      </c>
      <c r="G921" s="4" t="s">
        <v>38</v>
      </c>
      <c r="H921" s="4" t="s">
        <v>39</v>
      </c>
      <c r="I921" s="4">
        <v>6</v>
      </c>
      <c r="J921" s="6">
        <v>361.82</v>
      </c>
      <c r="K921" s="7">
        <v>0</v>
      </c>
      <c r="L921" s="6">
        <f t="shared" si="56"/>
        <v>2170.92</v>
      </c>
      <c r="M921" s="6">
        <v>299.73</v>
      </c>
      <c r="N921" s="8">
        <f t="shared" si="57"/>
        <v>372.53999999999996</v>
      </c>
      <c r="O921" s="4" t="s">
        <v>84</v>
      </c>
      <c r="P921" s="4" t="s">
        <v>26</v>
      </c>
      <c r="Q921" s="4">
        <v>2</v>
      </c>
      <c r="R921" s="21">
        <f t="shared" si="58"/>
        <v>0.17160466530318941</v>
      </c>
      <c r="S921" t="str">
        <f t="shared" si="59"/>
        <v>Large</v>
      </c>
    </row>
    <row r="922" spans="1:19" x14ac:dyDescent="0.35">
      <c r="A922" s="4" t="s">
        <v>1356</v>
      </c>
      <c r="B922" s="5">
        <v>45996</v>
      </c>
      <c r="C922" s="4" t="s">
        <v>1343</v>
      </c>
      <c r="D922" s="4" t="s">
        <v>20</v>
      </c>
      <c r="E922" s="4" t="s">
        <v>29</v>
      </c>
      <c r="F922" s="4" t="s">
        <v>30</v>
      </c>
      <c r="G922" s="4" t="s">
        <v>38</v>
      </c>
      <c r="H922" s="4" t="s">
        <v>109</v>
      </c>
      <c r="I922" s="4">
        <v>3</v>
      </c>
      <c r="J922" s="6">
        <v>379.9</v>
      </c>
      <c r="K922" s="7">
        <v>0.05</v>
      </c>
      <c r="L922" s="6">
        <f t="shared" si="56"/>
        <v>1082.7149999999997</v>
      </c>
      <c r="M922" s="6">
        <v>308.32</v>
      </c>
      <c r="N922" s="8">
        <f t="shared" si="57"/>
        <v>157.75499999999965</v>
      </c>
      <c r="O922" s="4" t="s">
        <v>40</v>
      </c>
      <c r="P922" s="4" t="s">
        <v>72</v>
      </c>
      <c r="Q922" s="4">
        <v>4</v>
      </c>
      <c r="R922" s="21">
        <f t="shared" si="58"/>
        <v>0.14570316288219864</v>
      </c>
      <c r="S922" t="str">
        <f t="shared" si="59"/>
        <v>Medium</v>
      </c>
    </row>
    <row r="923" spans="1:19" x14ac:dyDescent="0.35">
      <c r="A923" s="4" t="s">
        <v>1357</v>
      </c>
      <c r="B923" s="5">
        <v>45996</v>
      </c>
      <c r="C923" s="4" t="s">
        <v>123</v>
      </c>
      <c r="D923" s="4" t="s">
        <v>20</v>
      </c>
      <c r="E923" s="4" t="s">
        <v>29</v>
      </c>
      <c r="F923" s="4" t="s">
        <v>108</v>
      </c>
      <c r="G923" s="4" t="s">
        <v>23</v>
      </c>
      <c r="H923" s="4" t="s">
        <v>44</v>
      </c>
      <c r="I923" s="4">
        <v>1</v>
      </c>
      <c r="J923" s="6">
        <v>159.07</v>
      </c>
      <c r="K923" s="7">
        <v>0.1</v>
      </c>
      <c r="L923" s="6">
        <f t="shared" si="56"/>
        <v>143.16300000000001</v>
      </c>
      <c r="M923" s="6">
        <v>93.38</v>
      </c>
      <c r="N923" s="8">
        <f t="shared" si="57"/>
        <v>49.783000000000015</v>
      </c>
      <c r="O923" s="4" t="s">
        <v>40</v>
      </c>
      <c r="P923" s="4" t="s">
        <v>33</v>
      </c>
      <c r="Q923" s="4">
        <v>5</v>
      </c>
      <c r="R923" s="21">
        <f t="shared" si="58"/>
        <v>0.34773649616171787</v>
      </c>
      <c r="S923" t="str">
        <f t="shared" si="59"/>
        <v>Small</v>
      </c>
    </row>
    <row r="924" spans="1:19" x14ac:dyDescent="0.35">
      <c r="A924" s="4" t="s">
        <v>1358</v>
      </c>
      <c r="B924" s="5">
        <v>45996</v>
      </c>
      <c r="C924" s="4" t="s">
        <v>467</v>
      </c>
      <c r="D924" s="4" t="s">
        <v>43</v>
      </c>
      <c r="E924" s="4" t="s">
        <v>36</v>
      </c>
      <c r="F924" s="4" t="s">
        <v>37</v>
      </c>
      <c r="G924" s="4" t="s">
        <v>67</v>
      </c>
      <c r="H924" s="4" t="s">
        <v>93</v>
      </c>
      <c r="I924" s="4">
        <v>2</v>
      </c>
      <c r="J924" s="6">
        <v>283.75</v>
      </c>
      <c r="K924" s="7">
        <v>0.2</v>
      </c>
      <c r="L924" s="6">
        <f t="shared" si="56"/>
        <v>454</v>
      </c>
      <c r="M924" s="6">
        <v>188.53</v>
      </c>
      <c r="N924" s="8">
        <f t="shared" si="57"/>
        <v>76.94</v>
      </c>
      <c r="O924" s="4" t="s">
        <v>60</v>
      </c>
      <c r="P924" s="4" t="s">
        <v>118</v>
      </c>
      <c r="Q924" s="4">
        <v>5</v>
      </c>
      <c r="R924" s="21">
        <f t="shared" si="58"/>
        <v>0.16947136563876652</v>
      </c>
      <c r="S924" t="str">
        <f t="shared" si="59"/>
        <v>Small</v>
      </c>
    </row>
    <row r="925" spans="1:19" x14ac:dyDescent="0.35">
      <c r="A925" s="4" t="s">
        <v>1359</v>
      </c>
      <c r="B925" s="5">
        <v>45996</v>
      </c>
      <c r="C925" s="4" t="s">
        <v>1360</v>
      </c>
      <c r="D925" s="4" t="s">
        <v>43</v>
      </c>
      <c r="E925" s="4" t="s">
        <v>29</v>
      </c>
      <c r="F925" s="4" t="s">
        <v>108</v>
      </c>
      <c r="G925" s="4" t="s">
        <v>23</v>
      </c>
      <c r="H925" s="4" t="s">
        <v>44</v>
      </c>
      <c r="I925" s="4">
        <v>2</v>
      </c>
      <c r="J925" s="6">
        <v>59.58</v>
      </c>
      <c r="K925" s="7">
        <v>0.2</v>
      </c>
      <c r="L925" s="6">
        <f t="shared" si="56"/>
        <v>95.328000000000003</v>
      </c>
      <c r="M925" s="6">
        <v>37.75</v>
      </c>
      <c r="N925" s="8">
        <f t="shared" si="57"/>
        <v>19.828000000000003</v>
      </c>
      <c r="O925" s="4" t="s">
        <v>51</v>
      </c>
      <c r="P925" s="4" t="s">
        <v>61</v>
      </c>
      <c r="Q925" s="4">
        <v>3</v>
      </c>
      <c r="R925" s="21">
        <f t="shared" si="58"/>
        <v>0.20799765021819405</v>
      </c>
      <c r="S925" t="str">
        <f t="shared" si="59"/>
        <v>Small</v>
      </c>
    </row>
    <row r="926" spans="1:19" x14ac:dyDescent="0.35">
      <c r="A926" s="4" t="s">
        <v>1361</v>
      </c>
      <c r="B926" s="5">
        <v>45997</v>
      </c>
      <c r="C926" s="4" t="s">
        <v>262</v>
      </c>
      <c r="D926" s="4" t="s">
        <v>47</v>
      </c>
      <c r="E926" s="4" t="s">
        <v>36</v>
      </c>
      <c r="F926" s="4" t="s">
        <v>37</v>
      </c>
      <c r="G926" s="4" t="s">
        <v>38</v>
      </c>
      <c r="H926" s="4" t="s">
        <v>109</v>
      </c>
      <c r="I926" s="4">
        <v>2</v>
      </c>
      <c r="J926" s="6">
        <v>470.57</v>
      </c>
      <c r="K926" s="7">
        <v>0.1</v>
      </c>
      <c r="L926" s="6">
        <f t="shared" si="56"/>
        <v>847.02599999999995</v>
      </c>
      <c r="M926" s="6">
        <v>388.09</v>
      </c>
      <c r="N926" s="8">
        <f t="shared" si="57"/>
        <v>70.846000000000004</v>
      </c>
      <c r="O926" s="4" t="s">
        <v>51</v>
      </c>
      <c r="P926" s="4" t="s">
        <v>61</v>
      </c>
      <c r="Q926" s="4">
        <v>4</v>
      </c>
      <c r="R926" s="21">
        <f t="shared" si="58"/>
        <v>8.3640879972987844E-2</v>
      </c>
      <c r="S926" t="str">
        <f t="shared" si="59"/>
        <v>Medium</v>
      </c>
    </row>
    <row r="927" spans="1:19" x14ac:dyDescent="0.35">
      <c r="A927" s="4" t="s">
        <v>1362</v>
      </c>
      <c r="B927" s="5">
        <v>45997</v>
      </c>
      <c r="C927" s="4" t="s">
        <v>235</v>
      </c>
      <c r="D927" s="4" t="s">
        <v>20</v>
      </c>
      <c r="E927" s="4" t="s">
        <v>87</v>
      </c>
      <c r="F927" s="4" t="s">
        <v>92</v>
      </c>
      <c r="G927" s="4" t="s">
        <v>38</v>
      </c>
      <c r="H927" s="4" t="s">
        <v>96</v>
      </c>
      <c r="I927" s="4">
        <v>8</v>
      </c>
      <c r="J927" s="6">
        <v>582.20000000000005</v>
      </c>
      <c r="K927" s="7">
        <v>0.2</v>
      </c>
      <c r="L927" s="6">
        <f t="shared" si="56"/>
        <v>3726.0800000000004</v>
      </c>
      <c r="M927" s="6">
        <v>449.54</v>
      </c>
      <c r="N927" s="8">
        <f t="shared" si="57"/>
        <v>129.76000000000022</v>
      </c>
      <c r="O927" s="4" t="s">
        <v>40</v>
      </c>
      <c r="P927" s="4" t="s">
        <v>33</v>
      </c>
      <c r="Q927" s="4">
        <v>3</v>
      </c>
      <c r="R927" s="21">
        <f t="shared" si="58"/>
        <v>3.4824802473376902E-2</v>
      </c>
      <c r="S927" t="str">
        <f t="shared" si="59"/>
        <v>Large</v>
      </c>
    </row>
    <row r="928" spans="1:19" x14ac:dyDescent="0.35">
      <c r="A928" s="4" t="s">
        <v>1363</v>
      </c>
      <c r="B928" s="5">
        <v>45997</v>
      </c>
      <c r="C928" s="4" t="s">
        <v>1113</v>
      </c>
      <c r="D928" s="4" t="s">
        <v>43</v>
      </c>
      <c r="E928" s="4" t="s">
        <v>36</v>
      </c>
      <c r="F928" s="4" t="s">
        <v>37</v>
      </c>
      <c r="G928" s="4" t="s">
        <v>67</v>
      </c>
      <c r="H928" s="4" t="s">
        <v>140</v>
      </c>
      <c r="I928" s="4">
        <v>2</v>
      </c>
      <c r="J928" s="6">
        <v>130.44999999999999</v>
      </c>
      <c r="K928" s="7">
        <v>0</v>
      </c>
      <c r="L928" s="6">
        <f t="shared" si="56"/>
        <v>260.89999999999998</v>
      </c>
      <c r="M928" s="6">
        <v>96.37</v>
      </c>
      <c r="N928" s="8">
        <f t="shared" si="57"/>
        <v>68.159999999999968</v>
      </c>
      <c r="O928" s="4" t="s">
        <v>40</v>
      </c>
      <c r="P928" s="4" t="s">
        <v>75</v>
      </c>
      <c r="Q928" s="4">
        <v>5</v>
      </c>
      <c r="R928" s="21">
        <f t="shared" si="58"/>
        <v>0.26124952088922948</v>
      </c>
      <c r="S928" t="str">
        <f t="shared" si="59"/>
        <v>Small</v>
      </c>
    </row>
    <row r="929" spans="1:19" x14ac:dyDescent="0.35">
      <c r="A929" s="4" t="s">
        <v>1364</v>
      </c>
      <c r="B929" s="5">
        <v>45997</v>
      </c>
      <c r="C929" s="4" t="s">
        <v>1147</v>
      </c>
      <c r="D929" s="4" t="s">
        <v>20</v>
      </c>
      <c r="E929" s="4" t="s">
        <v>29</v>
      </c>
      <c r="F929" s="4" t="s">
        <v>30</v>
      </c>
      <c r="G929" s="4" t="s">
        <v>23</v>
      </c>
      <c r="H929" s="4" t="s">
        <v>44</v>
      </c>
      <c r="I929" s="4">
        <v>1</v>
      </c>
      <c r="J929" s="6">
        <v>82.43</v>
      </c>
      <c r="K929" s="7">
        <v>0.1</v>
      </c>
      <c r="L929" s="6">
        <f t="shared" si="56"/>
        <v>74.187000000000012</v>
      </c>
      <c r="M929" s="6">
        <v>36.979999999999997</v>
      </c>
      <c r="N929" s="8">
        <f t="shared" si="57"/>
        <v>37.207000000000015</v>
      </c>
      <c r="O929" s="4" t="s">
        <v>25</v>
      </c>
      <c r="P929" s="4" t="s">
        <v>33</v>
      </c>
      <c r="Q929" s="4">
        <v>5</v>
      </c>
      <c r="R929" s="21">
        <f t="shared" si="58"/>
        <v>0.5015299176405571</v>
      </c>
      <c r="S929" t="str">
        <f t="shared" si="59"/>
        <v>Small</v>
      </c>
    </row>
    <row r="930" spans="1:19" x14ac:dyDescent="0.35">
      <c r="A930" s="4" t="s">
        <v>1365</v>
      </c>
      <c r="B930" s="5">
        <v>45997</v>
      </c>
      <c r="C930" s="4" t="s">
        <v>99</v>
      </c>
      <c r="D930" s="4" t="s">
        <v>47</v>
      </c>
      <c r="E930" s="4" t="s">
        <v>87</v>
      </c>
      <c r="F930" s="4" t="s">
        <v>88</v>
      </c>
      <c r="G930" s="4" t="s">
        <v>38</v>
      </c>
      <c r="H930" s="4" t="s">
        <v>96</v>
      </c>
      <c r="I930" s="4">
        <v>3</v>
      </c>
      <c r="J930" s="6">
        <v>585.01</v>
      </c>
      <c r="K930" s="7">
        <v>0.05</v>
      </c>
      <c r="L930" s="6">
        <f t="shared" si="56"/>
        <v>1667.2784999999999</v>
      </c>
      <c r="M930" s="6">
        <v>497.93</v>
      </c>
      <c r="N930" s="8">
        <f t="shared" si="57"/>
        <v>173.48849999999993</v>
      </c>
      <c r="O930" s="4" t="s">
        <v>60</v>
      </c>
      <c r="P930" s="4" t="s">
        <v>72</v>
      </c>
      <c r="Q930" s="4">
        <v>3</v>
      </c>
      <c r="R930" s="21">
        <f t="shared" si="58"/>
        <v>0.10405490144567926</v>
      </c>
      <c r="S930" t="str">
        <f t="shared" si="59"/>
        <v>Medium</v>
      </c>
    </row>
    <row r="931" spans="1:19" x14ac:dyDescent="0.35">
      <c r="A931" s="4" t="s">
        <v>1366</v>
      </c>
      <c r="B931" s="5">
        <v>45998</v>
      </c>
      <c r="C931" s="4" t="s">
        <v>475</v>
      </c>
      <c r="D931" s="4" t="s">
        <v>43</v>
      </c>
      <c r="E931" s="4" t="s">
        <v>29</v>
      </c>
      <c r="F931" s="4" t="s">
        <v>108</v>
      </c>
      <c r="G931" s="4" t="s">
        <v>31</v>
      </c>
      <c r="H931" s="4" t="s">
        <v>32</v>
      </c>
      <c r="I931" s="4">
        <v>8</v>
      </c>
      <c r="J931" s="6">
        <v>384.17</v>
      </c>
      <c r="K931" s="7">
        <v>0.1</v>
      </c>
      <c r="L931" s="6">
        <f t="shared" si="56"/>
        <v>2766.0240000000003</v>
      </c>
      <c r="M931" s="6">
        <v>215.39</v>
      </c>
      <c r="N931" s="8">
        <f t="shared" si="57"/>
        <v>1042.9040000000005</v>
      </c>
      <c r="O931" s="4" t="s">
        <v>51</v>
      </c>
      <c r="P931" s="4" t="s">
        <v>97</v>
      </c>
      <c r="Q931" s="4">
        <v>2</v>
      </c>
      <c r="R931" s="21">
        <f t="shared" si="58"/>
        <v>0.3770408355097426</v>
      </c>
      <c r="S931" t="str">
        <f t="shared" si="59"/>
        <v>Large</v>
      </c>
    </row>
    <row r="932" spans="1:19" x14ac:dyDescent="0.35">
      <c r="A932" s="4" t="s">
        <v>1367</v>
      </c>
      <c r="B932" s="5">
        <v>45998</v>
      </c>
      <c r="C932" s="4" t="s">
        <v>534</v>
      </c>
      <c r="D932" s="4" t="s">
        <v>43</v>
      </c>
      <c r="E932" s="4" t="s">
        <v>36</v>
      </c>
      <c r="F932" s="4" t="s">
        <v>48</v>
      </c>
      <c r="G932" s="4" t="s">
        <v>38</v>
      </c>
      <c r="H932" s="4" t="s">
        <v>55</v>
      </c>
      <c r="I932" s="4">
        <v>2</v>
      </c>
      <c r="J932" s="6">
        <v>104.53</v>
      </c>
      <c r="K932" s="7">
        <v>0.15</v>
      </c>
      <c r="L932" s="6">
        <f t="shared" si="56"/>
        <v>177.70099999999999</v>
      </c>
      <c r="M932" s="6">
        <v>88.28</v>
      </c>
      <c r="N932" s="8">
        <f t="shared" si="57"/>
        <v>1.1409999999999911</v>
      </c>
      <c r="O932" s="4" t="s">
        <v>40</v>
      </c>
      <c r="P932" s="4" t="s">
        <v>61</v>
      </c>
      <c r="Q932" s="4">
        <v>5</v>
      </c>
      <c r="R932" s="21">
        <f t="shared" si="58"/>
        <v>6.4208980253346419E-3</v>
      </c>
      <c r="S932" t="str">
        <f t="shared" si="59"/>
        <v>Small</v>
      </c>
    </row>
    <row r="933" spans="1:19" x14ac:dyDescent="0.35">
      <c r="A933" s="4" t="s">
        <v>1368</v>
      </c>
      <c r="B933" s="5">
        <v>45999</v>
      </c>
      <c r="C933" s="4" t="s">
        <v>320</v>
      </c>
      <c r="D933" s="4" t="s">
        <v>20</v>
      </c>
      <c r="E933" s="4" t="s">
        <v>36</v>
      </c>
      <c r="F933" s="4" t="s">
        <v>37</v>
      </c>
      <c r="G933" s="4" t="s">
        <v>23</v>
      </c>
      <c r="H933" s="4" t="s">
        <v>24</v>
      </c>
      <c r="I933" s="4">
        <v>2</v>
      </c>
      <c r="J933" s="6">
        <v>61.52</v>
      </c>
      <c r="K933" s="7">
        <v>0.1</v>
      </c>
      <c r="L933" s="6">
        <f t="shared" si="56"/>
        <v>110.736</v>
      </c>
      <c r="M933" s="6">
        <v>33.25</v>
      </c>
      <c r="N933" s="8">
        <f t="shared" si="57"/>
        <v>44.236000000000004</v>
      </c>
      <c r="O933" s="4" t="s">
        <v>25</v>
      </c>
      <c r="P933" s="4" t="s">
        <v>75</v>
      </c>
      <c r="Q933" s="4">
        <v>3</v>
      </c>
      <c r="R933" s="21">
        <f t="shared" si="58"/>
        <v>0.39947261956364688</v>
      </c>
      <c r="S933" t="str">
        <f t="shared" si="59"/>
        <v>Small</v>
      </c>
    </row>
    <row r="934" spans="1:19" x14ac:dyDescent="0.35">
      <c r="A934" s="4" t="s">
        <v>1369</v>
      </c>
      <c r="B934" s="5">
        <v>45999</v>
      </c>
      <c r="C934" s="4" t="s">
        <v>734</v>
      </c>
      <c r="D934" s="4" t="s">
        <v>47</v>
      </c>
      <c r="E934" s="4" t="s">
        <v>29</v>
      </c>
      <c r="F934" s="4" t="s">
        <v>108</v>
      </c>
      <c r="G934" s="4" t="s">
        <v>31</v>
      </c>
      <c r="H934" s="4" t="s">
        <v>64</v>
      </c>
      <c r="I934" s="4">
        <v>6</v>
      </c>
      <c r="J934" s="6">
        <v>241.01</v>
      </c>
      <c r="K934" s="7">
        <v>0</v>
      </c>
      <c r="L934" s="6">
        <f t="shared" si="56"/>
        <v>1446.06</v>
      </c>
      <c r="M934" s="6">
        <v>163.35</v>
      </c>
      <c r="N934" s="8">
        <f t="shared" si="57"/>
        <v>465.96000000000004</v>
      </c>
      <c r="O934" s="4" t="s">
        <v>40</v>
      </c>
      <c r="P934" s="4" t="s">
        <v>118</v>
      </c>
      <c r="Q934" s="4">
        <v>4</v>
      </c>
      <c r="R934" s="21">
        <f t="shared" si="58"/>
        <v>0.32222729347329992</v>
      </c>
      <c r="S934" t="str">
        <f t="shared" si="59"/>
        <v>Medium</v>
      </c>
    </row>
    <row r="935" spans="1:19" x14ac:dyDescent="0.35">
      <c r="A935" s="4" t="s">
        <v>1370</v>
      </c>
      <c r="B935" s="5">
        <v>45999</v>
      </c>
      <c r="C935" s="4" t="s">
        <v>325</v>
      </c>
      <c r="D935" s="4" t="s">
        <v>43</v>
      </c>
      <c r="E935" s="4" t="s">
        <v>21</v>
      </c>
      <c r="F935" s="4" t="s">
        <v>22</v>
      </c>
      <c r="G935" s="4" t="s">
        <v>31</v>
      </c>
      <c r="H935" s="4" t="s">
        <v>64</v>
      </c>
      <c r="I935" s="4">
        <v>1</v>
      </c>
      <c r="J935" s="6">
        <v>93.63</v>
      </c>
      <c r="K935" s="7">
        <v>0.05</v>
      </c>
      <c r="L935" s="6">
        <f t="shared" si="56"/>
        <v>88.948499999999996</v>
      </c>
      <c r="M935" s="6">
        <v>56.22</v>
      </c>
      <c r="N935" s="8">
        <f t="shared" si="57"/>
        <v>32.728499999999997</v>
      </c>
      <c r="O935" s="4" t="s">
        <v>60</v>
      </c>
      <c r="P935" s="4" t="s">
        <v>75</v>
      </c>
      <c r="Q935" s="4">
        <v>5</v>
      </c>
      <c r="R935" s="21">
        <f t="shared" si="58"/>
        <v>0.36794886928953269</v>
      </c>
      <c r="S935" t="str">
        <f t="shared" si="59"/>
        <v>Small</v>
      </c>
    </row>
    <row r="936" spans="1:19" x14ac:dyDescent="0.35">
      <c r="A936" s="4" t="s">
        <v>1371</v>
      </c>
      <c r="B936" s="5">
        <v>45999</v>
      </c>
      <c r="C936" s="4" t="s">
        <v>385</v>
      </c>
      <c r="D936" s="4" t="s">
        <v>47</v>
      </c>
      <c r="E936" s="4" t="s">
        <v>36</v>
      </c>
      <c r="F936" s="4" t="s">
        <v>37</v>
      </c>
      <c r="G936" s="4" t="s">
        <v>23</v>
      </c>
      <c r="H936" s="4" t="s">
        <v>135</v>
      </c>
      <c r="I936" s="4">
        <v>2</v>
      </c>
      <c r="J936" s="6">
        <v>23.27</v>
      </c>
      <c r="K936" s="7">
        <v>0.05</v>
      </c>
      <c r="L936" s="6">
        <f t="shared" si="56"/>
        <v>44.212999999999994</v>
      </c>
      <c r="M936" s="6">
        <v>9.33</v>
      </c>
      <c r="N936" s="8">
        <f t="shared" si="57"/>
        <v>25.552999999999994</v>
      </c>
      <c r="O936" s="4" t="s">
        <v>60</v>
      </c>
      <c r="P936" s="4" t="s">
        <v>56</v>
      </c>
      <c r="Q936" s="4">
        <v>5</v>
      </c>
      <c r="R936" s="21">
        <f t="shared" si="58"/>
        <v>0.57795218600863996</v>
      </c>
      <c r="S936" t="str">
        <f t="shared" si="59"/>
        <v>Small</v>
      </c>
    </row>
    <row r="937" spans="1:19" x14ac:dyDescent="0.35">
      <c r="A937" s="4" t="s">
        <v>1372</v>
      </c>
      <c r="B937" s="5">
        <v>46000</v>
      </c>
      <c r="C937" s="4" t="s">
        <v>63</v>
      </c>
      <c r="D937" s="4" t="s">
        <v>47</v>
      </c>
      <c r="E937" s="4" t="s">
        <v>21</v>
      </c>
      <c r="F937" s="4" t="s">
        <v>59</v>
      </c>
      <c r="G937" s="4" t="s">
        <v>31</v>
      </c>
      <c r="H937" s="4" t="s">
        <v>125</v>
      </c>
      <c r="I937" s="4">
        <v>6</v>
      </c>
      <c r="J937" s="6">
        <v>165.76</v>
      </c>
      <c r="K937" s="7">
        <v>0.1</v>
      </c>
      <c r="L937" s="6">
        <f t="shared" si="56"/>
        <v>895.10399999999993</v>
      </c>
      <c r="M937" s="6">
        <v>96.26</v>
      </c>
      <c r="N937" s="8">
        <f t="shared" si="57"/>
        <v>317.54399999999987</v>
      </c>
      <c r="O937" s="4" t="s">
        <v>40</v>
      </c>
      <c r="P937" s="4" t="s">
        <v>33</v>
      </c>
      <c r="Q937" s="4">
        <v>4</v>
      </c>
      <c r="R937" s="21">
        <f t="shared" si="58"/>
        <v>0.35475654225654213</v>
      </c>
      <c r="S937" t="str">
        <f t="shared" si="59"/>
        <v>Medium</v>
      </c>
    </row>
    <row r="938" spans="1:19" x14ac:dyDescent="0.35">
      <c r="A938" s="4" t="s">
        <v>1373</v>
      </c>
      <c r="B938" s="5">
        <v>46000</v>
      </c>
      <c r="C938" s="4" t="s">
        <v>28</v>
      </c>
      <c r="D938" s="4" t="s">
        <v>47</v>
      </c>
      <c r="E938" s="4" t="s">
        <v>36</v>
      </c>
      <c r="F938" s="4" t="s">
        <v>201</v>
      </c>
      <c r="G938" s="4" t="s">
        <v>49</v>
      </c>
      <c r="H938" s="4" t="s">
        <v>128</v>
      </c>
      <c r="I938" s="4">
        <v>2</v>
      </c>
      <c r="J938" s="6">
        <v>106.31</v>
      </c>
      <c r="K938" s="7">
        <v>0.1</v>
      </c>
      <c r="L938" s="6">
        <f t="shared" si="56"/>
        <v>191.358</v>
      </c>
      <c r="M938" s="6">
        <v>78.180000000000007</v>
      </c>
      <c r="N938" s="8">
        <f t="shared" si="57"/>
        <v>34.99799999999999</v>
      </c>
      <c r="O938" s="4" t="s">
        <v>40</v>
      </c>
      <c r="P938" s="4" t="s">
        <v>33</v>
      </c>
      <c r="Q938" s="4">
        <v>1</v>
      </c>
      <c r="R938" s="21">
        <f t="shared" si="58"/>
        <v>0.18289279779261902</v>
      </c>
      <c r="S938" t="str">
        <f t="shared" si="59"/>
        <v>Small</v>
      </c>
    </row>
    <row r="939" spans="1:19" x14ac:dyDescent="0.35">
      <c r="A939" s="4" t="s">
        <v>1374</v>
      </c>
      <c r="B939" s="5">
        <v>46000</v>
      </c>
      <c r="C939" s="4" t="s">
        <v>612</v>
      </c>
      <c r="D939" s="4" t="s">
        <v>43</v>
      </c>
      <c r="E939" s="4" t="s">
        <v>87</v>
      </c>
      <c r="F939" s="4" t="s">
        <v>92</v>
      </c>
      <c r="G939" s="4" t="s">
        <v>31</v>
      </c>
      <c r="H939" s="4" t="s">
        <v>147</v>
      </c>
      <c r="I939" s="4">
        <v>5</v>
      </c>
      <c r="J939" s="6">
        <v>25.81</v>
      </c>
      <c r="K939" s="7">
        <v>0.05</v>
      </c>
      <c r="L939" s="6">
        <f t="shared" si="56"/>
        <v>122.59749999999998</v>
      </c>
      <c r="M939" s="6">
        <v>17.690000000000001</v>
      </c>
      <c r="N939" s="8">
        <f t="shared" si="57"/>
        <v>34.14749999999998</v>
      </c>
      <c r="O939" s="4" t="s">
        <v>51</v>
      </c>
      <c r="P939" s="4" t="s">
        <v>26</v>
      </c>
      <c r="Q939" s="4">
        <v>4</v>
      </c>
      <c r="R939" s="21">
        <f t="shared" si="58"/>
        <v>0.27853341218214062</v>
      </c>
      <c r="S939" t="str">
        <f t="shared" si="59"/>
        <v>Small</v>
      </c>
    </row>
    <row r="940" spans="1:19" x14ac:dyDescent="0.35">
      <c r="A940" s="4" t="s">
        <v>1375</v>
      </c>
      <c r="B940" s="5">
        <v>46000</v>
      </c>
      <c r="C940" s="4" t="s">
        <v>86</v>
      </c>
      <c r="D940" s="4" t="s">
        <v>47</v>
      </c>
      <c r="E940" s="4" t="s">
        <v>87</v>
      </c>
      <c r="F940" s="4" t="s">
        <v>88</v>
      </c>
      <c r="G940" s="4" t="s">
        <v>38</v>
      </c>
      <c r="H940" s="4" t="s">
        <v>39</v>
      </c>
      <c r="I940" s="4">
        <v>4</v>
      </c>
      <c r="J940" s="6">
        <v>422.38</v>
      </c>
      <c r="K940" s="7">
        <v>0</v>
      </c>
      <c r="L940" s="6">
        <f t="shared" si="56"/>
        <v>1689.52</v>
      </c>
      <c r="M940" s="6">
        <v>323.55</v>
      </c>
      <c r="N940" s="8">
        <f t="shared" si="57"/>
        <v>395.31999999999994</v>
      </c>
      <c r="O940" s="4" t="s">
        <v>60</v>
      </c>
      <c r="P940" s="4" t="s">
        <v>75</v>
      </c>
      <c r="Q940" s="4">
        <v>5</v>
      </c>
      <c r="R940" s="21">
        <f t="shared" si="58"/>
        <v>0.23398361664851552</v>
      </c>
      <c r="S940" t="str">
        <f t="shared" si="59"/>
        <v>Medium</v>
      </c>
    </row>
    <row r="941" spans="1:19" x14ac:dyDescent="0.35">
      <c r="A941" s="4" t="s">
        <v>1376</v>
      </c>
      <c r="B941" s="5">
        <v>46000</v>
      </c>
      <c r="C941" s="4" t="s">
        <v>151</v>
      </c>
      <c r="D941" s="4" t="s">
        <v>43</v>
      </c>
      <c r="E941" s="4" t="s">
        <v>87</v>
      </c>
      <c r="F941" s="4" t="s">
        <v>124</v>
      </c>
      <c r="G941" s="4" t="s">
        <v>23</v>
      </c>
      <c r="H941" s="4" t="s">
        <v>135</v>
      </c>
      <c r="I941" s="4">
        <v>1</v>
      </c>
      <c r="J941" s="6">
        <v>16.84</v>
      </c>
      <c r="K941" s="7">
        <v>0</v>
      </c>
      <c r="L941" s="6">
        <f t="shared" si="56"/>
        <v>16.84</v>
      </c>
      <c r="M941" s="6">
        <v>9.6199999999999992</v>
      </c>
      <c r="N941" s="8">
        <f t="shared" si="57"/>
        <v>7.2200000000000006</v>
      </c>
      <c r="O941" s="4" t="s">
        <v>84</v>
      </c>
      <c r="P941" s="4" t="s">
        <v>72</v>
      </c>
      <c r="Q941" s="4">
        <v>5</v>
      </c>
      <c r="R941" s="21">
        <f t="shared" si="58"/>
        <v>0.42874109263657961</v>
      </c>
      <c r="S941" t="str">
        <f t="shared" si="59"/>
        <v>Small</v>
      </c>
    </row>
    <row r="942" spans="1:19" x14ac:dyDescent="0.35">
      <c r="A942" s="4" t="s">
        <v>1377</v>
      </c>
      <c r="B942" s="5">
        <v>46000</v>
      </c>
      <c r="C942" s="4" t="s">
        <v>1147</v>
      </c>
      <c r="D942" s="4" t="s">
        <v>43</v>
      </c>
      <c r="E942" s="4" t="s">
        <v>21</v>
      </c>
      <c r="F942" s="4" t="s">
        <v>81</v>
      </c>
      <c r="G942" s="4" t="s">
        <v>38</v>
      </c>
      <c r="H942" s="4" t="s">
        <v>96</v>
      </c>
      <c r="I942" s="4">
        <v>5</v>
      </c>
      <c r="J942" s="6">
        <v>217.71</v>
      </c>
      <c r="K942" s="7">
        <v>0.15</v>
      </c>
      <c r="L942" s="6">
        <f t="shared" si="56"/>
        <v>925.26749999999993</v>
      </c>
      <c r="M942" s="6">
        <v>164.98</v>
      </c>
      <c r="N942" s="8">
        <f t="shared" si="57"/>
        <v>100.36749999999995</v>
      </c>
      <c r="O942" s="4" t="s">
        <v>60</v>
      </c>
      <c r="P942" s="4" t="s">
        <v>26</v>
      </c>
      <c r="Q942" s="4">
        <v>4</v>
      </c>
      <c r="R942" s="21">
        <f t="shared" si="58"/>
        <v>0.10847403588691915</v>
      </c>
      <c r="S942" t="str">
        <f t="shared" si="59"/>
        <v>Medium</v>
      </c>
    </row>
    <row r="943" spans="1:19" x14ac:dyDescent="0.35">
      <c r="A943" s="4" t="s">
        <v>1378</v>
      </c>
      <c r="B943" s="5">
        <v>46001</v>
      </c>
      <c r="C943" s="4" t="s">
        <v>1320</v>
      </c>
      <c r="D943" s="4" t="s">
        <v>47</v>
      </c>
      <c r="E943" s="4" t="s">
        <v>87</v>
      </c>
      <c r="F943" s="4" t="s">
        <v>124</v>
      </c>
      <c r="G943" s="4" t="s">
        <v>38</v>
      </c>
      <c r="H943" s="4" t="s">
        <v>96</v>
      </c>
      <c r="I943" s="4">
        <v>6</v>
      </c>
      <c r="J943" s="6">
        <v>474.62</v>
      </c>
      <c r="K943" s="7">
        <v>0.1</v>
      </c>
      <c r="L943" s="6">
        <f t="shared" si="56"/>
        <v>2562.9480000000003</v>
      </c>
      <c r="M943" s="6">
        <v>418.28</v>
      </c>
      <c r="N943" s="8">
        <f t="shared" si="57"/>
        <v>53.268000000000484</v>
      </c>
      <c r="O943" s="4" t="s">
        <v>84</v>
      </c>
      <c r="P943" s="4" t="s">
        <v>56</v>
      </c>
      <c r="Q943" s="4">
        <v>5</v>
      </c>
      <c r="R943" s="21">
        <f t="shared" si="58"/>
        <v>2.0783878564840364E-2</v>
      </c>
      <c r="S943" t="str">
        <f t="shared" si="59"/>
        <v>Large</v>
      </c>
    </row>
    <row r="944" spans="1:19" x14ac:dyDescent="0.35">
      <c r="A944" s="4" t="s">
        <v>1379</v>
      </c>
      <c r="B944" s="5">
        <v>46001</v>
      </c>
      <c r="C944" s="4" t="s">
        <v>884</v>
      </c>
      <c r="D944" s="4" t="s">
        <v>43</v>
      </c>
      <c r="E944" s="4" t="s">
        <v>87</v>
      </c>
      <c r="F944" s="4" t="s">
        <v>88</v>
      </c>
      <c r="G944" s="4" t="s">
        <v>31</v>
      </c>
      <c r="H944" s="4" t="s">
        <v>64</v>
      </c>
      <c r="I944" s="4">
        <v>10</v>
      </c>
      <c r="J944" s="6">
        <v>197.43</v>
      </c>
      <c r="K944" s="7">
        <v>0.1</v>
      </c>
      <c r="L944" s="6">
        <f t="shared" si="56"/>
        <v>1776.8700000000001</v>
      </c>
      <c r="M944" s="6">
        <v>135.56</v>
      </c>
      <c r="N944" s="8">
        <f t="shared" si="57"/>
        <v>421.27000000000021</v>
      </c>
      <c r="O944" s="4" t="s">
        <v>25</v>
      </c>
      <c r="P944" s="4" t="s">
        <v>56</v>
      </c>
      <c r="Q944" s="4">
        <v>5</v>
      </c>
      <c r="R944" s="21">
        <f t="shared" si="58"/>
        <v>0.23708543675114116</v>
      </c>
      <c r="S944" t="str">
        <f t="shared" si="59"/>
        <v>Medium</v>
      </c>
    </row>
    <row r="945" spans="1:19" x14ac:dyDescent="0.35">
      <c r="A945" s="4" t="s">
        <v>1380</v>
      </c>
      <c r="B945" s="5">
        <v>46001</v>
      </c>
      <c r="C945" s="4" t="s">
        <v>1293</v>
      </c>
      <c r="D945" s="4" t="s">
        <v>43</v>
      </c>
      <c r="E945" s="4" t="s">
        <v>21</v>
      </c>
      <c r="F945" s="4" t="s">
        <v>81</v>
      </c>
      <c r="G945" s="4" t="s">
        <v>38</v>
      </c>
      <c r="H945" s="4" t="s">
        <v>96</v>
      </c>
      <c r="I945" s="4">
        <v>2</v>
      </c>
      <c r="J945" s="6">
        <v>591.88</v>
      </c>
      <c r="K945" s="7">
        <v>0</v>
      </c>
      <c r="L945" s="6">
        <f t="shared" si="56"/>
        <v>1183.76</v>
      </c>
      <c r="M945" s="6">
        <v>497.15</v>
      </c>
      <c r="N945" s="8">
        <f t="shared" si="57"/>
        <v>189.46000000000004</v>
      </c>
      <c r="O945" s="4" t="s">
        <v>25</v>
      </c>
      <c r="P945" s="4" t="s">
        <v>72</v>
      </c>
      <c r="Q945" s="4">
        <v>5</v>
      </c>
      <c r="R945" s="21">
        <f t="shared" si="58"/>
        <v>0.16004933432452528</v>
      </c>
      <c r="S945" t="str">
        <f t="shared" si="59"/>
        <v>Medium</v>
      </c>
    </row>
    <row r="946" spans="1:19" x14ac:dyDescent="0.35">
      <c r="A946" s="4" t="s">
        <v>1381</v>
      </c>
      <c r="B946" s="5">
        <v>46001</v>
      </c>
      <c r="C946" s="4" t="s">
        <v>650</v>
      </c>
      <c r="D946" s="4" t="s">
        <v>47</v>
      </c>
      <c r="E946" s="4" t="s">
        <v>36</v>
      </c>
      <c r="F946" s="4" t="s">
        <v>37</v>
      </c>
      <c r="G946" s="4" t="s">
        <v>38</v>
      </c>
      <c r="H946" s="4" t="s">
        <v>96</v>
      </c>
      <c r="I946" s="4">
        <v>3</v>
      </c>
      <c r="J946" s="6">
        <v>631.77</v>
      </c>
      <c r="K946" s="7">
        <v>0</v>
      </c>
      <c r="L946" s="6">
        <f t="shared" si="56"/>
        <v>1895.31</v>
      </c>
      <c r="M946" s="6">
        <v>567.09</v>
      </c>
      <c r="N946" s="8">
        <f t="shared" si="57"/>
        <v>194.03999999999996</v>
      </c>
      <c r="O946" s="4" t="s">
        <v>84</v>
      </c>
      <c r="P946" s="4" t="s">
        <v>75</v>
      </c>
      <c r="Q946" s="4">
        <v>3</v>
      </c>
      <c r="R946" s="21">
        <f t="shared" si="58"/>
        <v>0.10237903034332113</v>
      </c>
      <c r="S946" t="str">
        <f t="shared" si="59"/>
        <v>Medium</v>
      </c>
    </row>
    <row r="947" spans="1:19" x14ac:dyDescent="0.35">
      <c r="A947" s="4" t="s">
        <v>1382</v>
      </c>
      <c r="B947" s="5">
        <v>46002</v>
      </c>
      <c r="C947" s="4" t="s">
        <v>115</v>
      </c>
      <c r="D947" s="4" t="s">
        <v>47</v>
      </c>
      <c r="E947" s="4" t="s">
        <v>87</v>
      </c>
      <c r="F947" s="4" t="s">
        <v>124</v>
      </c>
      <c r="G947" s="4" t="s">
        <v>38</v>
      </c>
      <c r="H947" s="4" t="s">
        <v>96</v>
      </c>
      <c r="I947" s="4">
        <v>3</v>
      </c>
      <c r="J947" s="6">
        <v>569.26</v>
      </c>
      <c r="K947" s="7">
        <v>0</v>
      </c>
      <c r="L947" s="6">
        <f t="shared" si="56"/>
        <v>1707.78</v>
      </c>
      <c r="M947" s="6">
        <v>507.11</v>
      </c>
      <c r="N947" s="8">
        <f t="shared" si="57"/>
        <v>186.45000000000005</v>
      </c>
      <c r="O947" s="4" t="s">
        <v>40</v>
      </c>
      <c r="P947" s="4" t="s">
        <v>61</v>
      </c>
      <c r="Q947" s="4">
        <v>3</v>
      </c>
      <c r="R947" s="21">
        <f t="shared" si="58"/>
        <v>0.10917682605487829</v>
      </c>
      <c r="S947" t="str">
        <f t="shared" si="59"/>
        <v>Medium</v>
      </c>
    </row>
    <row r="948" spans="1:19" x14ac:dyDescent="0.35">
      <c r="A948" s="4" t="s">
        <v>1383</v>
      </c>
      <c r="B948" s="5">
        <v>46002</v>
      </c>
      <c r="C948" s="4" t="s">
        <v>1384</v>
      </c>
      <c r="D948" s="4" t="s">
        <v>47</v>
      </c>
      <c r="E948" s="4" t="s">
        <v>87</v>
      </c>
      <c r="F948" s="4" t="s">
        <v>92</v>
      </c>
      <c r="G948" s="4" t="s">
        <v>23</v>
      </c>
      <c r="H948" s="4" t="s">
        <v>24</v>
      </c>
      <c r="I948" s="4">
        <v>5</v>
      </c>
      <c r="J948" s="6">
        <v>73.23</v>
      </c>
      <c r="K948" s="7">
        <v>0</v>
      </c>
      <c r="L948" s="6">
        <f t="shared" si="56"/>
        <v>366.15000000000003</v>
      </c>
      <c r="M948" s="6">
        <v>32.76</v>
      </c>
      <c r="N948" s="8">
        <f t="shared" si="57"/>
        <v>202.35000000000005</v>
      </c>
      <c r="O948" s="4" t="s">
        <v>40</v>
      </c>
      <c r="P948" s="4" t="s">
        <v>72</v>
      </c>
      <c r="Q948" s="4">
        <v>3</v>
      </c>
      <c r="R948" s="21">
        <f t="shared" si="58"/>
        <v>0.55264235968865227</v>
      </c>
      <c r="S948" t="str">
        <f t="shared" si="59"/>
        <v>Small</v>
      </c>
    </row>
    <row r="949" spans="1:19" x14ac:dyDescent="0.35">
      <c r="A949" s="4" t="s">
        <v>1385</v>
      </c>
      <c r="B949" s="5">
        <v>46003</v>
      </c>
      <c r="C949" s="4" t="s">
        <v>644</v>
      </c>
      <c r="D949" s="4" t="s">
        <v>47</v>
      </c>
      <c r="E949" s="4" t="s">
        <v>21</v>
      </c>
      <c r="F949" s="4" t="s">
        <v>81</v>
      </c>
      <c r="G949" s="4" t="s">
        <v>23</v>
      </c>
      <c r="H949" s="4" t="s">
        <v>71</v>
      </c>
      <c r="I949" s="4">
        <v>1</v>
      </c>
      <c r="J949" s="6">
        <v>153.83000000000001</v>
      </c>
      <c r="K949" s="7">
        <v>0.05</v>
      </c>
      <c r="L949" s="6">
        <f t="shared" si="56"/>
        <v>146.13849999999999</v>
      </c>
      <c r="M949" s="6">
        <v>98.89</v>
      </c>
      <c r="N949" s="8">
        <f t="shared" si="57"/>
        <v>47.248499999999993</v>
      </c>
      <c r="O949" s="4" t="s">
        <v>40</v>
      </c>
      <c r="P949" s="4" t="s">
        <v>75</v>
      </c>
      <c r="Q949" s="4">
        <v>4</v>
      </c>
      <c r="R949" s="21">
        <f t="shared" si="58"/>
        <v>0.32331315840794861</v>
      </c>
      <c r="S949" t="str">
        <f t="shared" si="59"/>
        <v>Small</v>
      </c>
    </row>
    <row r="950" spans="1:19" x14ac:dyDescent="0.35">
      <c r="A950" s="4" t="s">
        <v>1386</v>
      </c>
      <c r="B950" s="5">
        <v>46003</v>
      </c>
      <c r="C950" s="4" t="s">
        <v>1021</v>
      </c>
      <c r="D950" s="4" t="s">
        <v>43</v>
      </c>
      <c r="E950" s="4" t="s">
        <v>87</v>
      </c>
      <c r="F950" s="4" t="s">
        <v>88</v>
      </c>
      <c r="G950" s="4" t="s">
        <v>31</v>
      </c>
      <c r="H950" s="4" t="s">
        <v>125</v>
      </c>
      <c r="I950" s="4">
        <v>2</v>
      </c>
      <c r="J950" s="6">
        <v>56.89</v>
      </c>
      <c r="K950" s="7">
        <v>0</v>
      </c>
      <c r="L950" s="6">
        <f t="shared" si="56"/>
        <v>113.78</v>
      </c>
      <c r="M950" s="6">
        <v>42.5</v>
      </c>
      <c r="N950" s="8">
        <f t="shared" si="57"/>
        <v>28.78</v>
      </c>
      <c r="O950" s="4" t="s">
        <v>40</v>
      </c>
      <c r="P950" s="4" t="s">
        <v>26</v>
      </c>
      <c r="Q950" s="4">
        <v>3</v>
      </c>
      <c r="R950" s="21">
        <f t="shared" si="58"/>
        <v>0.25294427843206191</v>
      </c>
      <c r="S950" t="str">
        <f t="shared" si="59"/>
        <v>Small</v>
      </c>
    </row>
    <row r="951" spans="1:19" x14ac:dyDescent="0.35">
      <c r="A951" s="4" t="s">
        <v>1387</v>
      </c>
      <c r="B951" s="5">
        <v>46004</v>
      </c>
      <c r="C951" s="4" t="s">
        <v>346</v>
      </c>
      <c r="D951" s="4" t="s">
        <v>20</v>
      </c>
      <c r="E951" s="4" t="s">
        <v>36</v>
      </c>
      <c r="F951" s="4" t="s">
        <v>48</v>
      </c>
      <c r="G951" s="4" t="s">
        <v>23</v>
      </c>
      <c r="H951" s="4" t="s">
        <v>135</v>
      </c>
      <c r="I951" s="4">
        <v>2</v>
      </c>
      <c r="J951" s="6">
        <v>16.41</v>
      </c>
      <c r="K951" s="7">
        <v>0.05</v>
      </c>
      <c r="L951" s="6">
        <f t="shared" si="56"/>
        <v>31.178999999999998</v>
      </c>
      <c r="M951" s="6">
        <v>8.74</v>
      </c>
      <c r="N951" s="8">
        <f t="shared" si="57"/>
        <v>13.698999999999998</v>
      </c>
      <c r="O951" s="4" t="s">
        <v>60</v>
      </c>
      <c r="P951" s="4" t="s">
        <v>26</v>
      </c>
      <c r="Q951" s="4">
        <v>4</v>
      </c>
      <c r="R951" s="21">
        <f t="shared" si="58"/>
        <v>0.43936624009750147</v>
      </c>
      <c r="S951" t="str">
        <f t="shared" si="59"/>
        <v>Small</v>
      </c>
    </row>
    <row r="952" spans="1:19" x14ac:dyDescent="0.35">
      <c r="A952" s="4" t="s">
        <v>1388</v>
      </c>
      <c r="B952" s="5">
        <v>46004</v>
      </c>
      <c r="C952" s="4" t="s">
        <v>272</v>
      </c>
      <c r="D952" s="4" t="s">
        <v>43</v>
      </c>
      <c r="E952" s="4" t="s">
        <v>87</v>
      </c>
      <c r="F952" s="4" t="s">
        <v>88</v>
      </c>
      <c r="G952" s="4" t="s">
        <v>31</v>
      </c>
      <c r="H952" s="4" t="s">
        <v>125</v>
      </c>
      <c r="I952" s="4">
        <v>3</v>
      </c>
      <c r="J952" s="6">
        <v>51.39</v>
      </c>
      <c r="K952" s="7">
        <v>0.1</v>
      </c>
      <c r="L952" s="6">
        <f t="shared" si="56"/>
        <v>138.75300000000001</v>
      </c>
      <c r="M952" s="6">
        <v>33.25</v>
      </c>
      <c r="N952" s="8">
        <f t="shared" si="57"/>
        <v>39.003000000000014</v>
      </c>
      <c r="O952" s="4" t="s">
        <v>25</v>
      </c>
      <c r="P952" s="4" t="s">
        <v>56</v>
      </c>
      <c r="Q952" s="4">
        <v>3</v>
      </c>
      <c r="R952" s="21">
        <f t="shared" si="58"/>
        <v>0.28109662493783927</v>
      </c>
      <c r="S952" t="str">
        <f t="shared" si="59"/>
        <v>Small</v>
      </c>
    </row>
    <row r="953" spans="1:19" x14ac:dyDescent="0.35">
      <c r="A953" s="4" t="s">
        <v>1389</v>
      </c>
      <c r="B953" s="5">
        <v>46004</v>
      </c>
      <c r="C953" s="4" t="s">
        <v>587</v>
      </c>
      <c r="D953" s="4" t="s">
        <v>20</v>
      </c>
      <c r="E953" s="4" t="s">
        <v>36</v>
      </c>
      <c r="F953" s="4" t="s">
        <v>48</v>
      </c>
      <c r="G953" s="4" t="s">
        <v>67</v>
      </c>
      <c r="H953" s="4" t="s">
        <v>140</v>
      </c>
      <c r="I953" s="4">
        <v>2</v>
      </c>
      <c r="J953" s="6">
        <v>122.44</v>
      </c>
      <c r="K953" s="7">
        <v>0</v>
      </c>
      <c r="L953" s="6">
        <f t="shared" si="56"/>
        <v>244.88</v>
      </c>
      <c r="M953" s="6">
        <v>74.099999999999994</v>
      </c>
      <c r="N953" s="8">
        <f t="shared" si="57"/>
        <v>96.68</v>
      </c>
      <c r="O953" s="4" t="s">
        <v>60</v>
      </c>
      <c r="P953" s="4" t="s">
        <v>97</v>
      </c>
      <c r="Q953" s="4">
        <v>4</v>
      </c>
      <c r="R953" s="21">
        <f t="shared" si="58"/>
        <v>0.39480561907873246</v>
      </c>
      <c r="S953" t="str">
        <f t="shared" si="59"/>
        <v>Small</v>
      </c>
    </row>
    <row r="954" spans="1:19" x14ac:dyDescent="0.35">
      <c r="A954" s="4" t="s">
        <v>1390</v>
      </c>
      <c r="B954" s="5">
        <v>46005</v>
      </c>
      <c r="C954" s="4" t="s">
        <v>800</v>
      </c>
      <c r="D954" s="4" t="s">
        <v>43</v>
      </c>
      <c r="E954" s="4" t="s">
        <v>87</v>
      </c>
      <c r="F954" s="4" t="s">
        <v>88</v>
      </c>
      <c r="G954" s="4" t="s">
        <v>31</v>
      </c>
      <c r="H954" s="4" t="s">
        <v>125</v>
      </c>
      <c r="I954" s="4">
        <v>2</v>
      </c>
      <c r="J954" s="6">
        <v>32.43</v>
      </c>
      <c r="K954" s="7">
        <v>0</v>
      </c>
      <c r="L954" s="6">
        <f t="shared" si="56"/>
        <v>64.86</v>
      </c>
      <c r="M954" s="6">
        <v>20.21</v>
      </c>
      <c r="N954" s="8">
        <f t="shared" si="57"/>
        <v>24.439999999999998</v>
      </c>
      <c r="O954" s="4" t="s">
        <v>25</v>
      </c>
      <c r="P954" s="4" t="s">
        <v>72</v>
      </c>
      <c r="Q954" s="4">
        <v>4</v>
      </c>
      <c r="R954" s="21">
        <f t="shared" si="58"/>
        <v>0.3768115942028985</v>
      </c>
      <c r="S954" t="str">
        <f t="shared" si="59"/>
        <v>Small</v>
      </c>
    </row>
    <row r="955" spans="1:19" x14ac:dyDescent="0.35">
      <c r="A955" s="4" t="s">
        <v>1391</v>
      </c>
      <c r="B955" s="5">
        <v>46005</v>
      </c>
      <c r="C955" s="4" t="s">
        <v>200</v>
      </c>
      <c r="D955" s="4" t="s">
        <v>20</v>
      </c>
      <c r="E955" s="4" t="s">
        <v>36</v>
      </c>
      <c r="F955" s="4" t="s">
        <v>37</v>
      </c>
      <c r="G955" s="4" t="s">
        <v>31</v>
      </c>
      <c r="H955" s="4" t="s">
        <v>32</v>
      </c>
      <c r="I955" s="4">
        <v>2</v>
      </c>
      <c r="J955" s="6">
        <v>219.19</v>
      </c>
      <c r="K955" s="7">
        <v>0.1</v>
      </c>
      <c r="L955" s="6">
        <f t="shared" si="56"/>
        <v>394.54200000000003</v>
      </c>
      <c r="M955" s="6">
        <v>154.97</v>
      </c>
      <c r="N955" s="8">
        <f t="shared" si="57"/>
        <v>84.602000000000032</v>
      </c>
      <c r="O955" s="4" t="s">
        <v>25</v>
      </c>
      <c r="P955" s="4" t="s">
        <v>118</v>
      </c>
      <c r="Q955" s="4">
        <v>5</v>
      </c>
      <c r="R955" s="21">
        <f t="shared" si="58"/>
        <v>0.21443090976372611</v>
      </c>
      <c r="S955" t="str">
        <f t="shared" si="59"/>
        <v>Small</v>
      </c>
    </row>
    <row r="956" spans="1:19" x14ac:dyDescent="0.35">
      <c r="A956" s="4" t="s">
        <v>1392</v>
      </c>
      <c r="B956" s="5">
        <v>46006</v>
      </c>
      <c r="C956" s="4" t="s">
        <v>144</v>
      </c>
      <c r="D956" s="4" t="s">
        <v>20</v>
      </c>
      <c r="E956" s="4" t="s">
        <v>29</v>
      </c>
      <c r="F956" s="4" t="s">
        <v>108</v>
      </c>
      <c r="G956" s="4" t="s">
        <v>38</v>
      </c>
      <c r="H956" s="4" t="s">
        <v>55</v>
      </c>
      <c r="I956" s="4">
        <v>1</v>
      </c>
      <c r="J956" s="6">
        <v>247.89</v>
      </c>
      <c r="K956" s="7">
        <v>0.15</v>
      </c>
      <c r="L956" s="6">
        <f t="shared" si="56"/>
        <v>210.70649999999998</v>
      </c>
      <c r="M956" s="6">
        <v>204.98</v>
      </c>
      <c r="N956" s="8">
        <f t="shared" si="57"/>
        <v>5.7264999999999873</v>
      </c>
      <c r="O956" s="4" t="s">
        <v>25</v>
      </c>
      <c r="P956" s="4" t="s">
        <v>56</v>
      </c>
      <c r="Q956" s="4">
        <v>5</v>
      </c>
      <c r="R956" s="21">
        <f t="shared" si="58"/>
        <v>2.7177614359310168E-2</v>
      </c>
      <c r="S956" t="str">
        <f t="shared" si="59"/>
        <v>Small</v>
      </c>
    </row>
    <row r="957" spans="1:19" x14ac:dyDescent="0.35">
      <c r="A957" s="4" t="s">
        <v>1393</v>
      </c>
      <c r="B957" s="5">
        <v>46006</v>
      </c>
      <c r="C957" s="4" t="s">
        <v>134</v>
      </c>
      <c r="D957" s="4" t="s">
        <v>43</v>
      </c>
      <c r="E957" s="4" t="s">
        <v>87</v>
      </c>
      <c r="F957" s="4" t="s">
        <v>92</v>
      </c>
      <c r="G957" s="4" t="s">
        <v>23</v>
      </c>
      <c r="H957" s="4" t="s">
        <v>135</v>
      </c>
      <c r="I957" s="4">
        <v>5</v>
      </c>
      <c r="J957" s="6">
        <v>34.049999999999997</v>
      </c>
      <c r="K957" s="7">
        <v>0</v>
      </c>
      <c r="L957" s="6">
        <f t="shared" si="56"/>
        <v>170.25</v>
      </c>
      <c r="M957" s="6">
        <v>21.06</v>
      </c>
      <c r="N957" s="8">
        <f t="shared" si="57"/>
        <v>64.95</v>
      </c>
      <c r="O957" s="4" t="s">
        <v>84</v>
      </c>
      <c r="P957" s="4" t="s">
        <v>118</v>
      </c>
      <c r="Q957" s="4">
        <v>3</v>
      </c>
      <c r="R957" s="21">
        <f t="shared" si="58"/>
        <v>0.38149779735682821</v>
      </c>
      <c r="S957" t="str">
        <f t="shared" si="59"/>
        <v>Small</v>
      </c>
    </row>
    <row r="958" spans="1:19" x14ac:dyDescent="0.35">
      <c r="A958" s="4" t="s">
        <v>1394</v>
      </c>
      <c r="B958" s="5">
        <v>46007</v>
      </c>
      <c r="C958" s="4" t="s">
        <v>335</v>
      </c>
      <c r="D958" s="4" t="s">
        <v>47</v>
      </c>
      <c r="E958" s="4" t="s">
        <v>87</v>
      </c>
      <c r="F958" s="4" t="s">
        <v>92</v>
      </c>
      <c r="G958" s="4" t="s">
        <v>23</v>
      </c>
      <c r="H958" s="4" t="s">
        <v>135</v>
      </c>
      <c r="I958" s="4">
        <v>5</v>
      </c>
      <c r="J958" s="6">
        <v>34.090000000000003</v>
      </c>
      <c r="K958" s="7">
        <v>0.15</v>
      </c>
      <c r="L958" s="6">
        <f t="shared" si="56"/>
        <v>144.88250000000002</v>
      </c>
      <c r="M958" s="6">
        <v>13.88</v>
      </c>
      <c r="N958" s="8">
        <f t="shared" si="57"/>
        <v>75.482500000000016</v>
      </c>
      <c r="O958" s="4" t="s">
        <v>84</v>
      </c>
      <c r="P958" s="4" t="s">
        <v>72</v>
      </c>
      <c r="Q958" s="4">
        <v>5</v>
      </c>
      <c r="R958" s="21">
        <f t="shared" si="58"/>
        <v>0.52099114799924084</v>
      </c>
      <c r="S958" t="str">
        <f t="shared" si="59"/>
        <v>Small</v>
      </c>
    </row>
    <row r="959" spans="1:19" x14ac:dyDescent="0.35">
      <c r="A959" s="4" t="s">
        <v>1395</v>
      </c>
      <c r="B959" s="5">
        <v>46007</v>
      </c>
      <c r="C959" s="4" t="s">
        <v>209</v>
      </c>
      <c r="D959" s="4" t="s">
        <v>47</v>
      </c>
      <c r="E959" s="4" t="s">
        <v>21</v>
      </c>
      <c r="F959" s="4" t="s">
        <v>59</v>
      </c>
      <c r="G959" s="4" t="s">
        <v>38</v>
      </c>
      <c r="H959" s="4" t="s">
        <v>55</v>
      </c>
      <c r="I959" s="4">
        <v>2</v>
      </c>
      <c r="J959" s="6">
        <v>171.91</v>
      </c>
      <c r="K959" s="7">
        <v>0</v>
      </c>
      <c r="L959" s="6">
        <f t="shared" si="56"/>
        <v>343.82</v>
      </c>
      <c r="M959" s="6">
        <v>134.61000000000001</v>
      </c>
      <c r="N959" s="8">
        <f t="shared" si="57"/>
        <v>74.599999999999966</v>
      </c>
      <c r="O959" s="4" t="s">
        <v>25</v>
      </c>
      <c r="P959" s="4" t="s">
        <v>61</v>
      </c>
      <c r="Q959" s="4">
        <v>2</v>
      </c>
      <c r="R959" s="21">
        <f t="shared" si="58"/>
        <v>0.21697399802222084</v>
      </c>
      <c r="S959" t="str">
        <f t="shared" si="59"/>
        <v>Small</v>
      </c>
    </row>
    <row r="960" spans="1:19" x14ac:dyDescent="0.35">
      <c r="A960" s="4" t="s">
        <v>1396</v>
      </c>
      <c r="B960" s="5">
        <v>46007</v>
      </c>
      <c r="C960" s="4" t="s">
        <v>402</v>
      </c>
      <c r="D960" s="4" t="s">
        <v>43</v>
      </c>
      <c r="E960" s="4" t="s">
        <v>87</v>
      </c>
      <c r="F960" s="4" t="s">
        <v>124</v>
      </c>
      <c r="G960" s="4" t="s">
        <v>38</v>
      </c>
      <c r="H960" s="4" t="s">
        <v>39</v>
      </c>
      <c r="I960" s="4">
        <v>8</v>
      </c>
      <c r="J960" s="6">
        <v>163.72</v>
      </c>
      <c r="K960" s="7">
        <v>0.1</v>
      </c>
      <c r="L960" s="6">
        <f t="shared" si="56"/>
        <v>1178.7840000000001</v>
      </c>
      <c r="M960" s="6">
        <v>124.49</v>
      </c>
      <c r="N960" s="8">
        <f t="shared" si="57"/>
        <v>182.86400000000015</v>
      </c>
      <c r="O960" s="4" t="s">
        <v>60</v>
      </c>
      <c r="P960" s="4" t="s">
        <v>97</v>
      </c>
      <c r="Q960" s="4">
        <v>3</v>
      </c>
      <c r="R960" s="21">
        <f t="shared" si="58"/>
        <v>0.15512935363900437</v>
      </c>
      <c r="S960" t="str">
        <f t="shared" si="59"/>
        <v>Medium</v>
      </c>
    </row>
    <row r="961" spans="1:19" x14ac:dyDescent="0.35">
      <c r="A961" s="4" t="s">
        <v>1397</v>
      </c>
      <c r="B961" s="5">
        <v>46008</v>
      </c>
      <c r="C961" s="4" t="s">
        <v>183</v>
      </c>
      <c r="D961" s="4" t="s">
        <v>20</v>
      </c>
      <c r="E961" s="4" t="s">
        <v>87</v>
      </c>
      <c r="F961" s="4" t="s">
        <v>124</v>
      </c>
      <c r="G961" s="4" t="s">
        <v>49</v>
      </c>
      <c r="H961" s="4" t="s">
        <v>187</v>
      </c>
      <c r="I961" s="4">
        <v>8</v>
      </c>
      <c r="J961" s="6">
        <v>164.06</v>
      </c>
      <c r="K961" s="7">
        <v>0</v>
      </c>
      <c r="L961" s="6">
        <f t="shared" si="56"/>
        <v>1312.48</v>
      </c>
      <c r="M961" s="6">
        <v>107.69</v>
      </c>
      <c r="N961" s="8">
        <f t="shared" si="57"/>
        <v>450.96000000000004</v>
      </c>
      <c r="O961" s="4" t="s">
        <v>51</v>
      </c>
      <c r="P961" s="4" t="s">
        <v>33</v>
      </c>
      <c r="Q961" s="4">
        <v>3</v>
      </c>
      <c r="R961" s="21">
        <f t="shared" si="58"/>
        <v>0.34359380714372795</v>
      </c>
      <c r="S961" t="str">
        <f t="shared" si="59"/>
        <v>Medium</v>
      </c>
    </row>
    <row r="962" spans="1:19" x14ac:dyDescent="0.35">
      <c r="A962" s="4" t="s">
        <v>1398</v>
      </c>
      <c r="B962" s="5">
        <v>46008</v>
      </c>
      <c r="C962" s="4" t="s">
        <v>1399</v>
      </c>
      <c r="D962" s="4" t="s">
        <v>43</v>
      </c>
      <c r="E962" s="4" t="s">
        <v>87</v>
      </c>
      <c r="F962" s="4" t="s">
        <v>92</v>
      </c>
      <c r="G962" s="4" t="s">
        <v>31</v>
      </c>
      <c r="H962" s="4" t="s">
        <v>147</v>
      </c>
      <c r="I962" s="4">
        <v>5</v>
      </c>
      <c r="J962" s="6">
        <v>30.63</v>
      </c>
      <c r="K962" s="7">
        <v>0.1</v>
      </c>
      <c r="L962" s="6">
        <f t="shared" ref="L962:L1001" si="60">I962*J962*(1-K962)</f>
        <v>137.83500000000001</v>
      </c>
      <c r="M962" s="6">
        <v>20.46</v>
      </c>
      <c r="N962" s="8">
        <f t="shared" ref="N962:N1001" si="61">L962-I962*M962</f>
        <v>35.534999999999997</v>
      </c>
      <c r="O962" s="4" t="s">
        <v>84</v>
      </c>
      <c r="P962" s="4" t="s">
        <v>97</v>
      </c>
      <c r="Q962" s="4">
        <v>4</v>
      </c>
      <c r="R962" s="21">
        <f t="shared" si="58"/>
        <v>0.25780824899336158</v>
      </c>
      <c r="S962" t="str">
        <f t="shared" si="59"/>
        <v>Small</v>
      </c>
    </row>
    <row r="963" spans="1:19" x14ac:dyDescent="0.35">
      <c r="A963" s="4" t="s">
        <v>1400</v>
      </c>
      <c r="B963" s="5">
        <v>46009</v>
      </c>
      <c r="C963" s="4" t="s">
        <v>176</v>
      </c>
      <c r="D963" s="4" t="s">
        <v>20</v>
      </c>
      <c r="E963" s="4" t="s">
        <v>36</v>
      </c>
      <c r="F963" s="4" t="s">
        <v>48</v>
      </c>
      <c r="G963" s="4" t="s">
        <v>38</v>
      </c>
      <c r="H963" s="4" t="s">
        <v>55</v>
      </c>
      <c r="I963" s="4">
        <v>6</v>
      </c>
      <c r="J963" s="6">
        <v>49.04</v>
      </c>
      <c r="K963" s="7">
        <v>0</v>
      </c>
      <c r="L963" s="6">
        <f t="shared" si="60"/>
        <v>294.24</v>
      </c>
      <c r="M963" s="6">
        <v>37.049999999999997</v>
      </c>
      <c r="N963" s="8">
        <f t="shared" si="61"/>
        <v>71.940000000000026</v>
      </c>
      <c r="O963" s="4" t="s">
        <v>84</v>
      </c>
      <c r="P963" s="4" t="s">
        <v>72</v>
      </c>
      <c r="Q963" s="4">
        <v>4</v>
      </c>
      <c r="R963" s="21">
        <f t="shared" ref="R963:R1001" si="62">IF(L963=0,0,N963/L963)</f>
        <v>0.24449429037520401</v>
      </c>
      <c r="S963" t="str">
        <f t="shared" ref="S963:S1001" si="63">IF(L963&gt;=2000,"Large",IF(L963&gt;=500,"Medium","Small"))</f>
        <v>Small</v>
      </c>
    </row>
    <row r="964" spans="1:19" x14ac:dyDescent="0.35">
      <c r="A964" s="4" t="s">
        <v>1401</v>
      </c>
      <c r="B964" s="5">
        <v>46009</v>
      </c>
      <c r="C964" s="4" t="s">
        <v>382</v>
      </c>
      <c r="D964" s="4" t="s">
        <v>47</v>
      </c>
      <c r="E964" s="4" t="s">
        <v>36</v>
      </c>
      <c r="F964" s="4" t="s">
        <v>37</v>
      </c>
      <c r="G964" s="4" t="s">
        <v>31</v>
      </c>
      <c r="H964" s="4" t="s">
        <v>64</v>
      </c>
      <c r="I964" s="4">
        <v>1</v>
      </c>
      <c r="J964" s="6">
        <v>42.26</v>
      </c>
      <c r="K964" s="7">
        <v>0.1</v>
      </c>
      <c r="L964" s="6">
        <f t="shared" si="60"/>
        <v>38.033999999999999</v>
      </c>
      <c r="M964" s="6">
        <v>30.7</v>
      </c>
      <c r="N964" s="8">
        <f t="shared" si="61"/>
        <v>7.3339999999999996</v>
      </c>
      <c r="O964" s="4" t="s">
        <v>40</v>
      </c>
      <c r="P964" s="4" t="s">
        <v>33</v>
      </c>
      <c r="Q964" s="4">
        <v>5</v>
      </c>
      <c r="R964" s="21">
        <f t="shared" si="62"/>
        <v>0.19282747015827942</v>
      </c>
      <c r="S964" t="str">
        <f t="shared" si="63"/>
        <v>Small</v>
      </c>
    </row>
    <row r="965" spans="1:19" x14ac:dyDescent="0.35">
      <c r="A965" s="4" t="s">
        <v>1402</v>
      </c>
      <c r="B965" s="5">
        <v>46009</v>
      </c>
      <c r="C965" s="4" t="s">
        <v>1403</v>
      </c>
      <c r="D965" s="4" t="s">
        <v>47</v>
      </c>
      <c r="E965" s="4" t="s">
        <v>36</v>
      </c>
      <c r="F965" s="4" t="s">
        <v>201</v>
      </c>
      <c r="G965" s="4" t="s">
        <v>23</v>
      </c>
      <c r="H965" s="4" t="s">
        <v>44</v>
      </c>
      <c r="I965" s="4">
        <v>8</v>
      </c>
      <c r="J965" s="6">
        <v>58.44</v>
      </c>
      <c r="K965" s="7">
        <v>0</v>
      </c>
      <c r="L965" s="6">
        <f t="shared" si="60"/>
        <v>467.52</v>
      </c>
      <c r="M965" s="6">
        <v>25.13</v>
      </c>
      <c r="N965" s="8">
        <f t="shared" si="61"/>
        <v>266.48</v>
      </c>
      <c r="O965" s="4" t="s">
        <v>40</v>
      </c>
      <c r="P965" s="4" t="s">
        <v>97</v>
      </c>
      <c r="Q965" s="4">
        <v>4</v>
      </c>
      <c r="R965" s="21">
        <f t="shared" si="62"/>
        <v>0.56998631074606443</v>
      </c>
      <c r="S965" t="str">
        <f t="shared" si="63"/>
        <v>Small</v>
      </c>
    </row>
    <row r="966" spans="1:19" x14ac:dyDescent="0.35">
      <c r="A966" s="4" t="s">
        <v>1404</v>
      </c>
      <c r="B966" s="5">
        <v>46009</v>
      </c>
      <c r="C966" s="4" t="s">
        <v>732</v>
      </c>
      <c r="D966" s="4" t="s">
        <v>43</v>
      </c>
      <c r="E966" s="4" t="s">
        <v>21</v>
      </c>
      <c r="F966" s="4" t="s">
        <v>22</v>
      </c>
      <c r="G966" s="4" t="s">
        <v>49</v>
      </c>
      <c r="H966" s="4" t="s">
        <v>187</v>
      </c>
      <c r="I966" s="4">
        <v>10</v>
      </c>
      <c r="J966" s="6">
        <v>143.77000000000001</v>
      </c>
      <c r="K966" s="7">
        <v>0.1</v>
      </c>
      <c r="L966" s="6">
        <f t="shared" si="60"/>
        <v>1293.93</v>
      </c>
      <c r="M966" s="6">
        <v>101.37</v>
      </c>
      <c r="N966" s="8">
        <f t="shared" si="61"/>
        <v>280.23</v>
      </c>
      <c r="O966" s="4" t="s">
        <v>84</v>
      </c>
      <c r="P966" s="4" t="s">
        <v>26</v>
      </c>
      <c r="Q966" s="4">
        <v>5</v>
      </c>
      <c r="R966" s="21">
        <f t="shared" si="62"/>
        <v>0.21657276668753334</v>
      </c>
      <c r="S966" t="str">
        <f t="shared" si="63"/>
        <v>Medium</v>
      </c>
    </row>
    <row r="967" spans="1:19" x14ac:dyDescent="0.35">
      <c r="A967" s="4" t="s">
        <v>1405</v>
      </c>
      <c r="B967" s="5">
        <v>46010</v>
      </c>
      <c r="C967" s="4" t="s">
        <v>1182</v>
      </c>
      <c r="D967" s="4" t="s">
        <v>20</v>
      </c>
      <c r="E967" s="4" t="s">
        <v>36</v>
      </c>
      <c r="F967" s="4" t="s">
        <v>37</v>
      </c>
      <c r="G967" s="4" t="s">
        <v>49</v>
      </c>
      <c r="H967" s="4" t="s">
        <v>187</v>
      </c>
      <c r="I967" s="4">
        <v>4</v>
      </c>
      <c r="J967" s="6">
        <v>38.5</v>
      </c>
      <c r="K967" s="7">
        <v>0.15</v>
      </c>
      <c r="L967" s="6">
        <f t="shared" si="60"/>
        <v>130.9</v>
      </c>
      <c r="M967" s="6">
        <v>28.07</v>
      </c>
      <c r="N967" s="8">
        <f t="shared" si="61"/>
        <v>18.620000000000005</v>
      </c>
      <c r="O967" s="4" t="s">
        <v>25</v>
      </c>
      <c r="P967" s="4" t="s">
        <v>97</v>
      </c>
      <c r="Q967" s="4">
        <v>4</v>
      </c>
      <c r="R967" s="21">
        <f t="shared" si="62"/>
        <v>0.14224598930481286</v>
      </c>
      <c r="S967" t="str">
        <f t="shared" si="63"/>
        <v>Small</v>
      </c>
    </row>
    <row r="968" spans="1:19" x14ac:dyDescent="0.35">
      <c r="A968" s="4" t="s">
        <v>1406</v>
      </c>
      <c r="B968" s="5">
        <v>46010</v>
      </c>
      <c r="C968" s="4" t="s">
        <v>205</v>
      </c>
      <c r="D968" s="4" t="s">
        <v>20</v>
      </c>
      <c r="E968" s="4" t="s">
        <v>29</v>
      </c>
      <c r="F968" s="4" t="s">
        <v>54</v>
      </c>
      <c r="G968" s="4" t="s">
        <v>67</v>
      </c>
      <c r="H968" s="4" t="s">
        <v>140</v>
      </c>
      <c r="I968" s="4">
        <v>3</v>
      </c>
      <c r="J968" s="6">
        <v>75.790000000000006</v>
      </c>
      <c r="K968" s="7">
        <v>0</v>
      </c>
      <c r="L968" s="6">
        <f t="shared" si="60"/>
        <v>227.37</v>
      </c>
      <c r="M968" s="6">
        <v>59.1</v>
      </c>
      <c r="N968" s="8">
        <f t="shared" si="61"/>
        <v>50.069999999999993</v>
      </c>
      <c r="O968" s="4" t="s">
        <v>25</v>
      </c>
      <c r="P968" s="4" t="s">
        <v>56</v>
      </c>
      <c r="Q968" s="4">
        <v>5</v>
      </c>
      <c r="R968" s="21">
        <f t="shared" si="62"/>
        <v>0.22021374851563527</v>
      </c>
      <c r="S968" t="str">
        <f t="shared" si="63"/>
        <v>Small</v>
      </c>
    </row>
    <row r="969" spans="1:19" x14ac:dyDescent="0.35">
      <c r="A969" s="4" t="s">
        <v>1407</v>
      </c>
      <c r="B969" s="5">
        <v>46010</v>
      </c>
      <c r="C969" s="4" t="s">
        <v>711</v>
      </c>
      <c r="D969" s="4" t="s">
        <v>47</v>
      </c>
      <c r="E969" s="4" t="s">
        <v>29</v>
      </c>
      <c r="F969" s="4" t="s">
        <v>108</v>
      </c>
      <c r="G969" s="4" t="s">
        <v>31</v>
      </c>
      <c r="H969" s="4" t="s">
        <v>32</v>
      </c>
      <c r="I969" s="4">
        <v>2</v>
      </c>
      <c r="J969" s="6">
        <v>255.02</v>
      </c>
      <c r="K969" s="7">
        <v>0.2</v>
      </c>
      <c r="L969" s="6">
        <f t="shared" si="60"/>
        <v>408.03200000000004</v>
      </c>
      <c r="M969" s="6">
        <v>148.55000000000001</v>
      </c>
      <c r="N969" s="8">
        <f t="shared" si="61"/>
        <v>110.93200000000002</v>
      </c>
      <c r="O969" s="4" t="s">
        <v>51</v>
      </c>
      <c r="P969" s="4" t="s">
        <v>56</v>
      </c>
      <c r="Q969" s="4">
        <v>4</v>
      </c>
      <c r="R969" s="21">
        <f t="shared" si="62"/>
        <v>0.27187083366010512</v>
      </c>
      <c r="S969" t="str">
        <f t="shared" si="63"/>
        <v>Small</v>
      </c>
    </row>
    <row r="970" spans="1:19" x14ac:dyDescent="0.35">
      <c r="A970" s="4" t="s">
        <v>1408</v>
      </c>
      <c r="B970" s="5">
        <v>46011</v>
      </c>
      <c r="C970" s="4" t="s">
        <v>1267</v>
      </c>
      <c r="D970" s="4" t="s">
        <v>43</v>
      </c>
      <c r="E970" s="4" t="s">
        <v>87</v>
      </c>
      <c r="F970" s="4" t="s">
        <v>92</v>
      </c>
      <c r="G970" s="4" t="s">
        <v>31</v>
      </c>
      <c r="H970" s="4" t="s">
        <v>147</v>
      </c>
      <c r="I970" s="4">
        <v>3</v>
      </c>
      <c r="J970" s="6">
        <v>79.680000000000007</v>
      </c>
      <c r="K970" s="7">
        <v>0.1</v>
      </c>
      <c r="L970" s="6">
        <f t="shared" si="60"/>
        <v>215.13600000000002</v>
      </c>
      <c r="M970" s="6">
        <v>57.89</v>
      </c>
      <c r="N970" s="8">
        <f t="shared" si="61"/>
        <v>41.466000000000008</v>
      </c>
      <c r="O970" s="4" t="s">
        <v>40</v>
      </c>
      <c r="P970" s="4" t="s">
        <v>75</v>
      </c>
      <c r="Q970" s="4">
        <v>4</v>
      </c>
      <c r="R970" s="21">
        <f t="shared" si="62"/>
        <v>0.19274319500223117</v>
      </c>
      <c r="S970" t="str">
        <f t="shared" si="63"/>
        <v>Small</v>
      </c>
    </row>
    <row r="971" spans="1:19" x14ac:dyDescent="0.35">
      <c r="A971" s="4" t="s">
        <v>1409</v>
      </c>
      <c r="B971" s="5">
        <v>46011</v>
      </c>
      <c r="C971" s="4" t="s">
        <v>463</v>
      </c>
      <c r="D971" s="4" t="s">
        <v>47</v>
      </c>
      <c r="E971" s="4" t="s">
        <v>29</v>
      </c>
      <c r="F971" s="4" t="s">
        <v>108</v>
      </c>
      <c r="G971" s="4" t="s">
        <v>31</v>
      </c>
      <c r="H971" s="4" t="s">
        <v>32</v>
      </c>
      <c r="I971" s="4">
        <v>4</v>
      </c>
      <c r="J971" s="6">
        <v>259.2</v>
      </c>
      <c r="K971" s="7">
        <v>0.05</v>
      </c>
      <c r="L971" s="6">
        <f t="shared" si="60"/>
        <v>984.95999999999992</v>
      </c>
      <c r="M971" s="6">
        <v>167.3</v>
      </c>
      <c r="N971" s="8">
        <f t="shared" si="61"/>
        <v>315.75999999999988</v>
      </c>
      <c r="O971" s="4" t="s">
        <v>51</v>
      </c>
      <c r="P971" s="4" t="s">
        <v>61</v>
      </c>
      <c r="Q971" s="4">
        <v>1</v>
      </c>
      <c r="R971" s="21">
        <f t="shared" si="62"/>
        <v>0.32058154645873932</v>
      </c>
      <c r="S971" t="str">
        <f t="shared" si="63"/>
        <v>Medium</v>
      </c>
    </row>
    <row r="972" spans="1:19" x14ac:dyDescent="0.35">
      <c r="A972" s="4" t="s">
        <v>1410</v>
      </c>
      <c r="B972" s="5">
        <v>46011</v>
      </c>
      <c r="C972" s="4" t="s">
        <v>127</v>
      </c>
      <c r="D972" s="4" t="s">
        <v>20</v>
      </c>
      <c r="E972" s="4" t="s">
        <v>21</v>
      </c>
      <c r="F972" s="4" t="s">
        <v>59</v>
      </c>
      <c r="G972" s="4" t="s">
        <v>49</v>
      </c>
      <c r="H972" s="4" t="s">
        <v>50</v>
      </c>
      <c r="I972" s="4">
        <v>2</v>
      </c>
      <c r="J972" s="6">
        <v>23.11</v>
      </c>
      <c r="K972" s="7">
        <v>0.15</v>
      </c>
      <c r="L972" s="6">
        <f t="shared" si="60"/>
        <v>39.286999999999999</v>
      </c>
      <c r="M972" s="6">
        <v>15.43</v>
      </c>
      <c r="N972" s="8">
        <f t="shared" si="61"/>
        <v>8.4269999999999996</v>
      </c>
      <c r="O972" s="4" t="s">
        <v>25</v>
      </c>
      <c r="P972" s="4" t="s">
        <v>118</v>
      </c>
      <c r="Q972" s="4">
        <v>5</v>
      </c>
      <c r="R972" s="21">
        <f t="shared" si="62"/>
        <v>0.21449843459668591</v>
      </c>
      <c r="S972" t="str">
        <f t="shared" si="63"/>
        <v>Small</v>
      </c>
    </row>
    <row r="973" spans="1:19" x14ac:dyDescent="0.35">
      <c r="A973" s="4" t="s">
        <v>1411</v>
      </c>
      <c r="B973" s="5">
        <v>46011</v>
      </c>
      <c r="C973" s="4" t="s">
        <v>1037</v>
      </c>
      <c r="D973" s="4" t="s">
        <v>20</v>
      </c>
      <c r="E973" s="4" t="s">
        <v>36</v>
      </c>
      <c r="F973" s="4" t="s">
        <v>48</v>
      </c>
      <c r="G973" s="4" t="s">
        <v>38</v>
      </c>
      <c r="H973" s="4" t="s">
        <v>96</v>
      </c>
      <c r="I973" s="4">
        <v>1</v>
      </c>
      <c r="J973" s="6">
        <v>581.04</v>
      </c>
      <c r="K973" s="7">
        <v>0.1</v>
      </c>
      <c r="L973" s="6">
        <f t="shared" si="60"/>
        <v>522.93600000000004</v>
      </c>
      <c r="M973" s="6">
        <v>494.65</v>
      </c>
      <c r="N973" s="8">
        <f t="shared" si="61"/>
        <v>28.286000000000058</v>
      </c>
      <c r="O973" s="4" t="s">
        <v>25</v>
      </c>
      <c r="P973" s="4" t="s">
        <v>97</v>
      </c>
      <c r="Q973" s="4">
        <v>5</v>
      </c>
      <c r="R973" s="21">
        <f t="shared" si="62"/>
        <v>5.4090749154772397E-2</v>
      </c>
      <c r="S973" t="str">
        <f t="shared" si="63"/>
        <v>Medium</v>
      </c>
    </row>
    <row r="974" spans="1:19" x14ac:dyDescent="0.35">
      <c r="A974" s="4" t="s">
        <v>1412</v>
      </c>
      <c r="B974" s="5">
        <v>46011</v>
      </c>
      <c r="C974" s="4" t="s">
        <v>1179</v>
      </c>
      <c r="D974" s="4" t="s">
        <v>43</v>
      </c>
      <c r="E974" s="4" t="s">
        <v>36</v>
      </c>
      <c r="F974" s="4" t="s">
        <v>201</v>
      </c>
      <c r="G974" s="4" t="s">
        <v>31</v>
      </c>
      <c r="H974" s="4" t="s">
        <v>125</v>
      </c>
      <c r="I974" s="4">
        <v>3</v>
      </c>
      <c r="J974" s="6">
        <v>173.6</v>
      </c>
      <c r="K974" s="7">
        <v>0.1</v>
      </c>
      <c r="L974" s="6">
        <f t="shared" si="60"/>
        <v>468.71999999999997</v>
      </c>
      <c r="M974" s="6">
        <v>100.46</v>
      </c>
      <c r="N974" s="8">
        <f t="shared" si="61"/>
        <v>167.33999999999997</v>
      </c>
      <c r="O974" s="4" t="s">
        <v>25</v>
      </c>
      <c r="P974" s="4" t="s">
        <v>56</v>
      </c>
      <c r="Q974" s="4">
        <v>5</v>
      </c>
      <c r="R974" s="21">
        <f t="shared" si="62"/>
        <v>0.35701484895033281</v>
      </c>
      <c r="S974" t="str">
        <f t="shared" si="63"/>
        <v>Small</v>
      </c>
    </row>
    <row r="975" spans="1:19" x14ac:dyDescent="0.35">
      <c r="A975" s="4" t="s">
        <v>1413</v>
      </c>
      <c r="B975" s="5">
        <v>46012</v>
      </c>
      <c r="C975" s="4" t="s">
        <v>365</v>
      </c>
      <c r="D975" s="4" t="s">
        <v>43</v>
      </c>
      <c r="E975" s="4" t="s">
        <v>87</v>
      </c>
      <c r="F975" s="4" t="s">
        <v>92</v>
      </c>
      <c r="G975" s="4" t="s">
        <v>38</v>
      </c>
      <c r="H975" s="4" t="s">
        <v>96</v>
      </c>
      <c r="I975" s="4">
        <v>1</v>
      </c>
      <c r="J975" s="6">
        <v>322.11</v>
      </c>
      <c r="K975" s="7">
        <v>0.15</v>
      </c>
      <c r="L975" s="6">
        <f t="shared" si="60"/>
        <v>273.79349999999999</v>
      </c>
      <c r="M975" s="6">
        <v>265.88</v>
      </c>
      <c r="N975" s="8">
        <f t="shared" si="61"/>
        <v>7.9134999999999991</v>
      </c>
      <c r="O975" s="4" t="s">
        <v>25</v>
      </c>
      <c r="P975" s="4" t="s">
        <v>26</v>
      </c>
      <c r="Q975" s="4">
        <v>5</v>
      </c>
      <c r="R975" s="21">
        <f t="shared" si="62"/>
        <v>2.8903169724628228E-2</v>
      </c>
      <c r="S975" t="str">
        <f t="shared" si="63"/>
        <v>Small</v>
      </c>
    </row>
    <row r="976" spans="1:19" x14ac:dyDescent="0.35">
      <c r="A976" s="4" t="s">
        <v>1414</v>
      </c>
      <c r="B976" s="5">
        <v>46013</v>
      </c>
      <c r="C976" s="4" t="s">
        <v>1415</v>
      </c>
      <c r="D976" s="4" t="s">
        <v>20</v>
      </c>
      <c r="E976" s="4" t="s">
        <v>36</v>
      </c>
      <c r="F976" s="4" t="s">
        <v>37</v>
      </c>
      <c r="G976" s="4" t="s">
        <v>31</v>
      </c>
      <c r="H976" s="4" t="s">
        <v>125</v>
      </c>
      <c r="I976" s="4">
        <v>4</v>
      </c>
      <c r="J976" s="6">
        <v>84.87</v>
      </c>
      <c r="K976" s="7">
        <v>0.05</v>
      </c>
      <c r="L976" s="6">
        <f t="shared" si="60"/>
        <v>322.50600000000003</v>
      </c>
      <c r="M976" s="6">
        <v>61.76</v>
      </c>
      <c r="N976" s="8">
        <f t="shared" si="61"/>
        <v>75.466000000000037</v>
      </c>
      <c r="O976" s="4" t="s">
        <v>51</v>
      </c>
      <c r="P976" s="4" t="s">
        <v>61</v>
      </c>
      <c r="Q976" s="4">
        <v>4</v>
      </c>
      <c r="R976" s="21">
        <f t="shared" si="62"/>
        <v>0.23399874731012765</v>
      </c>
      <c r="S976" t="str">
        <f t="shared" si="63"/>
        <v>Small</v>
      </c>
    </row>
    <row r="977" spans="1:19" x14ac:dyDescent="0.35">
      <c r="A977" s="4" t="s">
        <v>1416</v>
      </c>
      <c r="B977" s="5">
        <v>46014</v>
      </c>
      <c r="C977" s="4" t="s">
        <v>333</v>
      </c>
      <c r="D977" s="4" t="s">
        <v>43</v>
      </c>
      <c r="E977" s="4" t="s">
        <v>29</v>
      </c>
      <c r="F977" s="4" t="s">
        <v>30</v>
      </c>
      <c r="G977" s="4" t="s">
        <v>31</v>
      </c>
      <c r="H977" s="4" t="s">
        <v>125</v>
      </c>
      <c r="I977" s="4">
        <v>1</v>
      </c>
      <c r="J977" s="6">
        <v>45.87</v>
      </c>
      <c r="K977" s="7">
        <v>0</v>
      </c>
      <c r="L977" s="6">
        <f t="shared" si="60"/>
        <v>45.87</v>
      </c>
      <c r="M977" s="6">
        <v>27.87</v>
      </c>
      <c r="N977" s="8">
        <f t="shared" si="61"/>
        <v>17.999999999999996</v>
      </c>
      <c r="O977" s="4" t="s">
        <v>84</v>
      </c>
      <c r="P977" s="4" t="s">
        <v>97</v>
      </c>
      <c r="Q977" s="4">
        <v>2</v>
      </c>
      <c r="R977" s="21">
        <f t="shared" si="62"/>
        <v>0.39241334205362977</v>
      </c>
      <c r="S977" t="str">
        <f t="shared" si="63"/>
        <v>Small</v>
      </c>
    </row>
    <row r="978" spans="1:19" x14ac:dyDescent="0.35">
      <c r="A978" s="4" t="s">
        <v>1417</v>
      </c>
      <c r="B978" s="5">
        <v>46014</v>
      </c>
      <c r="C978" s="4" t="s">
        <v>1037</v>
      </c>
      <c r="D978" s="4" t="s">
        <v>47</v>
      </c>
      <c r="E978" s="4" t="s">
        <v>36</v>
      </c>
      <c r="F978" s="4" t="s">
        <v>48</v>
      </c>
      <c r="G978" s="4" t="s">
        <v>49</v>
      </c>
      <c r="H978" s="4" t="s">
        <v>78</v>
      </c>
      <c r="I978" s="4">
        <v>2</v>
      </c>
      <c r="J978" s="6">
        <v>548.72</v>
      </c>
      <c r="K978" s="7">
        <v>0</v>
      </c>
      <c r="L978" s="6">
        <f t="shared" si="60"/>
        <v>1097.44</v>
      </c>
      <c r="M978" s="6">
        <v>305.01</v>
      </c>
      <c r="N978" s="8">
        <f t="shared" si="61"/>
        <v>487.42000000000007</v>
      </c>
      <c r="O978" s="4" t="s">
        <v>25</v>
      </c>
      <c r="P978" s="4" t="s">
        <v>75</v>
      </c>
      <c r="Q978" s="4">
        <v>4</v>
      </c>
      <c r="R978" s="21">
        <f t="shared" si="62"/>
        <v>0.44414273217670219</v>
      </c>
      <c r="S978" t="str">
        <f t="shared" si="63"/>
        <v>Medium</v>
      </c>
    </row>
    <row r="979" spans="1:19" x14ac:dyDescent="0.35">
      <c r="A979" s="4" t="s">
        <v>1418</v>
      </c>
      <c r="B979" s="5">
        <v>46014</v>
      </c>
      <c r="C979" s="4" t="s">
        <v>120</v>
      </c>
      <c r="D979" s="4" t="s">
        <v>20</v>
      </c>
      <c r="E979" s="4" t="s">
        <v>87</v>
      </c>
      <c r="F979" s="4" t="s">
        <v>88</v>
      </c>
      <c r="G979" s="4" t="s">
        <v>31</v>
      </c>
      <c r="H979" s="4" t="s">
        <v>125</v>
      </c>
      <c r="I979" s="4">
        <v>1</v>
      </c>
      <c r="J979" s="6">
        <v>71.709999999999994</v>
      </c>
      <c r="K979" s="7">
        <v>0</v>
      </c>
      <c r="L979" s="6">
        <f t="shared" si="60"/>
        <v>71.709999999999994</v>
      </c>
      <c r="M979" s="6">
        <v>50.54</v>
      </c>
      <c r="N979" s="8">
        <f t="shared" si="61"/>
        <v>21.169999999999995</v>
      </c>
      <c r="O979" s="4" t="s">
        <v>40</v>
      </c>
      <c r="P979" s="4" t="s">
        <v>26</v>
      </c>
      <c r="Q979" s="4">
        <v>4</v>
      </c>
      <c r="R979" s="21">
        <f t="shared" si="62"/>
        <v>0.29521684562822476</v>
      </c>
      <c r="S979" t="str">
        <f t="shared" si="63"/>
        <v>Small</v>
      </c>
    </row>
    <row r="980" spans="1:19" x14ac:dyDescent="0.35">
      <c r="A980" s="4" t="s">
        <v>1419</v>
      </c>
      <c r="B980" s="5">
        <v>46014</v>
      </c>
      <c r="C980" s="4" t="s">
        <v>195</v>
      </c>
      <c r="D980" s="4" t="s">
        <v>20</v>
      </c>
      <c r="E980" s="4" t="s">
        <v>29</v>
      </c>
      <c r="F980" s="4" t="s">
        <v>108</v>
      </c>
      <c r="G980" s="4" t="s">
        <v>23</v>
      </c>
      <c r="H980" s="4" t="s">
        <v>24</v>
      </c>
      <c r="I980" s="4">
        <v>3</v>
      </c>
      <c r="J980" s="6">
        <v>51.8</v>
      </c>
      <c r="K980" s="7">
        <v>0.15</v>
      </c>
      <c r="L980" s="6">
        <f t="shared" si="60"/>
        <v>132.08999999999997</v>
      </c>
      <c r="M980" s="6">
        <v>22.69</v>
      </c>
      <c r="N980" s="8">
        <f t="shared" si="61"/>
        <v>64.019999999999968</v>
      </c>
      <c r="O980" s="4" t="s">
        <v>25</v>
      </c>
      <c r="P980" s="4" t="s">
        <v>118</v>
      </c>
      <c r="Q980" s="4">
        <v>5</v>
      </c>
      <c r="R980" s="21">
        <f t="shared" si="62"/>
        <v>0.48466954349307273</v>
      </c>
      <c r="S980" t="str">
        <f t="shared" si="63"/>
        <v>Small</v>
      </c>
    </row>
    <row r="981" spans="1:19" x14ac:dyDescent="0.35">
      <c r="A981" s="4" t="s">
        <v>1420</v>
      </c>
      <c r="B981" s="5">
        <v>46014</v>
      </c>
      <c r="C981" s="4" t="s">
        <v>180</v>
      </c>
      <c r="D981" s="4" t="s">
        <v>47</v>
      </c>
      <c r="E981" s="4" t="s">
        <v>87</v>
      </c>
      <c r="F981" s="4" t="s">
        <v>92</v>
      </c>
      <c r="G981" s="4" t="s">
        <v>67</v>
      </c>
      <c r="H981" s="4" t="s">
        <v>140</v>
      </c>
      <c r="I981" s="4">
        <v>2</v>
      </c>
      <c r="J981" s="6">
        <v>129.26</v>
      </c>
      <c r="K981" s="7">
        <v>0</v>
      </c>
      <c r="L981" s="6">
        <f t="shared" si="60"/>
        <v>258.52</v>
      </c>
      <c r="M981" s="6">
        <v>79.48</v>
      </c>
      <c r="N981" s="8">
        <f t="shared" si="61"/>
        <v>99.559999999999974</v>
      </c>
      <c r="O981" s="4" t="s">
        <v>25</v>
      </c>
      <c r="P981" s="4" t="s">
        <v>72</v>
      </c>
      <c r="Q981" s="4">
        <v>5</v>
      </c>
      <c r="R981" s="21">
        <f t="shared" si="62"/>
        <v>0.38511527154572173</v>
      </c>
      <c r="S981" t="str">
        <f t="shared" si="63"/>
        <v>Small</v>
      </c>
    </row>
    <row r="982" spans="1:19" x14ac:dyDescent="0.35">
      <c r="A982" s="4" t="s">
        <v>1421</v>
      </c>
      <c r="B982" s="5">
        <v>46014</v>
      </c>
      <c r="C982" s="4" t="s">
        <v>1267</v>
      </c>
      <c r="D982" s="4" t="s">
        <v>47</v>
      </c>
      <c r="E982" s="4" t="s">
        <v>29</v>
      </c>
      <c r="F982" s="4" t="s">
        <v>108</v>
      </c>
      <c r="G982" s="4" t="s">
        <v>23</v>
      </c>
      <c r="H982" s="4" t="s">
        <v>135</v>
      </c>
      <c r="I982" s="4">
        <v>2</v>
      </c>
      <c r="J982" s="6">
        <v>34.49</v>
      </c>
      <c r="K982" s="7">
        <v>0.15</v>
      </c>
      <c r="L982" s="6">
        <f t="shared" si="60"/>
        <v>58.633000000000003</v>
      </c>
      <c r="M982" s="6">
        <v>15.66</v>
      </c>
      <c r="N982" s="8">
        <f t="shared" si="61"/>
        <v>27.313000000000002</v>
      </c>
      <c r="O982" s="4" t="s">
        <v>25</v>
      </c>
      <c r="P982" s="4" t="s">
        <v>72</v>
      </c>
      <c r="Q982" s="4">
        <v>4</v>
      </c>
      <c r="R982" s="21">
        <f t="shared" si="62"/>
        <v>0.46582982279603641</v>
      </c>
      <c r="S982" t="str">
        <f t="shared" si="63"/>
        <v>Small</v>
      </c>
    </row>
    <row r="983" spans="1:19" x14ac:dyDescent="0.35">
      <c r="A983" s="4" t="s">
        <v>1422</v>
      </c>
      <c r="B983" s="5">
        <v>46015</v>
      </c>
      <c r="C983" s="4" t="s">
        <v>341</v>
      </c>
      <c r="D983" s="4" t="s">
        <v>43</v>
      </c>
      <c r="E983" s="4" t="s">
        <v>29</v>
      </c>
      <c r="F983" s="4" t="s">
        <v>54</v>
      </c>
      <c r="G983" s="4" t="s">
        <v>23</v>
      </c>
      <c r="H983" s="4" t="s">
        <v>135</v>
      </c>
      <c r="I983" s="4">
        <v>8</v>
      </c>
      <c r="J983" s="6">
        <v>20.43</v>
      </c>
      <c r="K983" s="7">
        <v>0</v>
      </c>
      <c r="L983" s="6">
        <f t="shared" si="60"/>
        <v>163.44</v>
      </c>
      <c r="M983" s="6">
        <v>11.04</v>
      </c>
      <c r="N983" s="8">
        <f t="shared" si="61"/>
        <v>75.12</v>
      </c>
      <c r="O983" s="4" t="s">
        <v>51</v>
      </c>
      <c r="P983" s="4" t="s">
        <v>75</v>
      </c>
      <c r="Q983" s="4">
        <v>5</v>
      </c>
      <c r="R983" s="21">
        <f t="shared" si="62"/>
        <v>0.45961820851688695</v>
      </c>
      <c r="S983" t="str">
        <f t="shared" si="63"/>
        <v>Small</v>
      </c>
    </row>
    <row r="984" spans="1:19" x14ac:dyDescent="0.35">
      <c r="A984" s="4" t="s">
        <v>1423</v>
      </c>
      <c r="B984" s="5">
        <v>46015</v>
      </c>
      <c r="C984" s="4" t="s">
        <v>186</v>
      </c>
      <c r="D984" s="4" t="s">
        <v>20</v>
      </c>
      <c r="E984" s="4" t="s">
        <v>36</v>
      </c>
      <c r="F984" s="4" t="s">
        <v>37</v>
      </c>
      <c r="G984" s="4" t="s">
        <v>23</v>
      </c>
      <c r="H984" s="4" t="s">
        <v>24</v>
      </c>
      <c r="I984" s="4">
        <v>1</v>
      </c>
      <c r="J984" s="6">
        <v>29.15</v>
      </c>
      <c r="K984" s="7">
        <v>0.15</v>
      </c>
      <c r="L984" s="6">
        <f t="shared" si="60"/>
        <v>24.7775</v>
      </c>
      <c r="M984" s="6">
        <v>16.36</v>
      </c>
      <c r="N984" s="8">
        <f t="shared" si="61"/>
        <v>8.4175000000000004</v>
      </c>
      <c r="O984" s="4" t="s">
        <v>51</v>
      </c>
      <c r="P984" s="4" t="s">
        <v>26</v>
      </c>
      <c r="Q984" s="4">
        <v>4</v>
      </c>
      <c r="R984" s="21">
        <f t="shared" si="62"/>
        <v>0.33972353950156392</v>
      </c>
      <c r="S984" t="str">
        <f t="shared" si="63"/>
        <v>Small</v>
      </c>
    </row>
    <row r="985" spans="1:19" x14ac:dyDescent="0.35">
      <c r="A985" s="4" t="s">
        <v>1424</v>
      </c>
      <c r="B985" s="5">
        <v>46016</v>
      </c>
      <c r="C985" s="4" t="s">
        <v>309</v>
      </c>
      <c r="D985" s="4" t="s">
        <v>47</v>
      </c>
      <c r="E985" s="4" t="s">
        <v>29</v>
      </c>
      <c r="F985" s="4" t="s">
        <v>30</v>
      </c>
      <c r="G985" s="4" t="s">
        <v>31</v>
      </c>
      <c r="H985" s="4" t="s">
        <v>125</v>
      </c>
      <c r="I985" s="4">
        <v>2</v>
      </c>
      <c r="J985" s="6">
        <v>197.66</v>
      </c>
      <c r="K985" s="7">
        <v>0.1</v>
      </c>
      <c r="L985" s="6">
        <f t="shared" si="60"/>
        <v>355.78800000000001</v>
      </c>
      <c r="M985" s="6">
        <v>139.74</v>
      </c>
      <c r="N985" s="8">
        <f t="shared" si="61"/>
        <v>76.307999999999993</v>
      </c>
      <c r="O985" s="4" t="s">
        <v>51</v>
      </c>
      <c r="P985" s="4" t="s">
        <v>97</v>
      </c>
      <c r="Q985" s="4">
        <v>3</v>
      </c>
      <c r="R985" s="21">
        <f t="shared" si="62"/>
        <v>0.21447603629127454</v>
      </c>
      <c r="S985" t="str">
        <f t="shared" si="63"/>
        <v>Small</v>
      </c>
    </row>
    <row r="986" spans="1:19" x14ac:dyDescent="0.35">
      <c r="A986" s="4" t="s">
        <v>1425</v>
      </c>
      <c r="B986" s="5">
        <v>46017</v>
      </c>
      <c r="C986" s="4" t="s">
        <v>1426</v>
      </c>
      <c r="D986" s="4" t="s">
        <v>47</v>
      </c>
      <c r="E986" s="4" t="s">
        <v>21</v>
      </c>
      <c r="F986" s="4" t="s">
        <v>59</v>
      </c>
      <c r="G986" s="4" t="s">
        <v>23</v>
      </c>
      <c r="H986" s="4" t="s">
        <v>71</v>
      </c>
      <c r="I986" s="4">
        <v>4</v>
      </c>
      <c r="J986" s="6">
        <v>195.98</v>
      </c>
      <c r="K986" s="7">
        <v>0.05</v>
      </c>
      <c r="L986" s="6">
        <f t="shared" si="60"/>
        <v>744.72399999999993</v>
      </c>
      <c r="M986" s="6">
        <v>79.819999999999993</v>
      </c>
      <c r="N986" s="8">
        <f t="shared" si="61"/>
        <v>425.44399999999996</v>
      </c>
      <c r="O986" s="4" t="s">
        <v>51</v>
      </c>
      <c r="P986" s="4" t="s">
        <v>56</v>
      </c>
      <c r="Q986" s="4">
        <v>4</v>
      </c>
      <c r="R986" s="21">
        <f t="shared" si="62"/>
        <v>0.57127741284019318</v>
      </c>
      <c r="S986" t="str">
        <f t="shared" si="63"/>
        <v>Medium</v>
      </c>
    </row>
    <row r="987" spans="1:19" x14ac:dyDescent="0.35">
      <c r="A987" s="4" t="s">
        <v>1427</v>
      </c>
      <c r="B987" s="5">
        <v>46017</v>
      </c>
      <c r="C987" s="4" t="s">
        <v>787</v>
      </c>
      <c r="D987" s="4" t="s">
        <v>47</v>
      </c>
      <c r="E987" s="4" t="s">
        <v>87</v>
      </c>
      <c r="F987" s="4" t="s">
        <v>88</v>
      </c>
      <c r="G987" s="4" t="s">
        <v>31</v>
      </c>
      <c r="H987" s="4" t="s">
        <v>125</v>
      </c>
      <c r="I987" s="4">
        <v>1</v>
      </c>
      <c r="J987" s="6">
        <v>72.3</v>
      </c>
      <c r="K987" s="7">
        <v>0.2</v>
      </c>
      <c r="L987" s="6">
        <f t="shared" si="60"/>
        <v>57.84</v>
      </c>
      <c r="M987" s="6">
        <v>45.53</v>
      </c>
      <c r="N987" s="8">
        <f t="shared" si="61"/>
        <v>12.310000000000002</v>
      </c>
      <c r="O987" s="4" t="s">
        <v>25</v>
      </c>
      <c r="P987" s="4" t="s">
        <v>56</v>
      </c>
      <c r="Q987" s="4">
        <v>2</v>
      </c>
      <c r="R987" s="21">
        <f t="shared" si="62"/>
        <v>0.21282849239280777</v>
      </c>
      <c r="S987" t="str">
        <f t="shared" si="63"/>
        <v>Small</v>
      </c>
    </row>
    <row r="988" spans="1:19" x14ac:dyDescent="0.35">
      <c r="A988" s="4" t="s">
        <v>1428</v>
      </c>
      <c r="B988" s="5">
        <v>46017</v>
      </c>
      <c r="C988" s="4" t="s">
        <v>659</v>
      </c>
      <c r="D988" s="4" t="s">
        <v>43</v>
      </c>
      <c r="E988" s="4" t="s">
        <v>29</v>
      </c>
      <c r="F988" s="4" t="s">
        <v>54</v>
      </c>
      <c r="G988" s="4" t="s">
        <v>23</v>
      </c>
      <c r="H988" s="4" t="s">
        <v>44</v>
      </c>
      <c r="I988" s="4">
        <v>5</v>
      </c>
      <c r="J988" s="6">
        <v>136.59</v>
      </c>
      <c r="K988" s="7">
        <v>0</v>
      </c>
      <c r="L988" s="6">
        <f t="shared" si="60"/>
        <v>682.95</v>
      </c>
      <c r="M988" s="6">
        <v>75.760000000000005</v>
      </c>
      <c r="N988" s="8">
        <f t="shared" si="61"/>
        <v>304.15000000000003</v>
      </c>
      <c r="O988" s="4" t="s">
        <v>84</v>
      </c>
      <c r="P988" s="4" t="s">
        <v>97</v>
      </c>
      <c r="Q988" s="4">
        <v>5</v>
      </c>
      <c r="R988" s="21">
        <f t="shared" si="62"/>
        <v>0.44534738999926793</v>
      </c>
      <c r="S988" t="str">
        <f t="shared" si="63"/>
        <v>Medium</v>
      </c>
    </row>
    <row r="989" spans="1:19" x14ac:dyDescent="0.35">
      <c r="A989" s="4" t="s">
        <v>1429</v>
      </c>
      <c r="B989" s="5">
        <v>46017</v>
      </c>
      <c r="C989" s="4" t="s">
        <v>515</v>
      </c>
      <c r="D989" s="4" t="s">
        <v>47</v>
      </c>
      <c r="E989" s="4" t="s">
        <v>36</v>
      </c>
      <c r="F989" s="4" t="s">
        <v>37</v>
      </c>
      <c r="G989" s="4" t="s">
        <v>23</v>
      </c>
      <c r="H989" s="4" t="s">
        <v>24</v>
      </c>
      <c r="I989" s="4">
        <v>3</v>
      </c>
      <c r="J989" s="6">
        <v>41.93</v>
      </c>
      <c r="K989" s="7">
        <v>0</v>
      </c>
      <c r="L989" s="6">
        <f t="shared" si="60"/>
        <v>125.78999999999999</v>
      </c>
      <c r="M989" s="6">
        <v>25.15</v>
      </c>
      <c r="N989" s="8">
        <f t="shared" si="61"/>
        <v>50.34</v>
      </c>
      <c r="O989" s="4" t="s">
        <v>51</v>
      </c>
      <c r="P989" s="4" t="s">
        <v>33</v>
      </c>
      <c r="Q989" s="4">
        <v>1</v>
      </c>
      <c r="R989" s="21">
        <f t="shared" si="62"/>
        <v>0.40019079418077752</v>
      </c>
      <c r="S989" t="str">
        <f t="shared" si="63"/>
        <v>Small</v>
      </c>
    </row>
    <row r="990" spans="1:19" x14ac:dyDescent="0.35">
      <c r="A990" s="4" t="s">
        <v>1430</v>
      </c>
      <c r="B990" s="5">
        <v>46017</v>
      </c>
      <c r="C990" s="4" t="s">
        <v>782</v>
      </c>
      <c r="D990" s="4" t="s">
        <v>47</v>
      </c>
      <c r="E990" s="4" t="s">
        <v>21</v>
      </c>
      <c r="F990" s="4" t="s">
        <v>59</v>
      </c>
      <c r="G990" s="4" t="s">
        <v>23</v>
      </c>
      <c r="H990" s="4" t="s">
        <v>135</v>
      </c>
      <c r="I990" s="4">
        <v>1</v>
      </c>
      <c r="J990" s="6">
        <v>26.43</v>
      </c>
      <c r="K990" s="7">
        <v>0</v>
      </c>
      <c r="L990" s="6">
        <f t="shared" si="60"/>
        <v>26.43</v>
      </c>
      <c r="M990" s="6">
        <v>16.55</v>
      </c>
      <c r="N990" s="8">
        <f t="shared" si="61"/>
        <v>9.879999999999999</v>
      </c>
      <c r="O990" s="4" t="s">
        <v>51</v>
      </c>
      <c r="P990" s="4" t="s">
        <v>118</v>
      </c>
      <c r="Q990" s="4">
        <v>5</v>
      </c>
      <c r="R990" s="21">
        <f t="shared" si="62"/>
        <v>0.37381763147937946</v>
      </c>
      <c r="S990" t="str">
        <f t="shared" si="63"/>
        <v>Small</v>
      </c>
    </row>
    <row r="991" spans="1:19" x14ac:dyDescent="0.35">
      <c r="A991" s="4" t="s">
        <v>1431</v>
      </c>
      <c r="B991" s="5">
        <v>46017</v>
      </c>
      <c r="C991" s="4" t="s">
        <v>1347</v>
      </c>
      <c r="D991" s="4" t="s">
        <v>20</v>
      </c>
      <c r="E991" s="4" t="s">
        <v>87</v>
      </c>
      <c r="F991" s="4" t="s">
        <v>92</v>
      </c>
      <c r="G991" s="4" t="s">
        <v>49</v>
      </c>
      <c r="H991" s="4" t="s">
        <v>128</v>
      </c>
      <c r="I991" s="4">
        <v>1</v>
      </c>
      <c r="J991" s="6">
        <v>104.56</v>
      </c>
      <c r="K991" s="7">
        <v>0.1</v>
      </c>
      <c r="L991" s="6">
        <f t="shared" si="60"/>
        <v>94.103999999999999</v>
      </c>
      <c r="M991" s="6">
        <v>68</v>
      </c>
      <c r="N991" s="8">
        <f t="shared" si="61"/>
        <v>26.103999999999999</v>
      </c>
      <c r="O991" s="4" t="s">
        <v>25</v>
      </c>
      <c r="P991" s="4" t="s">
        <v>61</v>
      </c>
      <c r="Q991" s="4">
        <v>5</v>
      </c>
      <c r="R991" s="21">
        <f t="shared" si="62"/>
        <v>0.27739522230723457</v>
      </c>
      <c r="S991" t="str">
        <f t="shared" si="63"/>
        <v>Small</v>
      </c>
    </row>
    <row r="992" spans="1:19" x14ac:dyDescent="0.35">
      <c r="A992" s="4" t="s">
        <v>1432</v>
      </c>
      <c r="B992" s="5">
        <v>46018</v>
      </c>
      <c r="C992" s="4" t="s">
        <v>392</v>
      </c>
      <c r="D992" s="4" t="s">
        <v>43</v>
      </c>
      <c r="E992" s="4" t="s">
        <v>29</v>
      </c>
      <c r="F992" s="4" t="s">
        <v>54</v>
      </c>
      <c r="G992" s="4" t="s">
        <v>31</v>
      </c>
      <c r="H992" s="4" t="s">
        <v>125</v>
      </c>
      <c r="I992" s="4">
        <v>3</v>
      </c>
      <c r="J992" s="6">
        <v>116.25</v>
      </c>
      <c r="K992" s="7">
        <v>0.2</v>
      </c>
      <c r="L992" s="6">
        <f t="shared" si="60"/>
        <v>279</v>
      </c>
      <c r="M992" s="6">
        <v>68.25</v>
      </c>
      <c r="N992" s="8">
        <f t="shared" si="61"/>
        <v>74.25</v>
      </c>
      <c r="O992" s="4" t="s">
        <v>25</v>
      </c>
      <c r="P992" s="4" t="s">
        <v>56</v>
      </c>
      <c r="Q992" s="4">
        <v>4</v>
      </c>
      <c r="R992" s="21">
        <f t="shared" si="62"/>
        <v>0.2661290322580645</v>
      </c>
      <c r="S992" t="str">
        <f t="shared" si="63"/>
        <v>Small</v>
      </c>
    </row>
    <row r="993" spans="1:19" x14ac:dyDescent="0.35">
      <c r="A993" s="4" t="s">
        <v>1433</v>
      </c>
      <c r="B993" s="5">
        <v>46018</v>
      </c>
      <c r="C993" s="4" t="s">
        <v>834</v>
      </c>
      <c r="D993" s="4" t="s">
        <v>43</v>
      </c>
      <c r="E993" s="4" t="s">
        <v>87</v>
      </c>
      <c r="F993" s="4" t="s">
        <v>124</v>
      </c>
      <c r="G993" s="4" t="s">
        <v>38</v>
      </c>
      <c r="H993" s="4" t="s">
        <v>39</v>
      </c>
      <c r="I993" s="4">
        <v>1</v>
      </c>
      <c r="J993" s="6">
        <v>141.93</v>
      </c>
      <c r="K993" s="7">
        <v>0.1</v>
      </c>
      <c r="L993" s="6">
        <f t="shared" si="60"/>
        <v>127.73700000000001</v>
      </c>
      <c r="M993" s="6">
        <v>125.61</v>
      </c>
      <c r="N993" s="8">
        <f t="shared" si="61"/>
        <v>2.1270000000000095</v>
      </c>
      <c r="O993" s="4" t="s">
        <v>51</v>
      </c>
      <c r="P993" s="4" t="s">
        <v>97</v>
      </c>
      <c r="Q993" s="4">
        <v>5</v>
      </c>
      <c r="R993" s="21">
        <f t="shared" si="62"/>
        <v>1.6651400925338854E-2</v>
      </c>
      <c r="S993" t="str">
        <f t="shared" si="63"/>
        <v>Small</v>
      </c>
    </row>
    <row r="994" spans="1:19" x14ac:dyDescent="0.35">
      <c r="A994" s="4" t="s">
        <v>1434</v>
      </c>
      <c r="B994" s="5">
        <v>46019</v>
      </c>
      <c r="C994" s="4" t="s">
        <v>127</v>
      </c>
      <c r="D994" s="4" t="s">
        <v>47</v>
      </c>
      <c r="E994" s="4" t="s">
        <v>87</v>
      </c>
      <c r="F994" s="4" t="s">
        <v>92</v>
      </c>
      <c r="G994" s="4" t="s">
        <v>49</v>
      </c>
      <c r="H994" s="4" t="s">
        <v>50</v>
      </c>
      <c r="I994" s="4">
        <v>1</v>
      </c>
      <c r="J994" s="6">
        <v>24.86</v>
      </c>
      <c r="K994" s="7">
        <v>0.05</v>
      </c>
      <c r="L994" s="6">
        <f t="shared" si="60"/>
        <v>23.616999999999997</v>
      </c>
      <c r="M994" s="6">
        <v>16.829999999999998</v>
      </c>
      <c r="N994" s="8">
        <f t="shared" si="61"/>
        <v>6.786999999999999</v>
      </c>
      <c r="O994" s="4" t="s">
        <v>40</v>
      </c>
      <c r="P994" s="4" t="s">
        <v>56</v>
      </c>
      <c r="Q994" s="4">
        <v>5</v>
      </c>
      <c r="R994" s="21">
        <f t="shared" si="62"/>
        <v>0.28737773637633907</v>
      </c>
      <c r="S994" t="str">
        <f t="shared" si="63"/>
        <v>Small</v>
      </c>
    </row>
    <row r="995" spans="1:19" x14ac:dyDescent="0.35">
      <c r="A995" s="4" t="s">
        <v>1435</v>
      </c>
      <c r="B995" s="5">
        <v>46019</v>
      </c>
      <c r="C995" s="4" t="s">
        <v>603</v>
      </c>
      <c r="D995" s="4" t="s">
        <v>43</v>
      </c>
      <c r="E995" s="4" t="s">
        <v>29</v>
      </c>
      <c r="F995" s="4" t="s">
        <v>108</v>
      </c>
      <c r="G995" s="4" t="s">
        <v>38</v>
      </c>
      <c r="H995" s="4" t="s">
        <v>55</v>
      </c>
      <c r="I995" s="4">
        <v>3</v>
      </c>
      <c r="J995" s="6">
        <v>276.2</v>
      </c>
      <c r="K995" s="7">
        <v>0</v>
      </c>
      <c r="L995" s="6">
        <f t="shared" si="60"/>
        <v>828.59999999999991</v>
      </c>
      <c r="M995" s="6">
        <v>225.26</v>
      </c>
      <c r="N995" s="8">
        <f t="shared" si="61"/>
        <v>152.81999999999994</v>
      </c>
      <c r="O995" s="4" t="s">
        <v>84</v>
      </c>
      <c r="P995" s="4" t="s">
        <v>33</v>
      </c>
      <c r="Q995" s="4">
        <v>5</v>
      </c>
      <c r="R995" s="21">
        <f t="shared" si="62"/>
        <v>0.18443157132512666</v>
      </c>
      <c r="S995" t="str">
        <f t="shared" si="63"/>
        <v>Medium</v>
      </c>
    </row>
    <row r="996" spans="1:19" x14ac:dyDescent="0.35">
      <c r="A996" s="4" t="s">
        <v>1436</v>
      </c>
      <c r="B996" s="5">
        <v>46019</v>
      </c>
      <c r="C996" s="4" t="s">
        <v>614</v>
      </c>
      <c r="D996" s="4" t="s">
        <v>43</v>
      </c>
      <c r="E996" s="4" t="s">
        <v>29</v>
      </c>
      <c r="F996" s="4" t="s">
        <v>54</v>
      </c>
      <c r="G996" s="4" t="s">
        <v>23</v>
      </c>
      <c r="H996" s="4" t="s">
        <v>44</v>
      </c>
      <c r="I996" s="4">
        <v>2</v>
      </c>
      <c r="J996" s="6">
        <v>85.25</v>
      </c>
      <c r="K996" s="7">
        <v>0.05</v>
      </c>
      <c r="L996" s="6">
        <f t="shared" si="60"/>
        <v>161.97499999999999</v>
      </c>
      <c r="M996" s="6">
        <v>44.96</v>
      </c>
      <c r="N996" s="8">
        <f t="shared" si="61"/>
        <v>72.054999999999993</v>
      </c>
      <c r="O996" s="4" t="s">
        <v>40</v>
      </c>
      <c r="P996" s="4" t="s">
        <v>33</v>
      </c>
      <c r="Q996" s="4">
        <v>5</v>
      </c>
      <c r="R996" s="21">
        <f t="shared" si="62"/>
        <v>0.44485260070998606</v>
      </c>
      <c r="S996" t="str">
        <f t="shared" si="63"/>
        <v>Small</v>
      </c>
    </row>
    <row r="997" spans="1:19" x14ac:dyDescent="0.35">
      <c r="A997" s="4" t="s">
        <v>1437</v>
      </c>
      <c r="B997" s="5">
        <v>46020</v>
      </c>
      <c r="C997" s="4" t="s">
        <v>186</v>
      </c>
      <c r="D997" s="4" t="s">
        <v>47</v>
      </c>
      <c r="E997" s="4" t="s">
        <v>87</v>
      </c>
      <c r="F997" s="4" t="s">
        <v>124</v>
      </c>
      <c r="G997" s="4" t="s">
        <v>31</v>
      </c>
      <c r="H997" s="4" t="s">
        <v>147</v>
      </c>
      <c r="I997" s="4">
        <v>2</v>
      </c>
      <c r="J997" s="6">
        <v>42.87</v>
      </c>
      <c r="K997" s="7">
        <v>0</v>
      </c>
      <c r="L997" s="6">
        <f t="shared" si="60"/>
        <v>85.74</v>
      </c>
      <c r="M997" s="6">
        <v>31.39</v>
      </c>
      <c r="N997" s="8">
        <f t="shared" si="61"/>
        <v>22.959999999999994</v>
      </c>
      <c r="O997" s="4" t="s">
        <v>25</v>
      </c>
      <c r="P997" s="4" t="s">
        <v>97</v>
      </c>
      <c r="Q997" s="4">
        <v>3</v>
      </c>
      <c r="R997" s="21">
        <f t="shared" si="62"/>
        <v>0.26778633076743635</v>
      </c>
      <c r="S997" t="str">
        <f t="shared" si="63"/>
        <v>Small</v>
      </c>
    </row>
    <row r="998" spans="1:19" x14ac:dyDescent="0.35">
      <c r="A998" s="4" t="s">
        <v>1438</v>
      </c>
      <c r="B998" s="5">
        <v>46020</v>
      </c>
      <c r="C998" s="4" t="s">
        <v>1439</v>
      </c>
      <c r="D998" s="4" t="s">
        <v>43</v>
      </c>
      <c r="E998" s="4" t="s">
        <v>29</v>
      </c>
      <c r="F998" s="4" t="s">
        <v>108</v>
      </c>
      <c r="G998" s="4" t="s">
        <v>49</v>
      </c>
      <c r="H998" s="4" t="s">
        <v>50</v>
      </c>
      <c r="I998" s="4">
        <v>2</v>
      </c>
      <c r="J998" s="6">
        <v>43.3</v>
      </c>
      <c r="K998" s="7">
        <v>0.15</v>
      </c>
      <c r="L998" s="6">
        <f t="shared" si="60"/>
        <v>73.61</v>
      </c>
      <c r="M998" s="6">
        <v>26.55</v>
      </c>
      <c r="N998" s="8">
        <f t="shared" si="61"/>
        <v>20.509999999999998</v>
      </c>
      <c r="O998" s="4" t="s">
        <v>60</v>
      </c>
      <c r="P998" s="4" t="s">
        <v>72</v>
      </c>
      <c r="Q998" s="4">
        <v>2</v>
      </c>
      <c r="R998" s="21">
        <f t="shared" si="62"/>
        <v>0.27863062083955981</v>
      </c>
      <c r="S998" t="str">
        <f t="shared" si="63"/>
        <v>Small</v>
      </c>
    </row>
    <row r="999" spans="1:19" x14ac:dyDescent="0.35">
      <c r="A999" s="4" t="s">
        <v>1440</v>
      </c>
      <c r="B999" s="5">
        <v>46020</v>
      </c>
      <c r="C999" s="4" t="s">
        <v>107</v>
      </c>
      <c r="D999" s="4" t="s">
        <v>47</v>
      </c>
      <c r="E999" s="4" t="s">
        <v>87</v>
      </c>
      <c r="F999" s="4" t="s">
        <v>92</v>
      </c>
      <c r="G999" s="4" t="s">
        <v>49</v>
      </c>
      <c r="H999" s="4" t="s">
        <v>128</v>
      </c>
      <c r="I999" s="4">
        <v>1</v>
      </c>
      <c r="J999" s="6">
        <v>114.05</v>
      </c>
      <c r="K999" s="7">
        <v>0.1</v>
      </c>
      <c r="L999" s="6">
        <f t="shared" si="60"/>
        <v>102.645</v>
      </c>
      <c r="M999" s="6">
        <v>83.87</v>
      </c>
      <c r="N999" s="8">
        <f t="shared" si="61"/>
        <v>18.774999999999991</v>
      </c>
      <c r="O999" s="4" t="s">
        <v>40</v>
      </c>
      <c r="P999" s="4" t="s">
        <v>72</v>
      </c>
      <c r="Q999" s="4">
        <v>5</v>
      </c>
      <c r="R999" s="21">
        <f t="shared" si="62"/>
        <v>0.18291197817721264</v>
      </c>
      <c r="S999" t="str">
        <f t="shared" si="63"/>
        <v>Small</v>
      </c>
    </row>
    <row r="1000" spans="1:19" x14ac:dyDescent="0.35">
      <c r="A1000" s="4" t="s">
        <v>1441</v>
      </c>
      <c r="B1000" s="5">
        <v>46020</v>
      </c>
      <c r="C1000" s="4" t="s">
        <v>792</v>
      </c>
      <c r="D1000" s="4" t="s">
        <v>43</v>
      </c>
      <c r="E1000" s="4" t="s">
        <v>36</v>
      </c>
      <c r="F1000" s="4" t="s">
        <v>48</v>
      </c>
      <c r="G1000" s="4" t="s">
        <v>38</v>
      </c>
      <c r="H1000" s="4" t="s">
        <v>55</v>
      </c>
      <c r="I1000" s="4">
        <v>10</v>
      </c>
      <c r="J1000" s="6">
        <v>31.28</v>
      </c>
      <c r="K1000" s="7">
        <v>0.15</v>
      </c>
      <c r="L1000" s="6">
        <f t="shared" si="60"/>
        <v>265.88</v>
      </c>
      <c r="M1000" s="6">
        <v>27.02</v>
      </c>
      <c r="N1000" s="8">
        <f t="shared" si="61"/>
        <v>-4.3199999999999932</v>
      </c>
      <c r="O1000" s="4" t="s">
        <v>60</v>
      </c>
      <c r="P1000" s="4" t="s">
        <v>61</v>
      </c>
      <c r="Q1000" s="4">
        <v>3</v>
      </c>
      <c r="R1000" s="21">
        <f t="shared" si="62"/>
        <v>-1.6247931397622963E-2</v>
      </c>
      <c r="S1000" t="str">
        <f t="shared" si="63"/>
        <v>Small</v>
      </c>
    </row>
    <row r="1001" spans="1:19" x14ac:dyDescent="0.35">
      <c r="A1001" s="4" t="s">
        <v>1442</v>
      </c>
      <c r="B1001" s="5">
        <v>46022</v>
      </c>
      <c r="C1001" s="4" t="s">
        <v>1443</v>
      </c>
      <c r="D1001" s="4" t="s">
        <v>43</v>
      </c>
      <c r="E1001" s="4" t="s">
        <v>36</v>
      </c>
      <c r="F1001" s="4" t="s">
        <v>48</v>
      </c>
      <c r="G1001" s="4" t="s">
        <v>38</v>
      </c>
      <c r="H1001" s="4" t="s">
        <v>55</v>
      </c>
      <c r="I1001" s="4">
        <v>8</v>
      </c>
      <c r="J1001" s="6">
        <v>268.13</v>
      </c>
      <c r="K1001" s="7">
        <v>0.1</v>
      </c>
      <c r="L1001" s="6">
        <f t="shared" si="60"/>
        <v>1930.5360000000001</v>
      </c>
      <c r="M1001" s="6">
        <v>224.31</v>
      </c>
      <c r="N1001" s="8">
        <f t="shared" si="61"/>
        <v>136.05600000000004</v>
      </c>
      <c r="O1001" s="4" t="s">
        <v>60</v>
      </c>
      <c r="P1001" s="4" t="s">
        <v>97</v>
      </c>
      <c r="Q1001" s="4">
        <v>5</v>
      </c>
      <c r="R1001" s="21">
        <f t="shared" si="62"/>
        <v>7.0475764243712644E-2</v>
      </c>
      <c r="S1001" t="str">
        <f t="shared" si="63"/>
        <v>Medium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F393-9E73-4F18-9797-C1042730CBEF}">
  <dimension ref="A3:I52"/>
  <sheetViews>
    <sheetView workbookViewId="0">
      <selection activeCell="K8" sqref="K8"/>
    </sheetView>
  </sheetViews>
  <sheetFormatPr defaultRowHeight="14.5" x14ac:dyDescent="0.35"/>
  <cols>
    <col min="1" max="1" width="14.453125" bestFit="1" customWidth="1"/>
    <col min="2" max="2" width="15.81640625" bestFit="1" customWidth="1"/>
    <col min="3" max="3" width="11.81640625" bestFit="1" customWidth="1"/>
    <col min="4" max="4" width="11.26953125" bestFit="1" customWidth="1"/>
    <col min="5" max="5" width="11.81640625" bestFit="1" customWidth="1"/>
    <col min="6" max="6" width="12.36328125" bestFit="1" customWidth="1"/>
    <col min="7" max="7" width="11.81640625" bestFit="1" customWidth="1"/>
    <col min="8" max="8" width="15.81640625" bestFit="1" customWidth="1"/>
    <col min="9" max="9" width="11.26953125" bestFit="1" customWidth="1"/>
  </cols>
  <sheetData>
    <row r="3" spans="1:9" x14ac:dyDescent="0.35">
      <c r="A3" s="23" t="s">
        <v>1466</v>
      </c>
      <c r="B3" t="s">
        <v>1482</v>
      </c>
      <c r="C3" t="s">
        <v>1468</v>
      </c>
      <c r="D3" t="s">
        <v>1481</v>
      </c>
      <c r="F3" s="23" t="s">
        <v>1466</v>
      </c>
      <c r="G3" t="s">
        <v>1482</v>
      </c>
      <c r="H3" t="s">
        <v>1481</v>
      </c>
      <c r="I3" t="s">
        <v>1468</v>
      </c>
    </row>
    <row r="4" spans="1:9" x14ac:dyDescent="0.35">
      <c r="A4" s="24" t="s">
        <v>75</v>
      </c>
      <c r="B4">
        <v>112</v>
      </c>
      <c r="C4" s="25">
        <v>73411.411500000017</v>
      </c>
      <c r="D4" s="27">
        <v>16418.161499999998</v>
      </c>
      <c r="F4" s="24" t="s">
        <v>1483</v>
      </c>
      <c r="G4">
        <v>1000</v>
      </c>
      <c r="H4" s="27">
        <v>146599.9535</v>
      </c>
      <c r="I4" s="25">
        <v>692809.63350000023</v>
      </c>
    </row>
    <row r="5" spans="1:9" x14ac:dyDescent="0.35">
      <c r="A5" s="24" t="s">
        <v>118</v>
      </c>
      <c r="B5">
        <v>108</v>
      </c>
      <c r="C5" s="25">
        <v>70757.180499999988</v>
      </c>
      <c r="D5" s="27">
        <v>15585.4005</v>
      </c>
      <c r="F5" s="28" t="s">
        <v>1471</v>
      </c>
      <c r="G5">
        <v>76</v>
      </c>
      <c r="H5" s="27">
        <v>13836.601000000001</v>
      </c>
      <c r="I5" s="25">
        <v>57653.931000000019</v>
      </c>
    </row>
    <row r="6" spans="1:9" x14ac:dyDescent="0.35">
      <c r="A6" s="24" t="s">
        <v>97</v>
      </c>
      <c r="B6">
        <v>138</v>
      </c>
      <c r="C6" s="25">
        <v>106727.4565</v>
      </c>
      <c r="D6" s="27">
        <v>21688.876500000002</v>
      </c>
      <c r="F6" s="28" t="s">
        <v>1478</v>
      </c>
      <c r="G6">
        <v>86</v>
      </c>
      <c r="H6" s="27">
        <v>11736.741000000004</v>
      </c>
      <c r="I6" s="25">
        <v>65058.560999999987</v>
      </c>
    </row>
    <row r="7" spans="1:9" x14ac:dyDescent="0.35">
      <c r="A7" s="24" t="s">
        <v>26</v>
      </c>
      <c r="B7">
        <v>121</v>
      </c>
      <c r="C7" s="25">
        <v>82557.76400000001</v>
      </c>
      <c r="D7" s="27">
        <v>19780.793999999998</v>
      </c>
      <c r="F7" s="28" t="s">
        <v>1480</v>
      </c>
      <c r="G7">
        <v>73</v>
      </c>
      <c r="H7" s="27">
        <v>10384.146999999997</v>
      </c>
      <c r="I7" s="25">
        <v>54263.726999999999</v>
      </c>
    </row>
    <row r="8" spans="1:9" x14ac:dyDescent="0.35">
      <c r="A8" s="24" t="s">
        <v>56</v>
      </c>
      <c r="B8">
        <v>140</v>
      </c>
      <c r="C8" s="25">
        <v>97597.533500000005</v>
      </c>
      <c r="D8" s="27">
        <v>18769.503499999992</v>
      </c>
      <c r="F8" s="28" t="s">
        <v>1479</v>
      </c>
      <c r="G8">
        <v>86</v>
      </c>
      <c r="H8" s="27">
        <v>13819.880999999996</v>
      </c>
      <c r="I8" s="25">
        <v>63909.560999999994</v>
      </c>
    </row>
    <row r="9" spans="1:9" x14ac:dyDescent="0.35">
      <c r="A9" s="24" t="s">
        <v>61</v>
      </c>
      <c r="B9">
        <v>128</v>
      </c>
      <c r="C9" s="25">
        <v>99153.0625</v>
      </c>
      <c r="D9" s="27">
        <v>21912.202499999996</v>
      </c>
      <c r="F9" s="28" t="s">
        <v>1477</v>
      </c>
      <c r="G9">
        <v>105</v>
      </c>
      <c r="H9" s="27">
        <v>12445.135999999997</v>
      </c>
      <c r="I9" s="25">
        <v>60650.416000000012</v>
      </c>
    </row>
    <row r="10" spans="1:9" x14ac:dyDescent="0.35">
      <c r="A10" s="24" t="s">
        <v>72</v>
      </c>
      <c r="B10">
        <v>134</v>
      </c>
      <c r="C10" s="25">
        <v>83739.372500000027</v>
      </c>
      <c r="D10" s="27">
        <v>15879.062499999993</v>
      </c>
      <c r="F10" s="28" t="s">
        <v>1476</v>
      </c>
      <c r="G10">
        <v>77</v>
      </c>
      <c r="H10" s="27">
        <v>14467.599500000002</v>
      </c>
      <c r="I10" s="25">
        <v>53418.729499999994</v>
      </c>
    </row>
    <row r="11" spans="1:9" x14ac:dyDescent="0.35">
      <c r="A11" s="24" t="s">
        <v>33</v>
      </c>
      <c r="B11">
        <v>119</v>
      </c>
      <c r="C11" s="25">
        <v>78865.852499999979</v>
      </c>
      <c r="D11" s="27">
        <v>16565.952500000003</v>
      </c>
      <c r="F11" s="28" t="s">
        <v>1475</v>
      </c>
      <c r="G11">
        <v>72</v>
      </c>
      <c r="H11" s="27">
        <v>10426.151499999998</v>
      </c>
      <c r="I11" s="25">
        <v>55141.331500000008</v>
      </c>
    </row>
    <row r="12" spans="1:9" x14ac:dyDescent="0.35">
      <c r="A12" s="24" t="s">
        <v>1467</v>
      </c>
      <c r="B12">
        <v>1000</v>
      </c>
      <c r="C12" s="25">
        <v>692809.63350000023</v>
      </c>
      <c r="D12" s="27">
        <v>146599.9535</v>
      </c>
      <c r="F12" s="28" t="s">
        <v>1474</v>
      </c>
      <c r="G12">
        <v>95</v>
      </c>
      <c r="H12" s="27">
        <v>14990.563000000004</v>
      </c>
      <c r="I12" s="25">
        <v>63671.493000000017</v>
      </c>
    </row>
    <row r="13" spans="1:9" x14ac:dyDescent="0.35">
      <c r="F13" s="28" t="s">
        <v>1473</v>
      </c>
      <c r="G13">
        <v>65</v>
      </c>
      <c r="H13" s="27">
        <v>8494.3014999999978</v>
      </c>
      <c r="I13" s="25">
        <v>57260.531500000005</v>
      </c>
    </row>
    <row r="14" spans="1:9" x14ac:dyDescent="0.35">
      <c r="F14" s="28" t="s">
        <v>1472</v>
      </c>
      <c r="G14">
        <v>96</v>
      </c>
      <c r="H14" s="27">
        <v>12760.105000000001</v>
      </c>
      <c r="I14" s="25">
        <v>59391.194999999978</v>
      </c>
    </row>
    <row r="15" spans="1:9" x14ac:dyDescent="0.35">
      <c r="F15" s="28" t="s">
        <v>1470</v>
      </c>
      <c r="G15">
        <v>78</v>
      </c>
      <c r="H15" s="27">
        <v>12120.754499999997</v>
      </c>
      <c r="I15" s="25">
        <v>50726.044499999975</v>
      </c>
    </row>
    <row r="16" spans="1:9" x14ac:dyDescent="0.35">
      <c r="F16" s="28" t="s">
        <v>1469</v>
      </c>
      <c r="G16">
        <v>91</v>
      </c>
      <c r="H16" s="27">
        <v>11117.972499999998</v>
      </c>
      <c r="I16" s="25">
        <v>51664.112499999974</v>
      </c>
    </row>
    <row r="17" spans="1:9" x14ac:dyDescent="0.35">
      <c r="F17" s="24" t="s">
        <v>1467</v>
      </c>
      <c r="G17">
        <v>1000</v>
      </c>
      <c r="H17" s="27">
        <v>146599.9535</v>
      </c>
      <c r="I17" s="25">
        <v>692809.63350000023</v>
      </c>
    </row>
    <row r="18" spans="1:9" x14ac:dyDescent="0.35">
      <c r="A18" s="23" t="s">
        <v>1466</v>
      </c>
      <c r="B18" t="s">
        <v>1484</v>
      </c>
      <c r="C18" t="s">
        <v>1482</v>
      </c>
      <c r="D18" t="s">
        <v>1468</v>
      </c>
      <c r="E18" t="s">
        <v>1481</v>
      </c>
    </row>
    <row r="19" spans="1:9" x14ac:dyDescent="0.35">
      <c r="A19" s="24" t="s">
        <v>67</v>
      </c>
      <c r="B19">
        <v>394</v>
      </c>
      <c r="C19">
        <v>140</v>
      </c>
      <c r="D19" s="25">
        <v>147942.92650000003</v>
      </c>
      <c r="E19" s="27">
        <v>38043.946500000035</v>
      </c>
    </row>
    <row r="20" spans="1:9" x14ac:dyDescent="0.35">
      <c r="A20" s="24" t="s">
        <v>23</v>
      </c>
      <c r="B20">
        <v>690</v>
      </c>
      <c r="C20">
        <v>246</v>
      </c>
      <c r="D20" s="25">
        <v>49082.554499999977</v>
      </c>
      <c r="E20" s="27">
        <v>21714.064499999986</v>
      </c>
    </row>
    <row r="21" spans="1:9" x14ac:dyDescent="0.35">
      <c r="A21" s="24" t="s">
        <v>38</v>
      </c>
      <c r="B21">
        <v>787</v>
      </c>
      <c r="C21">
        <v>268</v>
      </c>
      <c r="D21" s="25">
        <v>330663.06300000026</v>
      </c>
      <c r="E21" s="27">
        <v>37116.163000000015</v>
      </c>
    </row>
    <row r="22" spans="1:9" x14ac:dyDescent="0.35">
      <c r="A22" s="24" t="s">
        <v>31</v>
      </c>
      <c r="B22">
        <v>676</v>
      </c>
      <c r="C22">
        <v>211</v>
      </c>
      <c r="D22" s="25">
        <v>94428.272000000041</v>
      </c>
      <c r="E22" s="27">
        <v>28837.641999999989</v>
      </c>
    </row>
    <row r="23" spans="1:9" x14ac:dyDescent="0.35">
      <c r="A23" s="24" t="s">
        <v>49</v>
      </c>
      <c r="B23">
        <v>407</v>
      </c>
      <c r="C23">
        <v>135</v>
      </c>
      <c r="D23" s="25">
        <v>70692.817500000005</v>
      </c>
      <c r="E23" s="27">
        <v>20888.13749999999</v>
      </c>
    </row>
    <row r="24" spans="1:9" x14ac:dyDescent="0.35">
      <c r="A24" s="24" t="s">
        <v>1467</v>
      </c>
      <c r="B24">
        <v>2954</v>
      </c>
      <c r="C24">
        <v>1000</v>
      </c>
      <c r="D24" s="25">
        <v>692809.63350000035</v>
      </c>
      <c r="E24" s="27">
        <v>146599.9535</v>
      </c>
    </row>
    <row r="26" spans="1:9" x14ac:dyDescent="0.35">
      <c r="F26" s="23" t="s">
        <v>1466</v>
      </c>
      <c r="G26" t="s">
        <v>1481</v>
      </c>
      <c r="H26" t="s">
        <v>1482</v>
      </c>
      <c r="I26" t="s">
        <v>1468</v>
      </c>
    </row>
    <row r="27" spans="1:9" x14ac:dyDescent="0.35">
      <c r="F27" s="24" t="s">
        <v>36</v>
      </c>
      <c r="G27" s="27">
        <v>32090.349499999978</v>
      </c>
      <c r="H27">
        <v>254</v>
      </c>
      <c r="I27" s="25">
        <v>170329.22950000007</v>
      </c>
    </row>
    <row r="28" spans="1:9" x14ac:dyDescent="0.35">
      <c r="F28" s="24" t="s">
        <v>21</v>
      </c>
      <c r="G28" s="27">
        <v>35386.37750000001</v>
      </c>
      <c r="H28">
        <v>226</v>
      </c>
      <c r="I28" s="25">
        <v>169068.1575</v>
      </c>
    </row>
    <row r="29" spans="1:9" x14ac:dyDescent="0.35">
      <c r="F29" s="24" t="s">
        <v>87</v>
      </c>
      <c r="G29" s="27">
        <v>39407.082999999984</v>
      </c>
      <c r="H29">
        <v>267</v>
      </c>
      <c r="I29" s="25">
        <v>178929.03299999982</v>
      </c>
    </row>
    <row r="30" spans="1:9" x14ac:dyDescent="0.35">
      <c r="A30" s="23" t="s">
        <v>1466</v>
      </c>
      <c r="B30" t="s">
        <v>1482</v>
      </c>
      <c r="C30" t="s">
        <v>1481</v>
      </c>
      <c r="D30" t="s">
        <v>1468</v>
      </c>
      <c r="F30" s="24" t="s">
        <v>29</v>
      </c>
      <c r="G30" s="27">
        <v>39716.143500000035</v>
      </c>
      <c r="H30">
        <v>253</v>
      </c>
      <c r="I30" s="25">
        <v>174483.21350000004</v>
      </c>
    </row>
    <row r="31" spans="1:9" x14ac:dyDescent="0.35">
      <c r="A31" s="24" t="s">
        <v>89</v>
      </c>
      <c r="B31">
        <v>44</v>
      </c>
      <c r="C31" s="27">
        <v>11427.478999999999</v>
      </c>
      <c r="D31" s="25">
        <v>108555.22900000002</v>
      </c>
      <c r="F31" s="24" t="s">
        <v>1467</v>
      </c>
      <c r="G31" s="27">
        <v>146599.95349999989</v>
      </c>
      <c r="H31">
        <v>1000</v>
      </c>
      <c r="I31" s="25">
        <v>692809.63350000023</v>
      </c>
    </row>
    <row r="32" spans="1:9" x14ac:dyDescent="0.35">
      <c r="A32" s="24" t="s">
        <v>78</v>
      </c>
      <c r="B32">
        <v>35</v>
      </c>
      <c r="C32" s="27">
        <v>14686.141499999996</v>
      </c>
      <c r="D32" s="25">
        <v>50977.361499999999</v>
      </c>
    </row>
    <row r="33" spans="1:4" x14ac:dyDescent="0.35">
      <c r="A33" s="24" t="s">
        <v>147</v>
      </c>
      <c r="B33">
        <v>53</v>
      </c>
      <c r="C33" s="27">
        <v>3140.7404999999994</v>
      </c>
      <c r="D33" s="25">
        <v>10418.1405</v>
      </c>
    </row>
    <row r="34" spans="1:4" x14ac:dyDescent="0.35">
      <c r="A34" s="24" t="s">
        <v>140</v>
      </c>
      <c r="B34">
        <v>28</v>
      </c>
      <c r="C34" s="27">
        <v>3418.6639999999989</v>
      </c>
      <c r="D34" s="25">
        <v>13209.914000000001</v>
      </c>
    </row>
    <row r="35" spans="1:4" x14ac:dyDescent="0.35">
      <c r="A35" s="24" t="s">
        <v>125</v>
      </c>
      <c r="B35">
        <v>52</v>
      </c>
      <c r="C35" s="27">
        <v>5025.1615000000002</v>
      </c>
      <c r="D35" s="25">
        <v>16507.601499999997</v>
      </c>
    </row>
    <row r="36" spans="1:4" x14ac:dyDescent="0.35">
      <c r="A36" s="24" t="s">
        <v>64</v>
      </c>
      <c r="B36">
        <v>56</v>
      </c>
      <c r="C36" s="27">
        <v>8668.5360000000001</v>
      </c>
      <c r="D36" s="25">
        <v>29523.106000000003</v>
      </c>
    </row>
    <row r="37" spans="1:4" x14ac:dyDescent="0.35">
      <c r="A37" s="24" t="s">
        <v>93</v>
      </c>
      <c r="B37">
        <v>39</v>
      </c>
      <c r="C37" s="27">
        <v>8579.6079999999984</v>
      </c>
      <c r="D37" s="25">
        <v>37812.628000000004</v>
      </c>
    </row>
    <row r="38" spans="1:4" x14ac:dyDescent="0.35">
      <c r="A38" s="24" t="s">
        <v>128</v>
      </c>
      <c r="B38">
        <v>29</v>
      </c>
      <c r="C38" s="27">
        <v>1441.2129999999995</v>
      </c>
      <c r="D38" s="25">
        <v>4770.0130000000008</v>
      </c>
    </row>
    <row r="39" spans="1:4" x14ac:dyDescent="0.35">
      <c r="A39" s="24" t="s">
        <v>55</v>
      </c>
      <c r="B39">
        <v>60</v>
      </c>
      <c r="C39" s="27">
        <v>3619.8229999999985</v>
      </c>
      <c r="D39" s="25">
        <v>26087.842999999997</v>
      </c>
    </row>
    <row r="40" spans="1:4" x14ac:dyDescent="0.35">
      <c r="A40" s="24" t="s">
        <v>71</v>
      </c>
      <c r="B40">
        <v>58</v>
      </c>
      <c r="C40" s="27">
        <v>8406.2789999999986</v>
      </c>
      <c r="D40" s="25">
        <v>18609.129000000001</v>
      </c>
    </row>
    <row r="41" spans="1:4" x14ac:dyDescent="0.35">
      <c r="A41" s="24" t="s">
        <v>24</v>
      </c>
      <c r="B41">
        <v>58</v>
      </c>
      <c r="C41" s="27">
        <v>3948.4395000000009</v>
      </c>
      <c r="D41" s="25">
        <v>9081.4495000000024</v>
      </c>
    </row>
    <row r="42" spans="1:4" x14ac:dyDescent="0.35">
      <c r="A42" s="24" t="s">
        <v>121</v>
      </c>
      <c r="B42">
        <v>31</v>
      </c>
      <c r="C42" s="27">
        <v>4710.6149999999998</v>
      </c>
      <c r="D42" s="25">
        <v>18364.444999999996</v>
      </c>
    </row>
    <row r="43" spans="1:4" x14ac:dyDescent="0.35">
      <c r="A43" s="24" t="s">
        <v>109</v>
      </c>
      <c r="B43">
        <v>48</v>
      </c>
      <c r="C43" s="27">
        <v>8535.0269999999964</v>
      </c>
      <c r="D43" s="25">
        <v>82166.046999999977</v>
      </c>
    </row>
    <row r="44" spans="1:4" x14ac:dyDescent="0.35">
      <c r="A44" s="24" t="s">
        <v>39</v>
      </c>
      <c r="B44">
        <v>60</v>
      </c>
      <c r="C44" s="27">
        <v>5376.3810000000012</v>
      </c>
      <c r="D44" s="25">
        <v>42373.090999999993</v>
      </c>
    </row>
    <row r="45" spans="1:4" x14ac:dyDescent="0.35">
      <c r="A45" s="24" t="s">
        <v>44</v>
      </c>
      <c r="B45">
        <v>71</v>
      </c>
      <c r="C45" s="27">
        <v>7600.2245000000039</v>
      </c>
      <c r="D45" s="25">
        <v>17456.034499999998</v>
      </c>
    </row>
    <row r="46" spans="1:4" x14ac:dyDescent="0.35">
      <c r="A46" s="24" t="s">
        <v>68</v>
      </c>
      <c r="B46">
        <v>42</v>
      </c>
      <c r="C46" s="27">
        <v>21335.059499999996</v>
      </c>
      <c r="D46" s="25">
        <v>78555.939499999993</v>
      </c>
    </row>
    <row r="47" spans="1:4" x14ac:dyDescent="0.35">
      <c r="A47" s="24" t="s">
        <v>96</v>
      </c>
      <c r="B47">
        <v>56</v>
      </c>
      <c r="C47" s="27">
        <v>8157.4530000000032</v>
      </c>
      <c r="D47" s="25">
        <v>71480.853000000003</v>
      </c>
    </row>
    <row r="48" spans="1:4" x14ac:dyDescent="0.35">
      <c r="A48" s="24" t="s">
        <v>187</v>
      </c>
      <c r="B48">
        <v>32</v>
      </c>
      <c r="C48" s="27">
        <v>3813.931</v>
      </c>
      <c r="D48" s="25">
        <v>11901.200999999999</v>
      </c>
    </row>
    <row r="49" spans="1:4" x14ac:dyDescent="0.35">
      <c r="A49" s="24" t="s">
        <v>135</v>
      </c>
      <c r="B49">
        <v>59</v>
      </c>
      <c r="C49" s="27">
        <v>1759.1214999999997</v>
      </c>
      <c r="D49" s="25">
        <v>3935.9415000000008</v>
      </c>
    </row>
    <row r="50" spans="1:4" x14ac:dyDescent="0.35">
      <c r="A50" s="24" t="s">
        <v>32</v>
      </c>
      <c r="B50">
        <v>50</v>
      </c>
      <c r="C50" s="27">
        <v>12003.204</v>
      </c>
      <c r="D50" s="25">
        <v>37979.424000000006</v>
      </c>
    </row>
    <row r="51" spans="1:4" x14ac:dyDescent="0.35">
      <c r="A51" s="24" t="s">
        <v>50</v>
      </c>
      <c r="B51">
        <v>39</v>
      </c>
      <c r="C51" s="27">
        <v>946.85199999999986</v>
      </c>
      <c r="D51" s="25">
        <v>3044.2420000000002</v>
      </c>
    </row>
    <row r="52" spans="1:4" x14ac:dyDescent="0.35">
      <c r="A52" s="24" t="s">
        <v>1467</v>
      </c>
      <c r="B52">
        <v>1000</v>
      </c>
      <c r="C52" s="27">
        <v>146599.95349999997</v>
      </c>
      <c r="D52" s="25">
        <v>692809.63349999953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266F-96B3-480A-8D2D-158D49AC2B4E}">
  <dimension ref="A3:G36"/>
  <sheetViews>
    <sheetView topLeftCell="A10" workbookViewId="0">
      <selection activeCell="F26" sqref="F26"/>
    </sheetView>
  </sheetViews>
  <sheetFormatPr defaultRowHeight="14.5" x14ac:dyDescent="0.35"/>
  <cols>
    <col min="1" max="1" width="14.453125" bestFit="1" customWidth="1"/>
    <col min="2" max="2" width="11.26953125" bestFit="1" customWidth="1"/>
    <col min="5" max="5" width="12.36328125" bestFit="1" customWidth="1"/>
    <col min="6" max="6" width="11.26953125" bestFit="1" customWidth="1"/>
    <col min="7" max="7" width="14.54296875" bestFit="1" customWidth="1"/>
  </cols>
  <sheetData>
    <row r="3" spans="1:7" x14ac:dyDescent="0.35">
      <c r="A3" s="23" t="s">
        <v>1466</v>
      </c>
      <c r="B3" t="s">
        <v>1468</v>
      </c>
    </row>
    <row r="4" spans="1:7" x14ac:dyDescent="0.35">
      <c r="A4" s="24" t="s">
        <v>89</v>
      </c>
      <c r="B4" s="25">
        <v>108555.22900000002</v>
      </c>
    </row>
    <row r="5" spans="1:7" x14ac:dyDescent="0.35">
      <c r="A5" s="24" t="s">
        <v>78</v>
      </c>
      <c r="B5" s="25">
        <v>50977.361499999999</v>
      </c>
    </row>
    <row r="6" spans="1:7" x14ac:dyDescent="0.35">
      <c r="A6" s="24" t="s">
        <v>147</v>
      </c>
      <c r="B6" s="25">
        <v>10418.1405</v>
      </c>
    </row>
    <row r="7" spans="1:7" x14ac:dyDescent="0.35">
      <c r="A7" s="24" t="s">
        <v>140</v>
      </c>
      <c r="B7" s="25">
        <v>13209.914000000001</v>
      </c>
    </row>
    <row r="8" spans="1:7" x14ac:dyDescent="0.35">
      <c r="A8" s="24" t="s">
        <v>125</v>
      </c>
      <c r="B8" s="25">
        <v>16507.601499999997</v>
      </c>
    </row>
    <row r="9" spans="1:7" x14ac:dyDescent="0.35">
      <c r="A9" s="24" t="s">
        <v>64</v>
      </c>
      <c r="B9" s="25">
        <v>29523.106000000003</v>
      </c>
    </row>
    <row r="10" spans="1:7" x14ac:dyDescent="0.35">
      <c r="A10" s="24" t="s">
        <v>93</v>
      </c>
      <c r="B10" s="25">
        <v>37812.628000000004</v>
      </c>
    </row>
    <row r="11" spans="1:7" x14ac:dyDescent="0.35">
      <c r="A11" s="24" t="s">
        <v>128</v>
      </c>
      <c r="B11" s="25">
        <v>4770.0130000000008</v>
      </c>
    </row>
    <row r="12" spans="1:7" x14ac:dyDescent="0.35">
      <c r="A12" s="24" t="s">
        <v>55</v>
      </c>
      <c r="B12" s="25">
        <v>26087.842999999997</v>
      </c>
    </row>
    <row r="13" spans="1:7" x14ac:dyDescent="0.35">
      <c r="A13" s="24" t="s">
        <v>71</v>
      </c>
      <c r="B13" s="25">
        <v>18609.129000000001</v>
      </c>
    </row>
    <row r="14" spans="1:7" x14ac:dyDescent="0.35">
      <c r="A14" s="24" t="s">
        <v>24</v>
      </c>
      <c r="B14" s="25">
        <v>9081.4495000000024</v>
      </c>
      <c r="E14" s="23" t="s">
        <v>1466</v>
      </c>
      <c r="F14" t="s">
        <v>1468</v>
      </c>
      <c r="G14" t="s">
        <v>1484</v>
      </c>
    </row>
    <row r="15" spans="1:7" x14ac:dyDescent="0.35">
      <c r="A15" s="24" t="s">
        <v>121</v>
      </c>
      <c r="B15" s="25">
        <v>18364.444999999996</v>
      </c>
      <c r="E15" s="24" t="s">
        <v>40</v>
      </c>
      <c r="F15" s="25">
        <v>144704.26249999998</v>
      </c>
      <c r="G15">
        <v>526</v>
      </c>
    </row>
    <row r="16" spans="1:7" x14ac:dyDescent="0.35">
      <c r="A16" s="24" t="s">
        <v>109</v>
      </c>
      <c r="B16" s="25">
        <v>82166.046999999977</v>
      </c>
      <c r="E16" s="24" t="s">
        <v>60</v>
      </c>
      <c r="F16" s="25">
        <v>164123.58449999988</v>
      </c>
      <c r="G16">
        <v>699</v>
      </c>
    </row>
    <row r="17" spans="1:7" x14ac:dyDescent="0.35">
      <c r="A17" s="24" t="s">
        <v>39</v>
      </c>
      <c r="B17" s="25">
        <v>42373.090999999993</v>
      </c>
      <c r="E17" s="24" t="s">
        <v>84</v>
      </c>
      <c r="F17" s="25">
        <v>142715.86950000006</v>
      </c>
      <c r="G17">
        <v>610</v>
      </c>
    </row>
    <row r="18" spans="1:7" x14ac:dyDescent="0.35">
      <c r="A18" s="24" t="s">
        <v>44</v>
      </c>
      <c r="B18" s="25">
        <v>17456.034499999998</v>
      </c>
      <c r="E18" s="24" t="s">
        <v>51</v>
      </c>
      <c r="F18" s="25">
        <v>150134.90250000003</v>
      </c>
      <c r="G18">
        <v>600</v>
      </c>
    </row>
    <row r="19" spans="1:7" x14ac:dyDescent="0.35">
      <c r="A19" s="24" t="s">
        <v>68</v>
      </c>
      <c r="B19" s="25">
        <v>78555.939499999993</v>
      </c>
      <c r="E19" s="24" t="s">
        <v>25</v>
      </c>
      <c r="F19" s="25">
        <v>91131.014500000019</v>
      </c>
      <c r="G19">
        <v>519</v>
      </c>
    </row>
    <row r="20" spans="1:7" x14ac:dyDescent="0.35">
      <c r="A20" s="24" t="s">
        <v>96</v>
      </c>
      <c r="B20" s="25">
        <v>71480.853000000003</v>
      </c>
      <c r="E20" s="24" t="s">
        <v>1467</v>
      </c>
      <c r="F20" s="25">
        <v>692809.6335</v>
      </c>
      <c r="G20">
        <v>2954</v>
      </c>
    </row>
    <row r="21" spans="1:7" x14ac:dyDescent="0.35">
      <c r="A21" s="24" t="s">
        <v>187</v>
      </c>
      <c r="B21" s="25">
        <v>11901.200999999999</v>
      </c>
    </row>
    <row r="22" spans="1:7" x14ac:dyDescent="0.35">
      <c r="A22" s="24" t="s">
        <v>135</v>
      </c>
      <c r="B22" s="25">
        <v>3935.9415000000008</v>
      </c>
    </row>
    <row r="23" spans="1:7" x14ac:dyDescent="0.35">
      <c r="A23" s="24" t="s">
        <v>32</v>
      </c>
      <c r="B23" s="25">
        <v>37979.424000000006</v>
      </c>
      <c r="E23" s="23" t="s">
        <v>1466</v>
      </c>
      <c r="F23" t="s">
        <v>1468</v>
      </c>
    </row>
    <row r="24" spans="1:7" x14ac:dyDescent="0.35">
      <c r="A24" s="24" t="s">
        <v>50</v>
      </c>
      <c r="B24" s="25">
        <v>3044.2420000000002</v>
      </c>
      <c r="E24" s="24" t="s">
        <v>37</v>
      </c>
      <c r="F24" s="25">
        <v>60623.980499999991</v>
      </c>
    </row>
    <row r="25" spans="1:7" x14ac:dyDescent="0.35">
      <c r="A25" s="24" t="s">
        <v>1467</v>
      </c>
      <c r="B25" s="25">
        <v>692809.63349999988</v>
      </c>
      <c r="E25" s="24" t="s">
        <v>22</v>
      </c>
      <c r="F25" s="25">
        <v>63517.300999999999</v>
      </c>
    </row>
    <row r="26" spans="1:7" x14ac:dyDescent="0.35">
      <c r="E26" s="24" t="s">
        <v>30</v>
      </c>
      <c r="F26" s="25">
        <v>48501.652500000004</v>
      </c>
    </row>
    <row r="27" spans="1:7" x14ac:dyDescent="0.35">
      <c r="E27" s="24" t="s">
        <v>59</v>
      </c>
      <c r="F27" s="25">
        <v>53695.371499999987</v>
      </c>
    </row>
    <row r="28" spans="1:7" x14ac:dyDescent="0.35">
      <c r="E28" s="24" t="s">
        <v>88</v>
      </c>
      <c r="F28" s="25">
        <v>64580.199499999973</v>
      </c>
    </row>
    <row r="29" spans="1:7" x14ac:dyDescent="0.35">
      <c r="E29" s="24" t="s">
        <v>124</v>
      </c>
      <c r="F29" s="25">
        <v>59303.759500000022</v>
      </c>
    </row>
    <row r="30" spans="1:7" x14ac:dyDescent="0.35">
      <c r="E30" s="24" t="s">
        <v>54</v>
      </c>
      <c r="F30" s="25">
        <v>50107.029999999992</v>
      </c>
    </row>
    <row r="31" spans="1:7" x14ac:dyDescent="0.35">
      <c r="E31" s="24" t="s">
        <v>201</v>
      </c>
      <c r="F31" s="25">
        <v>46261.174500000016</v>
      </c>
    </row>
    <row r="32" spans="1:7" x14ac:dyDescent="0.35">
      <c r="E32" s="24" t="s">
        <v>81</v>
      </c>
      <c r="F32" s="25">
        <v>51855.485000000001</v>
      </c>
    </row>
    <row r="33" spans="5:6" x14ac:dyDescent="0.35">
      <c r="E33" s="24" t="s">
        <v>108</v>
      </c>
      <c r="F33" s="25">
        <v>75874.531000000032</v>
      </c>
    </row>
    <row r="34" spans="5:6" x14ac:dyDescent="0.35">
      <c r="E34" s="24" t="s">
        <v>92</v>
      </c>
      <c r="F34" s="25">
        <v>55045.074000000001</v>
      </c>
    </row>
    <row r="35" spans="5:6" x14ac:dyDescent="0.35">
      <c r="E35" s="24" t="s">
        <v>48</v>
      </c>
      <c r="F35" s="25">
        <v>63444.074499999973</v>
      </c>
    </row>
    <row r="36" spans="5:6" x14ac:dyDescent="0.35">
      <c r="E36" s="24" t="s">
        <v>1467</v>
      </c>
      <c r="F36" s="25">
        <v>692809.6335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Analysis</vt:lpstr>
      <vt:lpstr>Report Summary</vt:lpstr>
      <vt:lpstr>work data</vt:lpstr>
      <vt:lpstr>pivot table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Sowmiya K</cp:lastModifiedBy>
  <cp:revision>1</cp:revision>
  <dcterms:created xsi:type="dcterms:W3CDTF">2026-10-25T16:34:46Z</dcterms:created>
  <dcterms:modified xsi:type="dcterms:W3CDTF">2026-10-26T15:09:40Z</dcterms:modified>
  <dc:language>en-US</dc:language>
</cp:coreProperties>
</file>